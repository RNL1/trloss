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tables/table2.xml" ContentType="application/vnd.openxmlformats-officedocument.spreadsheetml.table+xml"/>
  <Override PartName="/xl/comments2.xml" ContentType="application/vnd.openxmlformats-officedocument.spreadsheetml.comments+xml"/>
  <Override PartName="/xl/charts/chart5.xml" ContentType="application/vnd.openxmlformats-officedocument.drawingml.chart+xml"/>
  <Override PartName="/xl/drawings/drawing4.xml" ContentType="application/vnd.openxmlformats-officedocument.drawingml.chartshapes+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tables/table3.xml" ContentType="application/vnd.openxmlformats-officedocument.spreadsheetml.table+xml"/>
  <Override PartName="/xl/comments3.xml" ContentType="application/vnd.openxmlformats-officedocument.spreadsheetml.comments+xml"/>
  <Override PartName="/xl/charts/chart9.xml" ContentType="application/vnd.openxmlformats-officedocument.drawingml.chart+xml"/>
  <Override PartName="/xl/drawings/drawing6.xml" ContentType="application/vnd.openxmlformats-officedocument.drawingml.chartshapes+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tables/table4.xml" ContentType="application/vnd.openxmlformats-officedocument.spreadsheetml.table+xml"/>
  <Override PartName="/xl/comments4.xml" ContentType="application/vnd.openxmlformats-officedocument.spreadsheetml.comments+xml"/>
  <Override PartName="/xl/charts/chart13.xml" ContentType="application/vnd.openxmlformats-officedocument.drawingml.chart+xml"/>
  <Override PartName="/xl/drawings/drawing8.xml" ContentType="application/vnd.openxmlformats-officedocument.drawingml.chartshapes+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tables/table5.xml" ContentType="application/vnd.openxmlformats-officedocument.spreadsheetml.table+xml"/>
  <Override PartName="/xl/comments5.xml" ContentType="application/vnd.openxmlformats-officedocument.spreadsheetml.comments+xml"/>
  <Override PartName="/xl/charts/chart17.xml" ContentType="application/vnd.openxmlformats-officedocument.drawingml.chart+xml"/>
  <Override PartName="/xl/drawings/drawing10.xml" ContentType="application/vnd.openxmlformats-officedocument.drawingml.chartshapes+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drawings/drawing11.xml" ContentType="application/vnd.openxmlformats-officedocument.drawing+xml"/>
  <Override PartName="/xl/tables/table6.xml" ContentType="application/vnd.openxmlformats-officedocument.spreadsheetml.table+xml"/>
  <Override PartName="/xl/comments6.xml" ContentType="application/vnd.openxmlformats-officedocument.spreadsheetml.comments+xml"/>
  <Override PartName="/xl/charts/chart21.xml" ContentType="application/vnd.openxmlformats-officedocument.drawingml.chart+xml"/>
  <Override PartName="/xl/drawings/drawing12.xml" ContentType="application/vnd.openxmlformats-officedocument.drawingml.chartshapes+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drawings/drawing13.xml" ContentType="application/vnd.openxmlformats-officedocument.drawing+xml"/>
  <Override PartName="/xl/tables/table7.xml" ContentType="application/vnd.openxmlformats-officedocument.spreadsheetml.table+xml"/>
  <Override PartName="/xl/comments7.xml" ContentType="application/vnd.openxmlformats-officedocument.spreadsheetml.comments+xml"/>
  <Override PartName="/xl/charts/chart25.xml" ContentType="application/vnd.openxmlformats-officedocument.drawingml.chart+xml"/>
  <Override PartName="/xl/drawings/drawing14.xml" ContentType="application/vnd.openxmlformats-officedocument.drawingml.chartshapes+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drawings/drawing15.xml" ContentType="application/vnd.openxmlformats-officedocument.drawing+xml"/>
  <Override PartName="/xl/tables/table8.xml" ContentType="application/vnd.openxmlformats-officedocument.spreadsheetml.table+xml"/>
  <Override PartName="/xl/comments8.xml" ContentType="application/vnd.openxmlformats-officedocument.spreadsheetml.comments+xml"/>
  <Override PartName="/xl/charts/chart29.xml" ContentType="application/vnd.openxmlformats-officedocument.drawingml.chart+xml"/>
  <Override PartName="/xl/drawings/drawing16.xml" ContentType="application/vnd.openxmlformats-officedocument.drawingml.chartshapes+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drawings/drawing17.xml" ContentType="application/vnd.openxmlformats-officedocument.drawing+xml"/>
  <Override PartName="/xl/tables/table9.xml" ContentType="application/vnd.openxmlformats-officedocument.spreadsheetml.table+xml"/>
  <Override PartName="/xl/comments9.xml" ContentType="application/vnd.openxmlformats-officedocument.spreadsheetml.comments+xml"/>
  <Override PartName="/xl/charts/chart33.xml" ContentType="application/vnd.openxmlformats-officedocument.drawingml.chart+xml"/>
  <Override PartName="/xl/drawings/drawing18.xml" ContentType="application/vnd.openxmlformats-officedocument.drawingml.chartshapes+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drawings/drawing19.xml" ContentType="application/vnd.openxmlformats-officedocument.drawing+xml"/>
  <Override PartName="/xl/tables/table10.xml" ContentType="application/vnd.openxmlformats-officedocument.spreadsheetml.table+xml"/>
  <Override PartName="/xl/comments10.xml" ContentType="application/vnd.openxmlformats-officedocument.spreadsheetml.comments+xml"/>
  <Override PartName="/xl/charts/chart37.xml" ContentType="application/vnd.openxmlformats-officedocument.drawingml.chart+xml"/>
  <Override PartName="/xl/drawings/drawing20.xml" ContentType="application/vnd.openxmlformats-officedocument.drawingml.chartshapes+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drawings/drawing21.xml" ContentType="application/vnd.openxmlformats-officedocument.drawing+xml"/>
  <Override PartName="/xl/tables/table11.xml" ContentType="application/vnd.openxmlformats-officedocument.spreadsheetml.table+xml"/>
  <Override PartName="/xl/comments11.xml" ContentType="application/vnd.openxmlformats-officedocument.spreadsheetml.comments+xml"/>
  <Override PartName="/xl/charts/chart41.xml" ContentType="application/vnd.openxmlformats-officedocument.drawingml.chart+xml"/>
  <Override PartName="/xl/drawings/drawing22.xml" ContentType="application/vnd.openxmlformats-officedocument.drawingml.chartshapes+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drawings/drawing23.xml" ContentType="application/vnd.openxmlformats-officedocument.drawing+xml"/>
  <Override PartName="/xl/tables/table12.xml" ContentType="application/vnd.openxmlformats-officedocument.spreadsheetml.table+xml"/>
  <Override PartName="/xl/comments12.xml" ContentType="application/vnd.openxmlformats-officedocument.spreadsheetml.comments+xml"/>
  <Override PartName="/xl/charts/chart45.xml" ContentType="application/vnd.openxmlformats-officedocument.drawingml.chart+xml"/>
  <Override PartName="/xl/drawings/drawing24.xml" ContentType="application/vnd.openxmlformats-officedocument.drawingml.chartshapes+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225"/>
  <workbookPr codeName="ThisWorkbook"/>
  <mc:AlternateContent xmlns:mc="http://schemas.openxmlformats.org/markup-compatibility/2006">
    <mc:Choice Requires="x15">
      <x15ac:absPath xmlns:x15ac="http://schemas.microsoft.com/office/spreadsheetml/2010/11/ac" url="C:\&amp;DATA\&amp;Pierre2\2022 06 BrestChallenge\"/>
    </mc:Choice>
  </mc:AlternateContent>
  <xr:revisionPtr revIDLastSave="0" documentId="13_ncr:1_{11DE8A83-B51C-4DFB-A3A4-6950D27746C0}" xr6:coauthVersionLast="47" xr6:coauthVersionMax="47" xr10:uidLastSave="{00000000-0000-0000-0000-000000000000}"/>
  <bookViews>
    <workbookView xWindow="-108" yWindow="-108" windowWidth="23256" windowHeight="12576" tabRatio="799" activeTab="15" xr2:uid="{00000000-000D-0000-FFFF-FFFF00000000}"/>
  </bookViews>
  <sheets>
    <sheet name="Emmanuel D" sheetId="34" r:id="rId1"/>
    <sheet name="OPEX" sheetId="63" r:id="rId2"/>
    <sheet name="Lijour" sheetId="65" r:id="rId3"/>
    <sheet name="Loudiyi " sheetId="66" r:id="rId4"/>
    <sheet name="Lesnoff" sheetId="68" r:id="rId5"/>
    <sheet name="Roger" sheetId="69" r:id="rId6"/>
    <sheet name="Dansler" sheetId="70" r:id="rId7"/>
    <sheet name="A Florent" sheetId="71" r:id="rId8"/>
    <sheet name="Joris R" sheetId="72" r:id="rId9"/>
    <sheet name="Participants" sheetId="64" r:id="rId10"/>
    <sheet name="Participants (2)" sheetId="73" r:id="rId11"/>
    <sheet name="pierre" sheetId="74" r:id="rId12"/>
    <sheet name="Sheet4" sheetId="75" r:id="rId13"/>
    <sheet name="mark" sheetId="76" r:id="rId14"/>
    <sheet name="doug" sheetId="77" r:id="rId15"/>
    <sheet name="Sheet1" sheetId="78" r:id="rId16"/>
  </sheets>
  <definedNames>
    <definedName name="_TMAutoChart10Names" hidden="1">{"bSAT (2)","Chart 3","bSAT (2) Chart 3"}</definedName>
    <definedName name="_TMAutoChart10Refs" hidden="1">{"'bSAT (2)'!$D$10","'bSAT (2)'!$D$11","'bSAT (2)'!$F$56","'bSAT (2)'!$F$57","","","","","",""}</definedName>
    <definedName name="_TMAutoChart11Names" hidden="1">{"MONO","Chart 2","spl166 Chart 2"}</definedName>
    <definedName name="_TMAutoChart11Refs" hidden="1">{"'MONO'!$D$10","'MONO'!$D$11","'MONO'!$D$10","'MONO'!$D$11","","","","","",""}</definedName>
    <definedName name="_TMAutoChart12Names" hidden="1">{"MONO","Chart 4","spl166 Chart 4"}</definedName>
    <definedName name="_TMAutoChart12Refs" hidden="1">{"'MONO'!$D$10","'MONO'!$D$11","'MONO'!$F$56","'MONO'!$F$57","","","","","",""}</definedName>
    <definedName name="_TMAutoChart13Names" hidden="1">{"MONO","Chart 3","spl166 Chart 3"}</definedName>
    <definedName name="_TMAutoChart13Refs" hidden="1">{"'MONO'!$D$10","'MONO'!$D$11","'MONO'!$F$56","'MONO'!$F$57","","","","","",""}</definedName>
    <definedName name="_TMAutoChart14Names" hidden="1">{"pufa","Chart 2","spl166 Chart 2"}</definedName>
    <definedName name="_TMAutoChart14Refs" hidden="1">{"'pufa'!$D$10","'pufa'!$D$11","'pufa'!$D$10","'pufa'!$D$11","","","","","",""}</definedName>
    <definedName name="_TMAutoChart15Names" hidden="1">{"pufa","Chart 4","spl166 Chart 4"}</definedName>
    <definedName name="_TMAutoChart15Refs" hidden="1">{"'pufa'!$D$10","'pufa'!$D$11","'pufa'!$F$56","'pufa'!$F$57","","","","","",""}</definedName>
    <definedName name="_TMAutoChart16Names" hidden="1">{"pufa","Chart 3","spl166 Chart 3"}</definedName>
    <definedName name="_TMAutoChart16Refs" hidden="1">{"'pufa'!$D$10","'pufa'!$D$11","'pufa'!$F$56","'pufa'!$F$57","","","","","",""}</definedName>
    <definedName name="_TMAutoChart17Names" hidden="1">{"pufa (2)","Chart 2","pufa (2) Chart 2"}</definedName>
    <definedName name="_TMAutoChart17Refs" hidden="1">{"'pufa (2)'!$D$10","'pufa (2)'!$D$11","'pufa (2)'!$D$10","'pufa (2)'!$D$11","","","","","",""}</definedName>
    <definedName name="_TMAutoChart18Names" hidden="1">{"C16","Chart 4","spl166 Chart 4"}</definedName>
    <definedName name="_TMAutoChart18Refs" hidden="1">{"'C16'!$D$10","'C16'!$D$11","'C16'!$F$56","'C16'!$F$57","","","","","",""}</definedName>
    <definedName name="_TMAutoChart19Names" hidden="1">{"C16","Chart 3","spl166 Chart 3"}</definedName>
    <definedName name="_TMAutoChart19Refs" hidden="1">{"'C16'!$D$10","'C16'!$D$11","'C16'!$F$56","'C16'!$F$57","","","","","",""}</definedName>
    <definedName name="_TMAutoChart1Names" hidden="1">{"REGYX","Chart 2","REGYX Chart 2"}</definedName>
    <definedName name="_TMAutoChart1Refs" hidden="1">{"'REGYX'!$D$10","'REGYX'!$D$11","'REGYX'!$D$10","'REGYX'!$D$11","","","","","",""}</definedName>
    <definedName name="_TMAutoChart20Names" hidden="1">{"C16 (2)","Chart 2","C16 (2) Chart 2"}</definedName>
    <definedName name="_TMAutoChart20Refs" hidden="1">{"'C16 (2)'!$D$10","'C16 (2)'!$D$11","'C16 (2)'!$D$10","'C16 (2)'!$D$11","","","","","",""}</definedName>
    <definedName name="_TMAutoChart21Names" hidden="1">{"C16 (2)","Chart 4","C16 (2) Chart 4"}</definedName>
    <definedName name="_TMAutoChart21Refs" hidden="1">{"'C16 (2)'!$D$10","'C16 (2)'!$D$11","'C16 (2)'!$F$56","'C16 (2)'!$F$57","","","","","",""}</definedName>
    <definedName name="_TMAutoChart22Names" hidden="1">{"C16 (2)","Chart 3","C16 (2) Chart 3"}</definedName>
    <definedName name="_TMAutoChart22Refs" hidden="1">{"'C16 (2)'!$D$10","'C16 (2)'!$D$11","'C16 (2)'!$F$56","'C16 (2)'!$F$57","","","","","",""}</definedName>
    <definedName name="_TMAutoChart23Names" hidden="1">{"C18 (2)","Chart 2","C18 (2) Chart 2"}</definedName>
    <definedName name="_TMAutoChart23Refs" hidden="1">{"'C18 (2)'!$D$10","'C18 (2)'!$D$11","'C18 (2)'!$D$10","'C18 (2)'!$D$11","","","","","",""}</definedName>
    <definedName name="_TMAutoChart24Names" hidden="1">{"C18 (2)","Chart 4","C18 (2) Chart 4"}</definedName>
    <definedName name="_TMAutoChart24Refs" hidden="1">{"'C18 (2)'!$D$10","'C18 (2)'!$D$11","'C18 (2)'!$F$56","'C18 (2)'!$F$57","","","","","",""}</definedName>
    <definedName name="_TMAutoChart25Names" hidden="1">{"C18 (2)","Chart 3","C18 (2) Chart 3"}</definedName>
    <definedName name="_TMAutoChart25Refs" hidden="1">{"'C18 (2)'!$D$10","'C18 (2)'!$D$11","'C18 (2)'!$F$56","'C18 (2)'!$F$57","","","","","",""}</definedName>
    <definedName name="_TMAutoChart26Names" hidden="1">{"C18_1Tot","Chart 2","C18_1Tot Chart 2"}</definedName>
    <definedName name="_TMAutoChart26Refs" hidden="1">{"'C18_1Tot'!$D$10","'C18_1Tot'!$D$11","'C18_1Tot'!$D$10","'C18_1Tot'!$D$11","","","","","",""}</definedName>
    <definedName name="_TMAutoChart27Names" hidden="1">{"C18_1Tot","Chart 4","C18_1Tot Chart 4"}</definedName>
    <definedName name="_TMAutoChart27Refs" hidden="1">{"'C18_1Tot'!$D$10","'C18_1Tot'!$D$11","'C18_1Tot'!$F$10","'C18_1Tot'!$F$11","","","","","",""}</definedName>
    <definedName name="_TMAutoChart28Names" hidden="1">{"REGXY","Chart 3","REGXY Chart 3"}</definedName>
    <definedName name="_TMAutoChart28Refs" hidden="1">{"'REGXY'!$D$10","'REGXY'!$D$11","'REGXY'!$W$26","'REGXY'!$W$27","","","","","",""}</definedName>
    <definedName name="_TMAutoChart29Names" hidden="1">{"REGXY","Chart 2","REGXY Chart 2"}</definedName>
    <definedName name="_TMAutoChart29Refs" hidden="1">{"'REGXY'!$E$10","'REGXY'!$E$11","'REGXY'!$E$10","'REGXY'!$E$11","","","","","",""}</definedName>
    <definedName name="_TMAutoChart2Names" hidden="1">{"REGYX","Chart 2","REGYX Chart 2"}</definedName>
    <definedName name="_TMAutoChart2Refs" hidden="1">{"'REGYX'!$D$10","'REGYX'!$D$11","'REGYX'!$D$10","'REGYX'!$D$11","","","","","",""}</definedName>
    <definedName name="_TMAutoChart30Names" hidden="1">{"REGXY","Chart 4","REGXY Chart 4"}</definedName>
    <definedName name="_TMAutoChart30Refs" hidden="1">{"'REGXY'!$F$10","'REGXY'!$F$11","'REGXY'!$W$26","'REGXY'!$W$27","","","","","",""}</definedName>
    <definedName name="_TMAutoChart31Names" hidden="1">{"REGXY","Chart 2","REGXY Chart 2"}</definedName>
    <definedName name="_TMAutoChart31Refs" hidden="1">{"'REGXY'!$E$10","'REGXY'!$E$11","'REGXY'!$E$10","'REGXY'!$E$11","","","","","","","","","","","","","","","",""}</definedName>
    <definedName name="_TMAutoChart32Names" hidden="1">{"REGXY","Chart 4","REGXY Chart 4"}</definedName>
    <definedName name="_TMAutoChart32Refs" hidden="1">{"'REGXY'!$F$10","'REGXY'!$F$11","'REGXY'!$X$27","'REGXY'!$X$28","","","","","","","","","","","","","","","",""}</definedName>
    <definedName name="_TMAutoChart33Names" hidden="1">{"REGXY","Chart 3","REGXY Chart 3"}</definedName>
    <definedName name="_TMAutoChart33Refs" hidden="1">{"'REGXY'!$D$10","'REGXY'!$D$11","'REGXY'!$X$27","'REGXY'!$X$28","","","","","","","","","","","","","","","",""}</definedName>
    <definedName name="_TMAutoChart34Names" hidden="1">{"TEST (2)","Chart 2","TEST (2) Chart 2"}</definedName>
    <definedName name="_TMAutoChart34Refs" hidden="1">{"'TEST (2)'!$E$10","'TEST (2)'!$E$11","'TEST (2)'!$E$10","'TEST (2)'!$E$11","","","","","","","","","","","","","","","",""}</definedName>
    <definedName name="_TMAutoChart3Names" hidden="1">{"REGYX","Chart 3","REGYX Chart 3"}</definedName>
    <definedName name="_TMAutoChart3Refs" hidden="1">{"'REGYX'!$D$10","'REGYX'!$D$11","","","","","","","",""}</definedName>
    <definedName name="_TMAutoChart4Names" hidden="1">{"REGYX","Chart 4","REGYX Chart 4"}</definedName>
    <definedName name="_TMAutoChart4Refs" hidden="1">{"'REGYX'!$D$10","'REGYX'!$D$11","","","","","","","",""}</definedName>
    <definedName name="_TMAutoChart5Names" hidden="1">{"REGYX (2)","Chart 2","REGYX (2) Chart 2"}</definedName>
    <definedName name="_TMAutoChart5Refs" hidden="1">{"'REGYX (2)'!$D$10","'REGYX (2)'!$D$11","'REGYX (2)'!$D$10","'REGYX (2)'!$D$11","","","","","",""}</definedName>
    <definedName name="_TMAutoChart6Names" hidden="1">{"REGYX (2)","Chart 4","REGYX (2) Chart 4"}</definedName>
    <definedName name="_TMAutoChart6Refs" hidden="1">{"'REGYX (2)'!$D$10","'REGYX (2)'!$D$11","'REGYX (2)'!$F$56","'REGYX (2)'!$F$57","","","","","",""}</definedName>
    <definedName name="_TMAutoChart7Names" hidden="1">{"REGYX (2)","Chart 3","REGYX (2) Chart 3"}</definedName>
    <definedName name="_TMAutoChart7Refs" hidden="1">{"'REGYX (2)'!$D$10","'REGYX (2)'!$D$11","'REGYX (2)'!$F$56","'REGYX (2)'!$F$57","","","","","",""}</definedName>
    <definedName name="_TMAutoChart8Names" hidden="1">{"bSAT (2)","Chart 2","bSAT (2) Chart 2"}</definedName>
    <definedName name="_TMAutoChart8Refs" hidden="1">{"'bSAT (2)'!$D$10","'bSAT (2)'!$D$11","'bSAT (2)'!$D$10","'bSAT (2)'!$D$11","","","","","",""}</definedName>
    <definedName name="_TMAutoChart9Names" hidden="1">{"bSAT (2)","Chart 4","bSAT (2) Chart 4"}</definedName>
    <definedName name="_TMAutoChart9Refs" hidden="1">{"'bSAT (2)'!$D$10","'bSAT (2)'!$D$11","'bSAT (2)'!$F$56","'bSAT (2)'!$F$57","","","","","",""}</definedName>
    <definedName name="_TMAutoChartCount" hidden="1">34</definedName>
    <definedName name="Graph_Down" localSheetId="7">'A Florent'!#REF!</definedName>
    <definedName name="Graph_Down" localSheetId="6">Dansler!#REF!</definedName>
    <definedName name="Graph_Down" localSheetId="14">doug!#REF!</definedName>
    <definedName name="Graph_Down" localSheetId="0">'Emmanuel D'!#REF!</definedName>
    <definedName name="Graph_Down" localSheetId="8">'Joris R'!#REF!</definedName>
    <definedName name="Graph_Down" localSheetId="4">Lesnoff!#REF!</definedName>
    <definedName name="Graph_Down" localSheetId="2">Lijour!#REF!</definedName>
    <definedName name="Graph_Down" localSheetId="3">'Loudiyi '!#REF!</definedName>
    <definedName name="Graph_Down" localSheetId="13">mark!#REF!</definedName>
    <definedName name="Graph_Down" localSheetId="1">OPEX!#REF!</definedName>
    <definedName name="Graph_Down" localSheetId="11">pierre!#REF!</definedName>
    <definedName name="Graph_Down" localSheetId="5">Roger!#REF!</definedName>
    <definedName name="Graph_Down">#REF!</definedName>
    <definedName name="_xlnm.Print_Area" localSheetId="7">'A Florent'!$A$1:$K$59</definedName>
    <definedName name="_xlnm.Print_Area" localSheetId="6">Dansler!$A$1:$K$59</definedName>
    <definedName name="_xlnm.Print_Area" localSheetId="14">doug!$A$1:$K$59</definedName>
    <definedName name="_xlnm.Print_Area" localSheetId="0">'Emmanuel D'!$A$1:$K$59</definedName>
    <definedName name="_xlnm.Print_Area" localSheetId="8">'Joris R'!$A$1:$K$59</definedName>
    <definedName name="_xlnm.Print_Area" localSheetId="4">Lesnoff!$A$1:$K$59</definedName>
    <definedName name="_xlnm.Print_Area" localSheetId="2">Lijour!$A$1:$K$59</definedName>
    <definedName name="_xlnm.Print_Area" localSheetId="3">'Loudiyi '!$A$1:$K$59</definedName>
    <definedName name="_xlnm.Print_Area" localSheetId="13">mark!$A$1:$K$59</definedName>
    <definedName name="_xlnm.Print_Area" localSheetId="1">OPEX!$A$1:$K$59</definedName>
    <definedName name="_xlnm.Print_Area" localSheetId="11">pierre!$A$1:$K$59</definedName>
    <definedName name="_xlnm.Print_Area" localSheetId="5">Roger!$A$1:$K$59</definedName>
    <definedName name="TableRes" localSheetId="7">'A Florent'!$B$5</definedName>
    <definedName name="TableRes" localSheetId="6">Dansler!$B$5</definedName>
    <definedName name="TableRes" localSheetId="14">doug!$B$5</definedName>
    <definedName name="TableRes" localSheetId="0">'Emmanuel D'!$B$5</definedName>
    <definedName name="TableRes" localSheetId="8">'Joris R'!$B$5</definedName>
    <definedName name="TableRes" localSheetId="4">Lesnoff!$B$5</definedName>
    <definedName name="TableRes" localSheetId="2">Lijour!$B$5</definedName>
    <definedName name="TableRes" localSheetId="3">'Loudiyi '!$B$5</definedName>
    <definedName name="TableRes" localSheetId="13">mark!$B$5</definedName>
    <definedName name="TableRes" localSheetId="1">OPEX!$B$5</definedName>
    <definedName name="TableRes" localSheetId="11">pierre!$B$5</definedName>
    <definedName name="TableRes" localSheetId="5">Roger!$B$5</definedName>
    <definedName name="TableRes">#REF!</definedName>
    <definedName name="VET" localSheetId="7">#REF!</definedName>
    <definedName name="VET" localSheetId="6">#REF!</definedName>
    <definedName name="VET" localSheetId="14">#REF!</definedName>
    <definedName name="VET" localSheetId="0">#REF!</definedName>
    <definedName name="VET" localSheetId="8">#REF!</definedName>
    <definedName name="VET" localSheetId="4">#REF!</definedName>
    <definedName name="VET" localSheetId="2">#REF!</definedName>
    <definedName name="VET" localSheetId="3">#REF!</definedName>
    <definedName name="VET" localSheetId="13">#REF!</definedName>
    <definedName name="VET" localSheetId="1">#REF!</definedName>
    <definedName name="VET" localSheetId="11">#REF!</definedName>
    <definedName name="VET" localSheetId="5">#REF!</definedName>
    <definedName name="VET">#REF!</definedName>
    <definedName name="X" localSheetId="7">OFFSET('A Florent'!#REF!,0,0,'A Florent'!$X$59,0)</definedName>
    <definedName name="X" localSheetId="6">OFFSET(Dansler!#REF!,0,0,Dansler!$X$59,0)</definedName>
    <definedName name="X" localSheetId="14">OFFSET(doug!#REF!,0,0,doug!$X$59,0)</definedName>
    <definedName name="X" localSheetId="0">OFFSET('Emmanuel D'!#REF!,0,0,'Emmanuel D'!$X$59,0)</definedName>
    <definedName name="X" localSheetId="8">OFFSET('Joris R'!#REF!,0,0,'Joris R'!$X$59,0)</definedName>
    <definedName name="X" localSheetId="4">OFFSET(Lesnoff!#REF!,0,0,Lesnoff!$X$59,0)</definedName>
    <definedName name="X" localSheetId="2">OFFSET(Lijour!#REF!,0,0,Lijour!$X$59,0)</definedName>
    <definedName name="X" localSheetId="3">OFFSET('Loudiyi '!#REF!,0,0,'Loudiyi '!$X$59,0)</definedName>
    <definedName name="X" localSheetId="13">OFFSET(mark!#REF!,0,0,mark!$X$59,0)</definedName>
    <definedName name="X" localSheetId="1">OFFSET(OPEX!#REF!,0,0,OPEX!$X$59,0)</definedName>
    <definedName name="X" localSheetId="11">OFFSET(pierre!#REF!,0,0,pierre!$X$59,0)</definedName>
    <definedName name="X" localSheetId="5">OFFSET(Roger!#REF!,0,0,Roger!$X$59,0)</definedName>
    <definedName name="X">OFFSET(#REF!,0,0,#REF!,0)</definedName>
    <definedName name="ZERO_REMOVED" localSheetId="7">'A Florent'!#REF!</definedName>
    <definedName name="ZERO_REMOVED" localSheetId="6">Dansler!#REF!</definedName>
    <definedName name="ZERO_REMOVED" localSheetId="14">doug!#REF!</definedName>
    <definedName name="ZERO_REMOVED" localSheetId="0">'Emmanuel D'!#REF!</definedName>
    <definedName name="ZERO_REMOVED" localSheetId="8">'Joris R'!#REF!</definedName>
    <definedName name="ZERO_REMOVED" localSheetId="4">Lesnoff!#REF!</definedName>
    <definedName name="ZERO_REMOVED" localSheetId="2">Lijour!#REF!</definedName>
    <definedName name="ZERO_REMOVED" localSheetId="3">'Loudiyi '!#REF!</definedName>
    <definedName name="ZERO_REMOVED" localSheetId="13">mark!#REF!</definedName>
    <definedName name="ZERO_REMOVED" localSheetId="1">OPEX!#REF!</definedName>
    <definedName name="ZERO_REMOVED" localSheetId="11">pierre!#REF!</definedName>
    <definedName name="ZERO_REMOVED" localSheetId="5">Roger!#REF!</definedName>
    <definedName name="ZERO_REMOVED">#REF!</definedName>
  </definedNames>
  <calcPr calcId="18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14" i="64" l="1"/>
  <c r="H13" i="64"/>
  <c r="H12" i="64"/>
  <c r="H11" i="64"/>
  <c r="H10" i="64"/>
  <c r="H9" i="64"/>
  <c r="H8" i="64"/>
  <c r="H7" i="64"/>
  <c r="H6" i="64"/>
  <c r="H5" i="64"/>
  <c r="H4" i="64"/>
  <c r="R142" i="77"/>
  <c r="B142" i="77" s="1"/>
  <c r="G142" i="77"/>
  <c r="N142" i="77" s="1"/>
  <c r="R141" i="77"/>
  <c r="B141" i="77" s="1"/>
  <c r="G141" i="77"/>
  <c r="N141" i="77" s="1"/>
  <c r="R140" i="77"/>
  <c r="B140" i="77" s="1"/>
  <c r="G140" i="77"/>
  <c r="N140" i="77" s="1"/>
  <c r="R139" i="77"/>
  <c r="B139" i="77" s="1"/>
  <c r="N139" i="77"/>
  <c r="G139" i="77"/>
  <c r="R138" i="77"/>
  <c r="B138" i="77" s="1"/>
  <c r="G138" i="77"/>
  <c r="N138" i="77" s="1"/>
  <c r="R137" i="77"/>
  <c r="B137" i="77" s="1"/>
  <c r="G137" i="77"/>
  <c r="N137" i="77" s="1"/>
  <c r="R136" i="77"/>
  <c r="B136" i="77" s="1"/>
  <c r="G136" i="77"/>
  <c r="N136" i="77" s="1"/>
  <c r="R135" i="77"/>
  <c r="B135" i="77" s="1"/>
  <c r="G135" i="77"/>
  <c r="N135" i="77" s="1"/>
  <c r="R134" i="77"/>
  <c r="B134" i="77" s="1"/>
  <c r="G134" i="77"/>
  <c r="N134" i="77" s="1"/>
  <c r="R133" i="77"/>
  <c r="B133" i="77" s="1"/>
  <c r="N133" i="77"/>
  <c r="G133" i="77"/>
  <c r="R132" i="77"/>
  <c r="B132" i="77" s="1"/>
  <c r="G132" i="77"/>
  <c r="N132" i="77" s="1"/>
  <c r="R131" i="77"/>
  <c r="B131" i="77" s="1"/>
  <c r="G131" i="77"/>
  <c r="N131" i="77" s="1"/>
  <c r="R130" i="77"/>
  <c r="B130" i="77" s="1"/>
  <c r="G130" i="77"/>
  <c r="N130" i="77" s="1"/>
  <c r="R129" i="77"/>
  <c r="B129" i="77" s="1"/>
  <c r="N129" i="77"/>
  <c r="G129" i="77"/>
  <c r="R128" i="77"/>
  <c r="B128" i="77" s="1"/>
  <c r="G128" i="77"/>
  <c r="N128" i="77" s="1"/>
  <c r="R127" i="77"/>
  <c r="B127" i="77" s="1"/>
  <c r="G127" i="77"/>
  <c r="N127" i="77" s="1"/>
  <c r="R126" i="77"/>
  <c r="B126" i="77" s="1"/>
  <c r="G126" i="77"/>
  <c r="N126" i="77" s="1"/>
  <c r="R125" i="77"/>
  <c r="B125" i="77" s="1"/>
  <c r="N125" i="77"/>
  <c r="G125" i="77"/>
  <c r="R124" i="77"/>
  <c r="B124" i="77" s="1"/>
  <c r="G124" i="77"/>
  <c r="N124" i="77" s="1"/>
  <c r="R123" i="77"/>
  <c r="B123" i="77" s="1"/>
  <c r="G123" i="77"/>
  <c r="N123" i="77" s="1"/>
  <c r="R122" i="77"/>
  <c r="B122" i="77" s="1"/>
  <c r="G122" i="77"/>
  <c r="N122" i="77" s="1"/>
  <c r="R121" i="77"/>
  <c r="B121" i="77" s="1"/>
  <c r="G121" i="77"/>
  <c r="N121" i="77" s="1"/>
  <c r="R120" i="77"/>
  <c r="B120" i="77" s="1"/>
  <c r="N120" i="77"/>
  <c r="G120" i="77"/>
  <c r="R119" i="77"/>
  <c r="B119" i="77" s="1"/>
  <c r="G119" i="77"/>
  <c r="N119" i="77" s="1"/>
  <c r="R118" i="77"/>
  <c r="B118" i="77" s="1"/>
  <c r="N118" i="77"/>
  <c r="G118" i="77"/>
  <c r="R117" i="77"/>
  <c r="B117" i="77" s="1"/>
  <c r="G117" i="77"/>
  <c r="N117" i="77" s="1"/>
  <c r="R116" i="77"/>
  <c r="B116" i="77" s="1"/>
  <c r="G116" i="77"/>
  <c r="N116" i="77" s="1"/>
  <c r="R115" i="77"/>
  <c r="B115" i="77" s="1"/>
  <c r="N115" i="77"/>
  <c r="G115" i="77"/>
  <c r="R114" i="77"/>
  <c r="B114" i="77" s="1"/>
  <c r="G114" i="77"/>
  <c r="N114" i="77" s="1"/>
  <c r="R113" i="77"/>
  <c r="B113" i="77" s="1"/>
  <c r="N113" i="77"/>
  <c r="G113" i="77"/>
  <c r="R112" i="77"/>
  <c r="B112" i="77" s="1"/>
  <c r="G112" i="77"/>
  <c r="N112" i="77" s="1"/>
  <c r="R111" i="77"/>
  <c r="B111" i="77" s="1"/>
  <c r="G111" i="77"/>
  <c r="N111" i="77" s="1"/>
  <c r="R110" i="77"/>
  <c r="B110" i="77" s="1"/>
  <c r="G110" i="77"/>
  <c r="N110" i="77" s="1"/>
  <c r="R109" i="77"/>
  <c r="B109" i="77" s="1"/>
  <c r="G109" i="77"/>
  <c r="N109" i="77" s="1"/>
  <c r="R108" i="77"/>
  <c r="B108" i="77" s="1"/>
  <c r="N108" i="77"/>
  <c r="G108" i="77"/>
  <c r="R107" i="77"/>
  <c r="B107" i="77" s="1"/>
  <c r="G107" i="77"/>
  <c r="N107" i="77" s="1"/>
  <c r="R106" i="77"/>
  <c r="B106" i="77" s="1"/>
  <c r="G106" i="77"/>
  <c r="N106" i="77" s="1"/>
  <c r="R105" i="77"/>
  <c r="B105" i="77" s="1"/>
  <c r="G105" i="77"/>
  <c r="N105" i="77" s="1"/>
  <c r="R104" i="77"/>
  <c r="B104" i="77" s="1"/>
  <c r="G104" i="77"/>
  <c r="N104" i="77" s="1"/>
  <c r="R103" i="77"/>
  <c r="B103" i="77" s="1"/>
  <c r="G103" i="77"/>
  <c r="N103" i="77" s="1"/>
  <c r="R102" i="77"/>
  <c r="B102" i="77" s="1"/>
  <c r="G102" i="77"/>
  <c r="N102" i="77" s="1"/>
  <c r="R101" i="77"/>
  <c r="B101" i="77" s="1"/>
  <c r="N101" i="77"/>
  <c r="G101" i="77"/>
  <c r="R100" i="77"/>
  <c r="B100" i="77" s="1"/>
  <c r="G100" i="77"/>
  <c r="N100" i="77" s="1"/>
  <c r="R99" i="77"/>
  <c r="B99" i="77" s="1"/>
  <c r="G99" i="77"/>
  <c r="N99" i="77" s="1"/>
  <c r="R98" i="77"/>
  <c r="B98" i="77" s="1"/>
  <c r="G98" i="77"/>
  <c r="N98" i="77" s="1"/>
  <c r="R97" i="77"/>
  <c r="B97" i="77" s="1"/>
  <c r="N97" i="77"/>
  <c r="G97" i="77"/>
  <c r="R96" i="77"/>
  <c r="B96" i="77" s="1"/>
  <c r="G96" i="77"/>
  <c r="N96" i="77" s="1"/>
  <c r="R95" i="77"/>
  <c r="B95" i="77" s="1"/>
  <c r="G95" i="77"/>
  <c r="N95" i="77" s="1"/>
  <c r="R94" i="77"/>
  <c r="B94" i="77" s="1"/>
  <c r="N94" i="77"/>
  <c r="G94" i="77"/>
  <c r="R93" i="77"/>
  <c r="B93" i="77" s="1"/>
  <c r="G93" i="77"/>
  <c r="N93" i="77" s="1"/>
  <c r="R92" i="77"/>
  <c r="B92" i="77" s="1"/>
  <c r="G92" i="77"/>
  <c r="N92" i="77" s="1"/>
  <c r="R91" i="77"/>
  <c r="B91" i="77" s="1"/>
  <c r="N91" i="77"/>
  <c r="G91" i="77"/>
  <c r="R90" i="77"/>
  <c r="B90" i="77" s="1"/>
  <c r="G90" i="77"/>
  <c r="N90" i="77" s="1"/>
  <c r="R89" i="77"/>
  <c r="B89" i="77" s="1"/>
  <c r="N89" i="77"/>
  <c r="G89" i="77"/>
  <c r="R88" i="77"/>
  <c r="B88" i="77" s="1"/>
  <c r="G88" i="77"/>
  <c r="N88" i="77" s="1"/>
  <c r="R87" i="77"/>
  <c r="B87" i="77" s="1"/>
  <c r="N87" i="77"/>
  <c r="G87" i="77"/>
  <c r="R86" i="77"/>
  <c r="B86" i="77" s="1"/>
  <c r="G86" i="77"/>
  <c r="N86" i="77" s="1"/>
  <c r="R85" i="77"/>
  <c r="B85" i="77" s="1"/>
  <c r="N85" i="77"/>
  <c r="G85" i="77"/>
  <c r="R84" i="77"/>
  <c r="B84" i="77" s="1"/>
  <c r="G84" i="77"/>
  <c r="N84" i="77" s="1"/>
  <c r="R83" i="77"/>
  <c r="B83" i="77" s="1"/>
  <c r="N83" i="77"/>
  <c r="G83" i="77"/>
  <c r="R82" i="77"/>
  <c r="B82" i="77" s="1"/>
  <c r="G82" i="77"/>
  <c r="N82" i="77" s="1"/>
  <c r="R81" i="77"/>
  <c r="B81" i="77" s="1"/>
  <c r="G81" i="77"/>
  <c r="N81" i="77" s="1"/>
  <c r="R80" i="77"/>
  <c r="B80" i="77" s="1"/>
  <c r="G80" i="77"/>
  <c r="N80" i="77" s="1"/>
  <c r="R79" i="77"/>
  <c r="B79" i="77" s="1"/>
  <c r="N79" i="77"/>
  <c r="G79" i="77"/>
  <c r="R78" i="77"/>
  <c r="B78" i="77" s="1"/>
  <c r="G78" i="77"/>
  <c r="N78" i="77" s="1"/>
  <c r="R77" i="77"/>
  <c r="B77" i="77" s="1"/>
  <c r="G77" i="77"/>
  <c r="N77" i="77" s="1"/>
  <c r="R76" i="77"/>
  <c r="B76" i="77" s="1"/>
  <c r="G76" i="77"/>
  <c r="N76" i="77" s="1"/>
  <c r="R75" i="77"/>
  <c r="B75" i="77" s="1"/>
  <c r="G75" i="77"/>
  <c r="N75" i="77" s="1"/>
  <c r="R74" i="77"/>
  <c r="B74" i="77" s="1"/>
  <c r="G74" i="77"/>
  <c r="N74" i="77" s="1"/>
  <c r="R73" i="77"/>
  <c r="B73" i="77" s="1"/>
  <c r="G73" i="77"/>
  <c r="N73" i="77" s="1"/>
  <c r="R72" i="77"/>
  <c r="B72" i="77" s="1"/>
  <c r="G72" i="77"/>
  <c r="N72" i="77" s="1"/>
  <c r="R71" i="77"/>
  <c r="B71" i="77" s="1"/>
  <c r="N71" i="77"/>
  <c r="G71" i="77"/>
  <c r="R70" i="77"/>
  <c r="B70" i="77" s="1"/>
  <c r="G70" i="77"/>
  <c r="N70" i="77" s="1"/>
  <c r="R69" i="77"/>
  <c r="B69" i="77" s="1"/>
  <c r="G69" i="77"/>
  <c r="N69" i="77" s="1"/>
  <c r="R68" i="77"/>
  <c r="B68" i="77" s="1"/>
  <c r="G68" i="77"/>
  <c r="N68" i="77" s="1"/>
  <c r="R67" i="77"/>
  <c r="B67" i="77" s="1"/>
  <c r="G67" i="77"/>
  <c r="N67" i="77" s="1"/>
  <c r="R66" i="77"/>
  <c r="B66" i="77" s="1"/>
  <c r="N66" i="77"/>
  <c r="G66" i="77"/>
  <c r="R65" i="77"/>
  <c r="B65" i="77" s="1"/>
  <c r="G65" i="77"/>
  <c r="N65" i="77" s="1"/>
  <c r="R64" i="77"/>
  <c r="B64" i="77" s="1"/>
  <c r="G64" i="77"/>
  <c r="N64" i="77" s="1"/>
  <c r="R63" i="77"/>
  <c r="B63" i="77" s="1"/>
  <c r="N63" i="77"/>
  <c r="G63" i="77"/>
  <c r="AA62" i="77"/>
  <c r="X62" i="77"/>
  <c r="X25" i="77"/>
  <c r="X26" i="77" s="1"/>
  <c r="E25" i="77"/>
  <c r="E23" i="77"/>
  <c r="E24" i="77" s="1"/>
  <c r="E22" i="77"/>
  <c r="J94" i="77" s="1"/>
  <c r="K94" i="77" s="1"/>
  <c r="L94" i="77" s="1"/>
  <c r="E21" i="77"/>
  <c r="J82" i="77" s="1"/>
  <c r="K82" i="77" s="1"/>
  <c r="L82" i="77" s="1"/>
  <c r="E19" i="77"/>
  <c r="F13" i="77"/>
  <c r="U83" i="77" s="1"/>
  <c r="V83" i="77" s="1"/>
  <c r="D13" i="77"/>
  <c r="F12" i="77"/>
  <c r="D12" i="77"/>
  <c r="F11" i="77"/>
  <c r="E11" i="77"/>
  <c r="Y20" i="77" s="1"/>
  <c r="D11" i="77"/>
  <c r="F10" i="77"/>
  <c r="D10" i="77"/>
  <c r="E10" i="77" s="1"/>
  <c r="F9" i="77"/>
  <c r="D9" i="77"/>
  <c r="E8" i="77"/>
  <c r="I12" i="77" s="1"/>
  <c r="I18" i="77" s="1"/>
  <c r="F7" i="77"/>
  <c r="D7" i="77"/>
  <c r="C6" i="77"/>
  <c r="R142" i="76"/>
  <c r="B142" i="76" s="1"/>
  <c r="G142" i="76"/>
  <c r="N142" i="76" s="1"/>
  <c r="R141" i="76"/>
  <c r="B141" i="76" s="1"/>
  <c r="G141" i="76"/>
  <c r="N141" i="76" s="1"/>
  <c r="R140" i="76"/>
  <c r="B140" i="76" s="1"/>
  <c r="G140" i="76"/>
  <c r="N140" i="76" s="1"/>
  <c r="R139" i="76"/>
  <c r="B139" i="76" s="1"/>
  <c r="G139" i="76"/>
  <c r="N139" i="76" s="1"/>
  <c r="R138" i="76"/>
  <c r="B138" i="76" s="1"/>
  <c r="G138" i="76"/>
  <c r="N138" i="76" s="1"/>
  <c r="R137" i="76"/>
  <c r="B137" i="76" s="1"/>
  <c r="N137" i="76"/>
  <c r="G137" i="76"/>
  <c r="R136" i="76"/>
  <c r="B136" i="76" s="1"/>
  <c r="G136" i="76"/>
  <c r="N136" i="76" s="1"/>
  <c r="R135" i="76"/>
  <c r="B135" i="76" s="1"/>
  <c r="G135" i="76"/>
  <c r="N135" i="76" s="1"/>
  <c r="R134" i="76"/>
  <c r="B134" i="76" s="1"/>
  <c r="N134" i="76"/>
  <c r="G134" i="76"/>
  <c r="R133" i="76"/>
  <c r="B133" i="76" s="1"/>
  <c r="G133" i="76"/>
  <c r="N133" i="76" s="1"/>
  <c r="R132" i="76"/>
  <c r="B132" i="76" s="1"/>
  <c r="N132" i="76"/>
  <c r="G132" i="76"/>
  <c r="R131" i="76"/>
  <c r="B131" i="76" s="1"/>
  <c r="G131" i="76"/>
  <c r="N131" i="76" s="1"/>
  <c r="R130" i="76"/>
  <c r="B130" i="76" s="1"/>
  <c r="G130" i="76"/>
  <c r="N130" i="76" s="1"/>
  <c r="R129" i="76"/>
  <c r="B129" i="76" s="1"/>
  <c r="N129" i="76"/>
  <c r="G129" i="76"/>
  <c r="R128" i="76"/>
  <c r="B128" i="76" s="1"/>
  <c r="G128" i="76"/>
  <c r="N128" i="76" s="1"/>
  <c r="R127" i="76"/>
  <c r="B127" i="76" s="1"/>
  <c r="G127" i="76"/>
  <c r="N127" i="76" s="1"/>
  <c r="R126" i="76"/>
  <c r="B126" i="76" s="1"/>
  <c r="N126" i="76"/>
  <c r="G126" i="76"/>
  <c r="R125" i="76"/>
  <c r="B125" i="76" s="1"/>
  <c r="G125" i="76"/>
  <c r="N125" i="76" s="1"/>
  <c r="R124" i="76"/>
  <c r="B124" i="76" s="1"/>
  <c r="G124" i="76"/>
  <c r="N124" i="76" s="1"/>
  <c r="R123" i="76"/>
  <c r="B123" i="76" s="1"/>
  <c r="G123" i="76"/>
  <c r="N123" i="76" s="1"/>
  <c r="R122" i="76"/>
  <c r="B122" i="76" s="1"/>
  <c r="G122" i="76"/>
  <c r="N122" i="76" s="1"/>
  <c r="R121" i="76"/>
  <c r="B121" i="76" s="1"/>
  <c r="N121" i="76"/>
  <c r="G121" i="76"/>
  <c r="R120" i="76"/>
  <c r="B120" i="76" s="1"/>
  <c r="N120" i="76"/>
  <c r="G120" i="76"/>
  <c r="R119" i="76"/>
  <c r="B119" i="76" s="1"/>
  <c r="G119" i="76"/>
  <c r="N119" i="76" s="1"/>
  <c r="R118" i="76"/>
  <c r="B118" i="76" s="1"/>
  <c r="G118" i="76"/>
  <c r="N118" i="76" s="1"/>
  <c r="R117" i="76"/>
  <c r="B117" i="76" s="1"/>
  <c r="G117" i="76"/>
  <c r="N117" i="76" s="1"/>
  <c r="R116" i="76"/>
  <c r="B116" i="76" s="1"/>
  <c r="G116" i="76"/>
  <c r="N116" i="76" s="1"/>
  <c r="R115" i="76"/>
  <c r="B115" i="76" s="1"/>
  <c r="N115" i="76"/>
  <c r="G115" i="76"/>
  <c r="R114" i="76"/>
  <c r="B114" i="76" s="1"/>
  <c r="N114" i="76"/>
  <c r="G114" i="76"/>
  <c r="R113" i="76"/>
  <c r="B113" i="76" s="1"/>
  <c r="N113" i="76"/>
  <c r="G113" i="76"/>
  <c r="R112" i="76"/>
  <c r="B112" i="76" s="1"/>
  <c r="G112" i="76"/>
  <c r="N112" i="76" s="1"/>
  <c r="R111" i="76"/>
  <c r="B111" i="76" s="1"/>
  <c r="G111" i="76"/>
  <c r="N111" i="76" s="1"/>
  <c r="R110" i="76"/>
  <c r="B110" i="76" s="1"/>
  <c r="G110" i="76"/>
  <c r="N110" i="76" s="1"/>
  <c r="R109" i="76"/>
  <c r="B109" i="76" s="1"/>
  <c r="G109" i="76"/>
  <c r="N109" i="76" s="1"/>
  <c r="R108" i="76"/>
  <c r="B108" i="76" s="1"/>
  <c r="N108" i="76"/>
  <c r="G108" i="76"/>
  <c r="R107" i="76"/>
  <c r="B107" i="76" s="1"/>
  <c r="G107" i="76"/>
  <c r="N107" i="76" s="1"/>
  <c r="R106" i="76"/>
  <c r="B106" i="76" s="1"/>
  <c r="N106" i="76"/>
  <c r="G106" i="76"/>
  <c r="R105" i="76"/>
  <c r="B105" i="76" s="1"/>
  <c r="G105" i="76"/>
  <c r="N105" i="76" s="1"/>
  <c r="R104" i="76"/>
  <c r="B104" i="76" s="1"/>
  <c r="G104" i="76"/>
  <c r="N104" i="76" s="1"/>
  <c r="R103" i="76"/>
  <c r="B103" i="76" s="1"/>
  <c r="N103" i="76"/>
  <c r="G103" i="76"/>
  <c r="R102" i="76"/>
  <c r="B102" i="76" s="1"/>
  <c r="G102" i="76"/>
  <c r="N102" i="76" s="1"/>
  <c r="S101" i="76"/>
  <c r="R101" i="76"/>
  <c r="B101" i="76" s="1"/>
  <c r="N101" i="76"/>
  <c r="G101" i="76"/>
  <c r="R100" i="76"/>
  <c r="B100" i="76" s="1"/>
  <c r="G100" i="76"/>
  <c r="N100" i="76" s="1"/>
  <c r="R99" i="76"/>
  <c r="B99" i="76" s="1"/>
  <c r="G99" i="76"/>
  <c r="N99" i="76" s="1"/>
  <c r="R98" i="76"/>
  <c r="B98" i="76" s="1"/>
  <c r="G98" i="76"/>
  <c r="N98" i="76" s="1"/>
  <c r="R97" i="76"/>
  <c r="B97" i="76" s="1"/>
  <c r="G97" i="76"/>
  <c r="N97" i="76" s="1"/>
  <c r="R96" i="76"/>
  <c r="B96" i="76" s="1"/>
  <c r="N96" i="76"/>
  <c r="G96" i="76"/>
  <c r="S95" i="76"/>
  <c r="R95" i="76"/>
  <c r="B95" i="76" s="1"/>
  <c r="N95" i="76"/>
  <c r="G95" i="76"/>
  <c r="R94" i="76"/>
  <c r="B94" i="76" s="1"/>
  <c r="G94" i="76"/>
  <c r="N94" i="76" s="1"/>
  <c r="S93" i="76"/>
  <c r="R93" i="76"/>
  <c r="B93" i="76" s="1"/>
  <c r="G93" i="76"/>
  <c r="N93" i="76" s="1"/>
  <c r="R92" i="76"/>
  <c r="B92" i="76" s="1"/>
  <c r="G92" i="76"/>
  <c r="N92" i="76" s="1"/>
  <c r="T91" i="76"/>
  <c r="S91" i="76"/>
  <c r="R91" i="76"/>
  <c r="B91" i="76" s="1"/>
  <c r="G91" i="76"/>
  <c r="N91" i="76" s="1"/>
  <c r="R90" i="76"/>
  <c r="B90" i="76" s="1"/>
  <c r="G90" i="76"/>
  <c r="N90" i="76" s="1"/>
  <c r="S89" i="76"/>
  <c r="R89" i="76"/>
  <c r="B89" i="76" s="1"/>
  <c r="G89" i="76"/>
  <c r="N89" i="76" s="1"/>
  <c r="R88" i="76"/>
  <c r="B88" i="76" s="1"/>
  <c r="N88" i="76"/>
  <c r="G88" i="76"/>
  <c r="R87" i="76"/>
  <c r="B87" i="76" s="1"/>
  <c r="G87" i="76"/>
  <c r="N87" i="76" s="1"/>
  <c r="R86" i="76"/>
  <c r="B86" i="76" s="1"/>
  <c r="N86" i="76"/>
  <c r="G86" i="76"/>
  <c r="R85" i="76"/>
  <c r="B85" i="76" s="1"/>
  <c r="G85" i="76"/>
  <c r="N85" i="76" s="1"/>
  <c r="R84" i="76"/>
  <c r="B84" i="76" s="1"/>
  <c r="G84" i="76"/>
  <c r="N84" i="76" s="1"/>
  <c r="R83" i="76"/>
  <c r="B83" i="76" s="1"/>
  <c r="N83" i="76"/>
  <c r="G83" i="76"/>
  <c r="R82" i="76"/>
  <c r="B82" i="76" s="1"/>
  <c r="G82" i="76"/>
  <c r="N82" i="76" s="1"/>
  <c r="R81" i="76"/>
  <c r="B81" i="76" s="1"/>
  <c r="G81" i="76"/>
  <c r="N81" i="76" s="1"/>
  <c r="R80" i="76"/>
  <c r="B80" i="76" s="1"/>
  <c r="N80" i="76"/>
  <c r="G80" i="76"/>
  <c r="S79" i="76"/>
  <c r="R79" i="76"/>
  <c r="B79" i="76" s="1"/>
  <c r="G79" i="76"/>
  <c r="N79" i="76" s="1"/>
  <c r="R78" i="76"/>
  <c r="B78" i="76" s="1"/>
  <c r="N78" i="76"/>
  <c r="G78" i="76"/>
  <c r="R77" i="76"/>
  <c r="B77" i="76" s="1"/>
  <c r="G77" i="76"/>
  <c r="N77" i="76" s="1"/>
  <c r="R76" i="76"/>
  <c r="B76" i="76" s="1"/>
  <c r="N76" i="76"/>
  <c r="G76" i="76"/>
  <c r="R75" i="76"/>
  <c r="B75" i="76" s="1"/>
  <c r="G75" i="76"/>
  <c r="N75" i="76" s="1"/>
  <c r="R74" i="76"/>
  <c r="B74" i="76" s="1"/>
  <c r="G74" i="76"/>
  <c r="N74" i="76" s="1"/>
  <c r="R73" i="76"/>
  <c r="B73" i="76" s="1"/>
  <c r="G73" i="76"/>
  <c r="N73" i="76" s="1"/>
  <c r="R72" i="76"/>
  <c r="B72" i="76" s="1"/>
  <c r="G72" i="76"/>
  <c r="N72" i="76" s="1"/>
  <c r="S71" i="76"/>
  <c r="R71" i="76"/>
  <c r="B71" i="76" s="1"/>
  <c r="G71" i="76"/>
  <c r="N71" i="76" s="1"/>
  <c r="R70" i="76"/>
  <c r="B70" i="76" s="1"/>
  <c r="G70" i="76"/>
  <c r="N70" i="76" s="1"/>
  <c r="R69" i="76"/>
  <c r="B69" i="76" s="1"/>
  <c r="N69" i="76"/>
  <c r="G69" i="76"/>
  <c r="R68" i="76"/>
  <c r="B68" i="76" s="1"/>
  <c r="G68" i="76"/>
  <c r="N68" i="76" s="1"/>
  <c r="S67" i="76"/>
  <c r="R67" i="76"/>
  <c r="B67" i="76" s="1"/>
  <c r="G67" i="76"/>
  <c r="N67" i="76" s="1"/>
  <c r="R66" i="76"/>
  <c r="B66" i="76" s="1"/>
  <c r="G66" i="76"/>
  <c r="N66" i="76" s="1"/>
  <c r="R65" i="76"/>
  <c r="B65" i="76" s="1"/>
  <c r="N65" i="76"/>
  <c r="G65" i="76"/>
  <c r="R64" i="76"/>
  <c r="B64" i="76" s="1"/>
  <c r="G64" i="76"/>
  <c r="N64" i="76" s="1"/>
  <c r="S63" i="76"/>
  <c r="R63" i="76"/>
  <c r="B63" i="76" s="1"/>
  <c r="G63" i="76"/>
  <c r="N63" i="76" s="1"/>
  <c r="AA62" i="76"/>
  <c r="X62" i="76"/>
  <c r="X25" i="76"/>
  <c r="X26" i="76" s="1"/>
  <c r="E23" i="76"/>
  <c r="E24" i="76" s="1"/>
  <c r="E22" i="76"/>
  <c r="E21" i="76"/>
  <c r="E19" i="76"/>
  <c r="I24" i="76" s="1"/>
  <c r="F13" i="76"/>
  <c r="F20" i="76" s="1"/>
  <c r="D13" i="76"/>
  <c r="F12" i="76"/>
  <c r="D12" i="76"/>
  <c r="F11" i="76"/>
  <c r="E11" i="76" s="1"/>
  <c r="D11" i="76"/>
  <c r="F10" i="76"/>
  <c r="E10" i="76" s="1"/>
  <c r="D10" i="76"/>
  <c r="F9" i="76"/>
  <c r="Y21" i="76" s="1"/>
  <c r="D9" i="76"/>
  <c r="X8" i="76"/>
  <c r="X39" i="76" s="1"/>
  <c r="X59" i="76" s="1"/>
  <c r="E8" i="76"/>
  <c r="I12" i="76" s="1"/>
  <c r="I18" i="76" s="1"/>
  <c r="F7" i="76"/>
  <c r="D7" i="76"/>
  <c r="C6" i="76"/>
  <c r="R142" i="74"/>
  <c r="B142" i="74" s="1"/>
  <c r="N142" i="74"/>
  <c r="G142" i="74"/>
  <c r="R141" i="74"/>
  <c r="B141" i="74" s="1"/>
  <c r="G141" i="74"/>
  <c r="N141" i="74" s="1"/>
  <c r="R140" i="74"/>
  <c r="B140" i="74" s="1"/>
  <c r="G140" i="74"/>
  <c r="N140" i="74" s="1"/>
  <c r="R139" i="74"/>
  <c r="B139" i="74" s="1"/>
  <c r="G139" i="74"/>
  <c r="N139" i="74" s="1"/>
  <c r="R138" i="74"/>
  <c r="B138" i="74" s="1"/>
  <c r="N138" i="74"/>
  <c r="G138" i="74"/>
  <c r="R137" i="74"/>
  <c r="B137" i="74" s="1"/>
  <c r="N137" i="74"/>
  <c r="G137" i="74"/>
  <c r="R136" i="74"/>
  <c r="B136" i="74" s="1"/>
  <c r="N136" i="74"/>
  <c r="G136" i="74"/>
  <c r="R135" i="74"/>
  <c r="B135" i="74" s="1"/>
  <c r="G135" i="74"/>
  <c r="N135" i="74" s="1"/>
  <c r="R134" i="74"/>
  <c r="B134" i="74" s="1"/>
  <c r="N134" i="74"/>
  <c r="G134" i="74"/>
  <c r="R133" i="74"/>
  <c r="B133" i="74" s="1"/>
  <c r="G133" i="74"/>
  <c r="N133" i="74" s="1"/>
  <c r="R132" i="74"/>
  <c r="B132" i="74" s="1"/>
  <c r="N132" i="74"/>
  <c r="G132" i="74"/>
  <c r="R131" i="74"/>
  <c r="B131" i="74" s="1"/>
  <c r="G131" i="74"/>
  <c r="N131" i="74" s="1"/>
  <c r="R130" i="74"/>
  <c r="B130" i="74" s="1"/>
  <c r="N130" i="74"/>
  <c r="G130" i="74"/>
  <c r="R129" i="74"/>
  <c r="B129" i="74" s="1"/>
  <c r="N129" i="74"/>
  <c r="G129" i="74"/>
  <c r="R128" i="74"/>
  <c r="B128" i="74" s="1"/>
  <c r="G128" i="74"/>
  <c r="N128" i="74" s="1"/>
  <c r="R127" i="74"/>
  <c r="B127" i="74" s="1"/>
  <c r="G127" i="74"/>
  <c r="N127" i="74" s="1"/>
  <c r="R126" i="74"/>
  <c r="B126" i="74" s="1"/>
  <c r="N126" i="74"/>
  <c r="G126" i="74"/>
  <c r="R125" i="74"/>
  <c r="B125" i="74" s="1"/>
  <c r="N125" i="74"/>
  <c r="G125" i="74"/>
  <c r="R124" i="74"/>
  <c r="B124" i="74" s="1"/>
  <c r="N124" i="74"/>
  <c r="G124" i="74"/>
  <c r="R123" i="74"/>
  <c r="B123" i="74" s="1"/>
  <c r="G123" i="74"/>
  <c r="N123" i="74" s="1"/>
  <c r="R122" i="74"/>
  <c r="B122" i="74" s="1"/>
  <c r="N122" i="74"/>
  <c r="G122" i="74"/>
  <c r="R121" i="74"/>
  <c r="B121" i="74" s="1"/>
  <c r="N121" i="74"/>
  <c r="G121" i="74"/>
  <c r="R120" i="74"/>
  <c r="B120" i="74" s="1"/>
  <c r="N120" i="74"/>
  <c r="G120" i="74"/>
  <c r="R119" i="74"/>
  <c r="B119" i="74" s="1"/>
  <c r="N119" i="74"/>
  <c r="G119" i="74"/>
  <c r="R118" i="74"/>
  <c r="B118" i="74" s="1"/>
  <c r="G118" i="74"/>
  <c r="N118" i="74" s="1"/>
  <c r="R117" i="74"/>
  <c r="B117" i="74" s="1"/>
  <c r="G117" i="74"/>
  <c r="N117" i="74" s="1"/>
  <c r="R116" i="74"/>
  <c r="B116" i="74" s="1"/>
  <c r="G116" i="74"/>
  <c r="N116" i="74" s="1"/>
  <c r="R115" i="74"/>
  <c r="B115" i="74" s="1"/>
  <c r="N115" i="74"/>
  <c r="G115" i="74"/>
  <c r="R114" i="74"/>
  <c r="B114" i="74" s="1"/>
  <c r="G114" i="74"/>
  <c r="N114" i="74" s="1"/>
  <c r="R113" i="74"/>
  <c r="B113" i="74" s="1"/>
  <c r="N113" i="74"/>
  <c r="G113" i="74"/>
  <c r="R112" i="74"/>
  <c r="B112" i="74" s="1"/>
  <c r="N112" i="74"/>
  <c r="G112" i="74"/>
  <c r="R111" i="74"/>
  <c r="B111" i="74" s="1"/>
  <c r="N111" i="74"/>
  <c r="G111" i="74"/>
  <c r="R110" i="74"/>
  <c r="B110" i="74" s="1"/>
  <c r="G110" i="74"/>
  <c r="N110" i="74" s="1"/>
  <c r="R109" i="74"/>
  <c r="B109" i="74" s="1"/>
  <c r="N109" i="74"/>
  <c r="G109" i="74"/>
  <c r="R108" i="74"/>
  <c r="B108" i="74" s="1"/>
  <c r="N108" i="74"/>
  <c r="G108" i="74"/>
  <c r="R107" i="74"/>
  <c r="B107" i="74" s="1"/>
  <c r="N107" i="74"/>
  <c r="G107" i="74"/>
  <c r="R106" i="74"/>
  <c r="B106" i="74" s="1"/>
  <c r="G106" i="74"/>
  <c r="N106" i="74" s="1"/>
  <c r="R105" i="74"/>
  <c r="B105" i="74" s="1"/>
  <c r="N105" i="74"/>
  <c r="G105" i="74"/>
  <c r="R104" i="74"/>
  <c r="B104" i="74" s="1"/>
  <c r="N104" i="74"/>
  <c r="G104" i="74"/>
  <c r="R103" i="74"/>
  <c r="B103" i="74" s="1"/>
  <c r="N103" i="74"/>
  <c r="G103" i="74"/>
  <c r="R102" i="74"/>
  <c r="B102" i="74" s="1"/>
  <c r="G102" i="74"/>
  <c r="N102" i="74" s="1"/>
  <c r="R101" i="74"/>
  <c r="B101" i="74" s="1"/>
  <c r="N101" i="74"/>
  <c r="G101" i="74"/>
  <c r="R100" i="74"/>
  <c r="B100" i="74" s="1"/>
  <c r="N100" i="74"/>
  <c r="G100" i="74"/>
  <c r="R99" i="74"/>
  <c r="B99" i="74" s="1"/>
  <c r="G99" i="74"/>
  <c r="N99" i="74" s="1"/>
  <c r="R98" i="74"/>
  <c r="B98" i="74" s="1"/>
  <c r="G98" i="74"/>
  <c r="N98" i="74" s="1"/>
  <c r="R97" i="74"/>
  <c r="B97" i="74" s="1"/>
  <c r="G97" i="74"/>
  <c r="N97" i="74" s="1"/>
  <c r="R96" i="74"/>
  <c r="B96" i="74" s="1"/>
  <c r="N96" i="74"/>
  <c r="G96" i="74"/>
  <c r="R95" i="74"/>
  <c r="B95" i="74" s="1"/>
  <c r="G95" i="74"/>
  <c r="N95" i="74" s="1"/>
  <c r="R94" i="74"/>
  <c r="B94" i="74" s="1"/>
  <c r="G94" i="74"/>
  <c r="N94" i="74" s="1"/>
  <c r="R93" i="74"/>
  <c r="B93" i="74" s="1"/>
  <c r="G93" i="74"/>
  <c r="N93" i="74" s="1"/>
  <c r="R92" i="74"/>
  <c r="B92" i="74" s="1"/>
  <c r="G92" i="74"/>
  <c r="N92" i="74" s="1"/>
  <c r="R91" i="74"/>
  <c r="B91" i="74" s="1"/>
  <c r="N91" i="74"/>
  <c r="G91" i="74"/>
  <c r="R90" i="74"/>
  <c r="B90" i="74" s="1"/>
  <c r="G90" i="74"/>
  <c r="N90" i="74" s="1"/>
  <c r="R89" i="74"/>
  <c r="B89" i="74" s="1"/>
  <c r="G89" i="74"/>
  <c r="N89" i="74" s="1"/>
  <c r="R88" i="74"/>
  <c r="B88" i="74" s="1"/>
  <c r="N88" i="74"/>
  <c r="G88" i="74"/>
  <c r="R87" i="74"/>
  <c r="B87" i="74" s="1"/>
  <c r="N87" i="74"/>
  <c r="G87" i="74"/>
  <c r="R86" i="74"/>
  <c r="B86" i="74" s="1"/>
  <c r="G86" i="74"/>
  <c r="N86" i="74" s="1"/>
  <c r="R85" i="74"/>
  <c r="B85" i="74" s="1"/>
  <c r="G85" i="74"/>
  <c r="N85" i="74" s="1"/>
  <c r="R84" i="74"/>
  <c r="B84" i="74" s="1"/>
  <c r="G84" i="74"/>
  <c r="N84" i="74" s="1"/>
  <c r="R83" i="74"/>
  <c r="B83" i="74" s="1"/>
  <c r="N83" i="74"/>
  <c r="G83" i="74"/>
  <c r="R82" i="74"/>
  <c r="B82" i="74" s="1"/>
  <c r="G82" i="74"/>
  <c r="N82" i="74" s="1"/>
  <c r="R81" i="74"/>
  <c r="B81" i="74" s="1"/>
  <c r="G81" i="74"/>
  <c r="N81" i="74" s="1"/>
  <c r="R80" i="74"/>
  <c r="B80" i="74" s="1"/>
  <c r="G80" i="74"/>
  <c r="N80" i="74" s="1"/>
  <c r="R79" i="74"/>
  <c r="B79" i="74" s="1"/>
  <c r="N79" i="74"/>
  <c r="G79" i="74"/>
  <c r="R78" i="74"/>
  <c r="B78" i="74" s="1"/>
  <c r="G78" i="74"/>
  <c r="N78" i="74" s="1"/>
  <c r="R77" i="74"/>
  <c r="B77" i="74" s="1"/>
  <c r="N77" i="74"/>
  <c r="G77" i="74"/>
  <c r="R76" i="74"/>
  <c r="B76" i="74" s="1"/>
  <c r="N76" i="74"/>
  <c r="G76" i="74"/>
  <c r="R75" i="74"/>
  <c r="B75" i="74" s="1"/>
  <c r="G75" i="74"/>
  <c r="N75" i="74" s="1"/>
  <c r="R74" i="74"/>
  <c r="B74" i="74" s="1"/>
  <c r="G74" i="74"/>
  <c r="N74" i="74" s="1"/>
  <c r="R73" i="74"/>
  <c r="B73" i="74" s="1"/>
  <c r="N73" i="74"/>
  <c r="G73" i="74"/>
  <c r="R72" i="74"/>
  <c r="B72" i="74" s="1"/>
  <c r="G72" i="74"/>
  <c r="N72" i="74" s="1"/>
  <c r="R71" i="74"/>
  <c r="B71" i="74" s="1"/>
  <c r="G71" i="74"/>
  <c r="N71" i="74" s="1"/>
  <c r="R70" i="74"/>
  <c r="B70" i="74" s="1"/>
  <c r="G70" i="74"/>
  <c r="N70" i="74" s="1"/>
  <c r="R69" i="74"/>
  <c r="B69" i="74" s="1"/>
  <c r="G69" i="74"/>
  <c r="N69" i="74" s="1"/>
  <c r="R68" i="74"/>
  <c r="B68" i="74" s="1"/>
  <c r="G68" i="74"/>
  <c r="N68" i="74" s="1"/>
  <c r="R67" i="74"/>
  <c r="B67" i="74" s="1"/>
  <c r="G67" i="74"/>
  <c r="N67" i="74" s="1"/>
  <c r="R66" i="74"/>
  <c r="B66" i="74" s="1"/>
  <c r="G66" i="74"/>
  <c r="N66" i="74" s="1"/>
  <c r="R65" i="74"/>
  <c r="B65" i="74" s="1"/>
  <c r="G65" i="74"/>
  <c r="N65" i="74" s="1"/>
  <c r="R64" i="74"/>
  <c r="B64" i="74" s="1"/>
  <c r="G64" i="74"/>
  <c r="E18" i="74" s="1"/>
  <c r="R63" i="74"/>
  <c r="B63" i="74" s="1"/>
  <c r="G63" i="74"/>
  <c r="N63" i="74" s="1"/>
  <c r="AA62" i="74"/>
  <c r="X62" i="74"/>
  <c r="X25" i="74"/>
  <c r="X26" i="74" s="1"/>
  <c r="E23" i="74"/>
  <c r="E24" i="74" s="1"/>
  <c r="E22" i="74"/>
  <c r="E21" i="74"/>
  <c r="J94" i="74" s="1"/>
  <c r="K94" i="74" s="1"/>
  <c r="L94" i="74" s="1"/>
  <c r="E19" i="74"/>
  <c r="F13" i="74"/>
  <c r="F20" i="74" s="1"/>
  <c r="D13" i="74"/>
  <c r="S73" i="74" s="1"/>
  <c r="F12" i="74"/>
  <c r="D12" i="74"/>
  <c r="I11" i="74"/>
  <c r="F11" i="74"/>
  <c r="D11" i="74"/>
  <c r="F10" i="74"/>
  <c r="E10" i="74" s="1"/>
  <c r="D10" i="74"/>
  <c r="F9" i="74"/>
  <c r="Y21" i="74" s="1"/>
  <c r="D9" i="74"/>
  <c r="E8" i="74"/>
  <c r="X8" i="74" s="1"/>
  <c r="X39" i="74" s="1"/>
  <c r="X59" i="74" s="1"/>
  <c r="F7" i="74"/>
  <c r="D7" i="74"/>
  <c r="C6" i="74"/>
  <c r="F9" i="73"/>
  <c r="F7" i="73"/>
  <c r="F12" i="73"/>
  <c r="F8" i="73"/>
  <c r="F11" i="73"/>
  <c r="F6" i="73"/>
  <c r="F4" i="73"/>
  <c r="F10" i="73"/>
  <c r="I4" i="73"/>
  <c r="F5" i="73"/>
  <c r="J4" i="64"/>
  <c r="G12" i="64"/>
  <c r="R142" i="72"/>
  <c r="B142" i="72" s="1"/>
  <c r="G142" i="72"/>
  <c r="N142" i="72" s="1"/>
  <c r="R141" i="72"/>
  <c r="B141" i="72" s="1"/>
  <c r="G141" i="72"/>
  <c r="N141" i="72" s="1"/>
  <c r="R140" i="72"/>
  <c r="B140" i="72" s="1"/>
  <c r="N140" i="72"/>
  <c r="G140" i="72"/>
  <c r="R139" i="72"/>
  <c r="B139" i="72" s="1"/>
  <c r="G139" i="72"/>
  <c r="N139" i="72" s="1"/>
  <c r="R138" i="72"/>
  <c r="B138" i="72" s="1"/>
  <c r="N138" i="72"/>
  <c r="G138" i="72"/>
  <c r="R137" i="72"/>
  <c r="B137" i="72" s="1"/>
  <c r="N137" i="72"/>
  <c r="G137" i="72"/>
  <c r="R136" i="72"/>
  <c r="B136" i="72" s="1"/>
  <c r="G136" i="72"/>
  <c r="N136" i="72" s="1"/>
  <c r="R135" i="72"/>
  <c r="B135" i="72" s="1"/>
  <c r="G135" i="72"/>
  <c r="N135" i="72" s="1"/>
  <c r="R134" i="72"/>
  <c r="B134" i="72" s="1"/>
  <c r="N134" i="72"/>
  <c r="G134" i="72"/>
  <c r="R133" i="72"/>
  <c r="B133" i="72" s="1"/>
  <c r="G133" i="72"/>
  <c r="N133" i="72" s="1"/>
  <c r="R132" i="72"/>
  <c r="B132" i="72" s="1"/>
  <c r="G132" i="72"/>
  <c r="N132" i="72" s="1"/>
  <c r="R131" i="72"/>
  <c r="B131" i="72" s="1"/>
  <c r="G131" i="72"/>
  <c r="N131" i="72" s="1"/>
  <c r="R130" i="72"/>
  <c r="B130" i="72" s="1"/>
  <c r="G130" i="72"/>
  <c r="N130" i="72" s="1"/>
  <c r="R129" i="72"/>
  <c r="B129" i="72" s="1"/>
  <c r="G129" i="72"/>
  <c r="N129" i="72" s="1"/>
  <c r="R128" i="72"/>
  <c r="B128" i="72" s="1"/>
  <c r="G128" i="72"/>
  <c r="N128" i="72" s="1"/>
  <c r="R127" i="72"/>
  <c r="B127" i="72" s="1"/>
  <c r="G127" i="72"/>
  <c r="N127" i="72" s="1"/>
  <c r="R126" i="72"/>
  <c r="B126" i="72" s="1"/>
  <c r="G126" i="72"/>
  <c r="N126" i="72" s="1"/>
  <c r="R125" i="72"/>
  <c r="B125" i="72" s="1"/>
  <c r="G125" i="72"/>
  <c r="N125" i="72" s="1"/>
  <c r="R124" i="72"/>
  <c r="B124" i="72" s="1"/>
  <c r="N124" i="72"/>
  <c r="G124" i="72"/>
  <c r="R123" i="72"/>
  <c r="B123" i="72" s="1"/>
  <c r="G123" i="72"/>
  <c r="N123" i="72" s="1"/>
  <c r="R122" i="72"/>
  <c r="B122" i="72" s="1"/>
  <c r="G122" i="72"/>
  <c r="N122" i="72" s="1"/>
  <c r="R121" i="72"/>
  <c r="B121" i="72" s="1"/>
  <c r="N121" i="72"/>
  <c r="G121" i="72"/>
  <c r="R120" i="72"/>
  <c r="B120" i="72" s="1"/>
  <c r="G120" i="72"/>
  <c r="N120" i="72" s="1"/>
  <c r="R119" i="72"/>
  <c r="B119" i="72" s="1"/>
  <c r="G119" i="72"/>
  <c r="N119" i="72" s="1"/>
  <c r="R118" i="72"/>
  <c r="B118" i="72" s="1"/>
  <c r="N118" i="72"/>
  <c r="G118" i="72"/>
  <c r="S117" i="72"/>
  <c r="R117" i="72"/>
  <c r="B117" i="72" s="1"/>
  <c r="N117" i="72"/>
  <c r="G117" i="72"/>
  <c r="R116" i="72"/>
  <c r="B116" i="72" s="1"/>
  <c r="G116" i="72"/>
  <c r="N116" i="72" s="1"/>
  <c r="R115" i="72"/>
  <c r="B115" i="72" s="1"/>
  <c r="G115" i="72"/>
  <c r="N115" i="72" s="1"/>
  <c r="R114" i="72"/>
  <c r="B114" i="72" s="1"/>
  <c r="G114" i="72"/>
  <c r="N114" i="72" s="1"/>
  <c r="R113" i="72"/>
  <c r="B113" i="72" s="1"/>
  <c r="N113" i="72"/>
  <c r="G113" i="72"/>
  <c r="R112" i="72"/>
  <c r="B112" i="72" s="1"/>
  <c r="N112" i="72"/>
  <c r="G112" i="72"/>
  <c r="R111" i="72"/>
  <c r="B111" i="72" s="1"/>
  <c r="G111" i="72"/>
  <c r="N111" i="72" s="1"/>
  <c r="R110" i="72"/>
  <c r="B110" i="72" s="1"/>
  <c r="G110" i="72"/>
  <c r="N110" i="72" s="1"/>
  <c r="R109" i="72"/>
  <c r="B109" i="72" s="1"/>
  <c r="G109" i="72"/>
  <c r="N109" i="72" s="1"/>
  <c r="R108" i="72"/>
  <c r="B108" i="72" s="1"/>
  <c r="N108" i="72"/>
  <c r="G108" i="72"/>
  <c r="R107" i="72"/>
  <c r="B107" i="72" s="1"/>
  <c r="G107" i="72"/>
  <c r="N107" i="72" s="1"/>
  <c r="R106" i="72"/>
  <c r="B106" i="72" s="1"/>
  <c r="N106" i="72"/>
  <c r="G106" i="72"/>
  <c r="R105" i="72"/>
  <c r="B105" i="72" s="1"/>
  <c r="N105" i="72"/>
  <c r="G105" i="72"/>
  <c r="R104" i="72"/>
  <c r="B104" i="72" s="1"/>
  <c r="N104" i="72"/>
  <c r="G104" i="72"/>
  <c r="R103" i="72"/>
  <c r="B103" i="72" s="1"/>
  <c r="G103" i="72"/>
  <c r="N103" i="72" s="1"/>
  <c r="R102" i="72"/>
  <c r="B102" i="72" s="1"/>
  <c r="G102" i="72"/>
  <c r="N102" i="72" s="1"/>
  <c r="R101" i="72"/>
  <c r="B101" i="72" s="1"/>
  <c r="G101" i="72"/>
  <c r="N101" i="72" s="1"/>
  <c r="R100" i="72"/>
  <c r="B100" i="72" s="1"/>
  <c r="G100" i="72"/>
  <c r="N100" i="72" s="1"/>
  <c r="R99" i="72"/>
  <c r="B99" i="72" s="1"/>
  <c r="N99" i="72"/>
  <c r="G99" i="72"/>
  <c r="R98" i="72"/>
  <c r="B98" i="72" s="1"/>
  <c r="G98" i="72"/>
  <c r="N98" i="72" s="1"/>
  <c r="R97" i="72"/>
  <c r="B97" i="72" s="1"/>
  <c r="G97" i="72"/>
  <c r="N97" i="72" s="1"/>
  <c r="R96" i="72"/>
  <c r="B96" i="72" s="1"/>
  <c r="G96" i="72"/>
  <c r="N96" i="72" s="1"/>
  <c r="R95" i="72"/>
  <c r="B95" i="72" s="1"/>
  <c r="G95" i="72"/>
  <c r="N95" i="72" s="1"/>
  <c r="R94" i="72"/>
  <c r="B94" i="72" s="1"/>
  <c r="G94" i="72"/>
  <c r="N94" i="72" s="1"/>
  <c r="R93" i="72"/>
  <c r="B93" i="72" s="1"/>
  <c r="G93" i="72"/>
  <c r="N93" i="72" s="1"/>
  <c r="R92" i="72"/>
  <c r="B92" i="72" s="1"/>
  <c r="G92" i="72"/>
  <c r="N92" i="72" s="1"/>
  <c r="R91" i="72"/>
  <c r="B91" i="72" s="1"/>
  <c r="G91" i="72"/>
  <c r="N91" i="72" s="1"/>
  <c r="S90" i="72"/>
  <c r="R90" i="72"/>
  <c r="B90" i="72" s="1"/>
  <c r="G90" i="72"/>
  <c r="N90" i="72" s="1"/>
  <c r="R89" i="72"/>
  <c r="B89" i="72" s="1"/>
  <c r="N89" i="72"/>
  <c r="G89" i="72"/>
  <c r="S88" i="72"/>
  <c r="R88" i="72"/>
  <c r="B88" i="72" s="1"/>
  <c r="G88" i="72"/>
  <c r="N88" i="72" s="1"/>
  <c r="R87" i="72"/>
  <c r="B87" i="72" s="1"/>
  <c r="G87" i="72"/>
  <c r="N87" i="72" s="1"/>
  <c r="R86" i="72"/>
  <c r="B86" i="72" s="1"/>
  <c r="G86" i="72"/>
  <c r="N86" i="72" s="1"/>
  <c r="R85" i="72"/>
  <c r="B85" i="72" s="1"/>
  <c r="G85" i="72"/>
  <c r="N85" i="72" s="1"/>
  <c r="R84" i="72"/>
  <c r="B84" i="72" s="1"/>
  <c r="G84" i="72"/>
  <c r="N84" i="72" s="1"/>
  <c r="R83" i="72"/>
  <c r="B83" i="72" s="1"/>
  <c r="N83" i="72"/>
  <c r="G83" i="72"/>
  <c r="R82" i="72"/>
  <c r="B82" i="72" s="1"/>
  <c r="N82" i="72"/>
  <c r="G82" i="72"/>
  <c r="R81" i="72"/>
  <c r="B81" i="72" s="1"/>
  <c r="N81" i="72"/>
  <c r="G81" i="72"/>
  <c r="S80" i="72"/>
  <c r="R80" i="72"/>
  <c r="B80" i="72" s="1"/>
  <c r="G80" i="72"/>
  <c r="N80" i="72" s="1"/>
  <c r="S79" i="72"/>
  <c r="R79" i="72"/>
  <c r="B79" i="72" s="1"/>
  <c r="G79" i="72"/>
  <c r="N79" i="72" s="1"/>
  <c r="R78" i="72"/>
  <c r="B78" i="72" s="1"/>
  <c r="G78" i="72"/>
  <c r="N78" i="72" s="1"/>
  <c r="R77" i="72"/>
  <c r="B77" i="72" s="1"/>
  <c r="G77" i="72"/>
  <c r="N77" i="72" s="1"/>
  <c r="S76" i="72"/>
  <c r="R76" i="72"/>
  <c r="B76" i="72" s="1"/>
  <c r="N76" i="72"/>
  <c r="G76" i="72"/>
  <c r="S75" i="72"/>
  <c r="R75" i="72"/>
  <c r="B75" i="72" s="1"/>
  <c r="N75" i="72"/>
  <c r="G75" i="72"/>
  <c r="R74" i="72"/>
  <c r="B74" i="72" s="1"/>
  <c r="G74" i="72"/>
  <c r="N74" i="72" s="1"/>
  <c r="R73" i="72"/>
  <c r="B73" i="72" s="1"/>
  <c r="G73" i="72"/>
  <c r="N73" i="72" s="1"/>
  <c r="R72" i="72"/>
  <c r="B72" i="72" s="1"/>
  <c r="N72" i="72"/>
  <c r="G72" i="72"/>
  <c r="R71" i="72"/>
  <c r="B71" i="72" s="1"/>
  <c r="G71" i="72"/>
  <c r="N71" i="72" s="1"/>
  <c r="R70" i="72"/>
  <c r="B70" i="72" s="1"/>
  <c r="N70" i="72"/>
  <c r="G70" i="72"/>
  <c r="S69" i="72"/>
  <c r="R69" i="72"/>
  <c r="B69" i="72" s="1"/>
  <c r="N69" i="72"/>
  <c r="G69" i="72"/>
  <c r="R68" i="72"/>
  <c r="B68" i="72" s="1"/>
  <c r="G68" i="72"/>
  <c r="N68" i="72" s="1"/>
  <c r="R67" i="72"/>
  <c r="B67" i="72" s="1"/>
  <c r="G67" i="72"/>
  <c r="N67" i="72" s="1"/>
  <c r="R66" i="72"/>
  <c r="B66" i="72" s="1"/>
  <c r="G66" i="72"/>
  <c r="N66" i="72" s="1"/>
  <c r="S65" i="72"/>
  <c r="R65" i="72"/>
  <c r="B65" i="72" s="1"/>
  <c r="G65" i="72"/>
  <c r="N65" i="72" s="1"/>
  <c r="R64" i="72"/>
  <c r="B64" i="72" s="1"/>
  <c r="G64" i="72"/>
  <c r="N64" i="72" s="1"/>
  <c r="R63" i="72"/>
  <c r="B63" i="72" s="1"/>
  <c r="G63" i="72"/>
  <c r="AA62" i="72"/>
  <c r="X62" i="72"/>
  <c r="X25" i="72"/>
  <c r="X26" i="72" s="1"/>
  <c r="E23" i="72"/>
  <c r="E24" i="72" s="1"/>
  <c r="E22" i="72"/>
  <c r="E21" i="72"/>
  <c r="J107" i="72" s="1"/>
  <c r="K107" i="72" s="1"/>
  <c r="L107" i="72" s="1"/>
  <c r="E19" i="72"/>
  <c r="I24" i="72" s="1"/>
  <c r="F13" i="72"/>
  <c r="U99" i="72" s="1"/>
  <c r="V99" i="72" s="1"/>
  <c r="D13" i="72"/>
  <c r="S99" i="72" s="1"/>
  <c r="F12" i="72"/>
  <c r="E25" i="72" s="1"/>
  <c r="D12" i="72"/>
  <c r="I11" i="72"/>
  <c r="F11" i="72"/>
  <c r="D11" i="72"/>
  <c r="E11" i="72" s="1"/>
  <c r="F10" i="72"/>
  <c r="D10" i="72"/>
  <c r="E10" i="72" s="1"/>
  <c r="F9" i="72"/>
  <c r="D9" i="72"/>
  <c r="E8" i="72"/>
  <c r="X8" i="72" s="1"/>
  <c r="X39" i="72" s="1"/>
  <c r="X59" i="72" s="1"/>
  <c r="F7" i="72"/>
  <c r="D7" i="72"/>
  <c r="C6" i="72"/>
  <c r="G11" i="64"/>
  <c r="R142" i="71"/>
  <c r="B142" i="71" s="1"/>
  <c r="G142" i="71"/>
  <c r="N142" i="71" s="1"/>
  <c r="R141" i="71"/>
  <c r="B141" i="71" s="1"/>
  <c r="G141" i="71"/>
  <c r="N141" i="71" s="1"/>
  <c r="R140" i="71"/>
  <c r="B140" i="71" s="1"/>
  <c r="N140" i="71"/>
  <c r="G140" i="71"/>
  <c r="R139" i="71"/>
  <c r="B139" i="71" s="1"/>
  <c r="G139" i="71"/>
  <c r="N139" i="71" s="1"/>
  <c r="R138" i="71"/>
  <c r="B138" i="71" s="1"/>
  <c r="N138" i="71"/>
  <c r="G138" i="71"/>
  <c r="R137" i="71"/>
  <c r="B137" i="71" s="1"/>
  <c r="N137" i="71"/>
  <c r="G137" i="71"/>
  <c r="R136" i="71"/>
  <c r="B136" i="71" s="1"/>
  <c r="G136" i="71"/>
  <c r="N136" i="71" s="1"/>
  <c r="R135" i="71"/>
  <c r="B135" i="71" s="1"/>
  <c r="G135" i="71"/>
  <c r="N135" i="71" s="1"/>
  <c r="R134" i="71"/>
  <c r="B134" i="71" s="1"/>
  <c r="N134" i="71"/>
  <c r="G134" i="71"/>
  <c r="R133" i="71"/>
  <c r="B133" i="71" s="1"/>
  <c r="N133" i="71"/>
  <c r="G133" i="71"/>
  <c r="R132" i="71"/>
  <c r="B132" i="71" s="1"/>
  <c r="G132" i="71"/>
  <c r="N132" i="71" s="1"/>
  <c r="R131" i="71"/>
  <c r="B131" i="71" s="1"/>
  <c r="G131" i="71"/>
  <c r="N131" i="71" s="1"/>
  <c r="R130" i="71"/>
  <c r="B130" i="71" s="1"/>
  <c r="G130" i="71"/>
  <c r="N130" i="71" s="1"/>
  <c r="R129" i="71"/>
  <c r="B129" i="71" s="1"/>
  <c r="N129" i="71"/>
  <c r="G129" i="71"/>
  <c r="R128" i="71"/>
  <c r="B128" i="71" s="1"/>
  <c r="N128" i="71"/>
  <c r="G128" i="71"/>
  <c r="R127" i="71"/>
  <c r="B127" i="71" s="1"/>
  <c r="G127" i="71"/>
  <c r="N127" i="71" s="1"/>
  <c r="R126" i="71"/>
  <c r="B126" i="71" s="1"/>
  <c r="G126" i="71"/>
  <c r="N126" i="71" s="1"/>
  <c r="R125" i="71"/>
  <c r="B125" i="71" s="1"/>
  <c r="N125" i="71"/>
  <c r="G125" i="71"/>
  <c r="R124" i="71"/>
  <c r="B124" i="71" s="1"/>
  <c r="N124" i="71"/>
  <c r="G124" i="71"/>
  <c r="R123" i="71"/>
  <c r="B123" i="71" s="1"/>
  <c r="G123" i="71"/>
  <c r="N123" i="71" s="1"/>
  <c r="R122" i="71"/>
  <c r="B122" i="71" s="1"/>
  <c r="G122" i="71"/>
  <c r="N122" i="71" s="1"/>
  <c r="R121" i="71"/>
  <c r="B121" i="71" s="1"/>
  <c r="G121" i="71"/>
  <c r="N121" i="71" s="1"/>
  <c r="R120" i="71"/>
  <c r="B120" i="71" s="1"/>
  <c r="N120" i="71"/>
  <c r="G120" i="71"/>
  <c r="R119" i="71"/>
  <c r="B119" i="71" s="1"/>
  <c r="G119" i="71"/>
  <c r="N119" i="71" s="1"/>
  <c r="R118" i="71"/>
  <c r="B118" i="71" s="1"/>
  <c r="G118" i="71"/>
  <c r="N118" i="71" s="1"/>
  <c r="R117" i="71"/>
  <c r="B117" i="71" s="1"/>
  <c r="G117" i="71"/>
  <c r="N117" i="71" s="1"/>
  <c r="R116" i="71"/>
  <c r="B116" i="71" s="1"/>
  <c r="G116" i="71"/>
  <c r="N116" i="71" s="1"/>
  <c r="R115" i="71"/>
  <c r="B115" i="71" s="1"/>
  <c r="G115" i="71"/>
  <c r="N115" i="71" s="1"/>
  <c r="R114" i="71"/>
  <c r="B114" i="71" s="1"/>
  <c r="G114" i="71"/>
  <c r="N114" i="71" s="1"/>
  <c r="R113" i="71"/>
  <c r="B113" i="71" s="1"/>
  <c r="G113" i="71"/>
  <c r="N113" i="71" s="1"/>
  <c r="R112" i="71"/>
  <c r="B112" i="71" s="1"/>
  <c r="N112" i="71"/>
  <c r="G112" i="71"/>
  <c r="R111" i="71"/>
  <c r="B111" i="71" s="1"/>
  <c r="G111" i="71"/>
  <c r="N111" i="71" s="1"/>
  <c r="R110" i="71"/>
  <c r="B110" i="71" s="1"/>
  <c r="G110" i="71"/>
  <c r="N110" i="71" s="1"/>
  <c r="R109" i="71"/>
  <c r="B109" i="71" s="1"/>
  <c r="N109" i="71"/>
  <c r="G109" i="71"/>
  <c r="R108" i="71"/>
  <c r="B108" i="71" s="1"/>
  <c r="N108" i="71"/>
  <c r="G108" i="71"/>
  <c r="R107" i="71"/>
  <c r="B107" i="71" s="1"/>
  <c r="G107" i="71"/>
  <c r="N107" i="71" s="1"/>
  <c r="R106" i="71"/>
  <c r="B106" i="71" s="1"/>
  <c r="G106" i="71"/>
  <c r="N106" i="71" s="1"/>
  <c r="R105" i="71"/>
  <c r="B105" i="71" s="1"/>
  <c r="G105" i="71"/>
  <c r="N105" i="71" s="1"/>
  <c r="R104" i="71"/>
  <c r="B104" i="71" s="1"/>
  <c r="N104" i="71"/>
  <c r="G104" i="71"/>
  <c r="R103" i="71"/>
  <c r="B103" i="71" s="1"/>
  <c r="G103" i="71"/>
  <c r="N103" i="71" s="1"/>
  <c r="R102" i="71"/>
  <c r="B102" i="71" s="1"/>
  <c r="G102" i="71"/>
  <c r="N102" i="71" s="1"/>
  <c r="R101" i="71"/>
  <c r="B101" i="71" s="1"/>
  <c r="N101" i="71"/>
  <c r="G101" i="71"/>
  <c r="R100" i="71"/>
  <c r="B100" i="71" s="1"/>
  <c r="G100" i="71"/>
  <c r="N100" i="71" s="1"/>
  <c r="R99" i="71"/>
  <c r="B99" i="71" s="1"/>
  <c r="G99" i="71"/>
  <c r="N99" i="71" s="1"/>
  <c r="R98" i="71"/>
  <c r="B98" i="71" s="1"/>
  <c r="N98" i="71"/>
  <c r="G98" i="71"/>
  <c r="R97" i="71"/>
  <c r="B97" i="71" s="1"/>
  <c r="G97" i="71"/>
  <c r="N97" i="71" s="1"/>
  <c r="R96" i="71"/>
  <c r="B96" i="71" s="1"/>
  <c r="G96" i="71"/>
  <c r="N96" i="71" s="1"/>
  <c r="R95" i="71"/>
  <c r="B95" i="71" s="1"/>
  <c r="N95" i="71"/>
  <c r="G95" i="71"/>
  <c r="R94" i="71"/>
  <c r="B94" i="71" s="1"/>
  <c r="N94" i="71"/>
  <c r="G94" i="71"/>
  <c r="R93" i="71"/>
  <c r="B93" i="71" s="1"/>
  <c r="G93" i="71"/>
  <c r="N93" i="71" s="1"/>
  <c r="R92" i="71"/>
  <c r="B92" i="71" s="1"/>
  <c r="G92" i="71"/>
  <c r="N92" i="71" s="1"/>
  <c r="R91" i="71"/>
  <c r="B91" i="71" s="1"/>
  <c r="N91" i="71"/>
  <c r="G91" i="71"/>
  <c r="R90" i="71"/>
  <c r="B90" i="71" s="1"/>
  <c r="N90" i="71"/>
  <c r="G90" i="71"/>
  <c r="R89" i="71"/>
  <c r="B89" i="71" s="1"/>
  <c r="G89" i="71"/>
  <c r="N89" i="71" s="1"/>
  <c r="R88" i="71"/>
  <c r="B88" i="71" s="1"/>
  <c r="N88" i="71"/>
  <c r="G88" i="71"/>
  <c r="R87" i="71"/>
  <c r="B87" i="71" s="1"/>
  <c r="G87" i="71"/>
  <c r="N87" i="71" s="1"/>
  <c r="R86" i="71"/>
  <c r="B86" i="71" s="1"/>
  <c r="N86" i="71"/>
  <c r="G86" i="71"/>
  <c r="R85" i="71"/>
  <c r="B85" i="71" s="1"/>
  <c r="G85" i="71"/>
  <c r="N85" i="71" s="1"/>
  <c r="R84" i="71"/>
  <c r="B84" i="71" s="1"/>
  <c r="G84" i="71"/>
  <c r="N84" i="71" s="1"/>
  <c r="R83" i="71"/>
  <c r="B83" i="71" s="1"/>
  <c r="G83" i="71"/>
  <c r="N83" i="71" s="1"/>
  <c r="R82" i="71"/>
  <c r="B82" i="71" s="1"/>
  <c r="N82" i="71"/>
  <c r="G82" i="71"/>
  <c r="R81" i="71"/>
  <c r="B81" i="71" s="1"/>
  <c r="G81" i="71"/>
  <c r="N81" i="71" s="1"/>
  <c r="R80" i="71"/>
  <c r="B80" i="71" s="1"/>
  <c r="N80" i="71"/>
  <c r="G80" i="71"/>
  <c r="R79" i="71"/>
  <c r="B79" i="71" s="1"/>
  <c r="G79" i="71"/>
  <c r="N79" i="71" s="1"/>
  <c r="R78" i="71"/>
  <c r="B78" i="71" s="1"/>
  <c r="N78" i="71"/>
  <c r="G78" i="71"/>
  <c r="R77" i="71"/>
  <c r="B77" i="71" s="1"/>
  <c r="G77" i="71"/>
  <c r="N77" i="71" s="1"/>
  <c r="R76" i="71"/>
  <c r="B76" i="71" s="1"/>
  <c r="G76" i="71"/>
  <c r="N76" i="71" s="1"/>
  <c r="R75" i="71"/>
  <c r="B75" i="71" s="1"/>
  <c r="G75" i="71"/>
  <c r="N75" i="71" s="1"/>
  <c r="R74" i="71"/>
  <c r="B74" i="71" s="1"/>
  <c r="G74" i="71"/>
  <c r="N74" i="71" s="1"/>
  <c r="R73" i="71"/>
  <c r="B73" i="71" s="1"/>
  <c r="G73" i="71"/>
  <c r="N73" i="71" s="1"/>
  <c r="R72" i="71"/>
  <c r="B72" i="71" s="1"/>
  <c r="N72" i="71"/>
  <c r="G72" i="71"/>
  <c r="R71" i="71"/>
  <c r="B71" i="71" s="1"/>
  <c r="G71" i="71"/>
  <c r="N71" i="71" s="1"/>
  <c r="R70" i="71"/>
  <c r="B70" i="71" s="1"/>
  <c r="G70" i="71"/>
  <c r="N70" i="71" s="1"/>
  <c r="R69" i="71"/>
  <c r="B69" i="71" s="1"/>
  <c r="G69" i="71"/>
  <c r="N69" i="71" s="1"/>
  <c r="R68" i="71"/>
  <c r="B68" i="71" s="1"/>
  <c r="N68" i="71"/>
  <c r="G68" i="71"/>
  <c r="R67" i="71"/>
  <c r="B67" i="71" s="1"/>
  <c r="G67" i="71"/>
  <c r="N67" i="71" s="1"/>
  <c r="R66" i="71"/>
  <c r="B66" i="71" s="1"/>
  <c r="G66" i="71"/>
  <c r="N66" i="71" s="1"/>
  <c r="R65" i="71"/>
  <c r="B65" i="71" s="1"/>
  <c r="G65" i="71"/>
  <c r="N65" i="71" s="1"/>
  <c r="R64" i="71"/>
  <c r="B64" i="71" s="1"/>
  <c r="G64" i="71"/>
  <c r="N64" i="71" s="1"/>
  <c r="R63" i="71"/>
  <c r="B63" i="71" s="1"/>
  <c r="G63" i="71"/>
  <c r="AA62" i="71"/>
  <c r="X62" i="71"/>
  <c r="X25" i="71"/>
  <c r="X26" i="71" s="1"/>
  <c r="E23" i="71"/>
  <c r="E24" i="71" s="1"/>
  <c r="E22" i="71"/>
  <c r="E21" i="71"/>
  <c r="J114" i="71" s="1"/>
  <c r="K114" i="71" s="1"/>
  <c r="L114" i="71" s="1"/>
  <c r="E19" i="71"/>
  <c r="F13" i="71"/>
  <c r="U98" i="71" s="1"/>
  <c r="V98" i="71" s="1"/>
  <c r="D13" i="71"/>
  <c r="S75" i="71" s="1"/>
  <c r="F12" i="71"/>
  <c r="E25" i="71" s="1"/>
  <c r="D12" i="71"/>
  <c r="F11" i="71"/>
  <c r="D11" i="71"/>
  <c r="E11" i="71" s="1"/>
  <c r="F10" i="71"/>
  <c r="E10" i="71" s="1"/>
  <c r="D10" i="71"/>
  <c r="F9" i="71"/>
  <c r="Y21" i="71" s="1"/>
  <c r="D9" i="71"/>
  <c r="E8" i="71"/>
  <c r="X8" i="71" s="1"/>
  <c r="X39" i="71" s="1"/>
  <c r="X59" i="71" s="1"/>
  <c r="F7" i="71"/>
  <c r="D7" i="71"/>
  <c r="C6" i="71"/>
  <c r="X30" i="77" l="1"/>
  <c r="Y30" i="77" s="1"/>
  <c r="Y19" i="77"/>
  <c r="E18" i="77"/>
  <c r="J18" i="77" s="1"/>
  <c r="J102" i="77"/>
  <c r="K102" i="77" s="1"/>
  <c r="L102" i="77" s="1"/>
  <c r="S139" i="77"/>
  <c r="S135" i="77"/>
  <c r="S131" i="77"/>
  <c r="S127" i="77"/>
  <c r="S123" i="77"/>
  <c r="S119" i="77"/>
  <c r="S115" i="77"/>
  <c r="S111" i="77"/>
  <c r="S107" i="77"/>
  <c r="S103" i="77"/>
  <c r="S142" i="77"/>
  <c r="S138" i="77"/>
  <c r="S134" i="77"/>
  <c r="S130" i="77"/>
  <c r="S126" i="77"/>
  <c r="S122" i="77"/>
  <c r="S118" i="77"/>
  <c r="S114" i="77"/>
  <c r="S141" i="77"/>
  <c r="S137" i="77"/>
  <c r="S133" i="77"/>
  <c r="S140" i="77"/>
  <c r="S125" i="77"/>
  <c r="S97" i="77"/>
  <c r="S93" i="77"/>
  <c r="S89" i="77"/>
  <c r="S85" i="77"/>
  <c r="S81" i="77"/>
  <c r="S77" i="77"/>
  <c r="S73" i="77"/>
  <c r="S69" i="77"/>
  <c r="S136" i="77"/>
  <c r="S128" i="77"/>
  <c r="S124" i="77"/>
  <c r="S117" i="77"/>
  <c r="S113" i="77"/>
  <c r="S112" i="77"/>
  <c r="S99" i="77"/>
  <c r="S95" i="77"/>
  <c r="S91" i="77"/>
  <c r="S87" i="77"/>
  <c r="S83" i="77"/>
  <c r="S106" i="77"/>
  <c r="S94" i="77"/>
  <c r="S92" i="77"/>
  <c r="S102" i="77"/>
  <c r="S90" i="77"/>
  <c r="S88" i="77"/>
  <c r="S67" i="77"/>
  <c r="S63" i="77"/>
  <c r="S110" i="77"/>
  <c r="S109" i="77"/>
  <c r="S105" i="77"/>
  <c r="S86" i="77"/>
  <c r="S84" i="77"/>
  <c r="S120" i="77"/>
  <c r="S101" i="77"/>
  <c r="S66" i="77"/>
  <c r="S108" i="77"/>
  <c r="S132" i="77"/>
  <c r="S121" i="77"/>
  <c r="S104" i="77"/>
  <c r="S80" i="77"/>
  <c r="S79" i="77"/>
  <c r="S76" i="77"/>
  <c r="S75" i="77"/>
  <c r="S72" i="77"/>
  <c r="S71" i="77"/>
  <c r="S65" i="77"/>
  <c r="S98" i="77"/>
  <c r="S96" i="77"/>
  <c r="S68" i="77"/>
  <c r="S64" i="77"/>
  <c r="S70" i="77"/>
  <c r="S100" i="77"/>
  <c r="S129" i="77"/>
  <c r="U142" i="77"/>
  <c r="V142" i="77" s="1"/>
  <c r="U138" i="77"/>
  <c r="V138" i="77" s="1"/>
  <c r="U134" i="77"/>
  <c r="V134" i="77" s="1"/>
  <c r="U130" i="77"/>
  <c r="V130" i="77" s="1"/>
  <c r="U126" i="77"/>
  <c r="V126" i="77" s="1"/>
  <c r="U122" i="77"/>
  <c r="V122" i="77" s="1"/>
  <c r="U118" i="77"/>
  <c r="V118" i="77" s="1"/>
  <c r="U114" i="77"/>
  <c r="V114" i="77" s="1"/>
  <c r="U110" i="77"/>
  <c r="V110" i="77" s="1"/>
  <c r="U106" i="77"/>
  <c r="V106" i="77" s="1"/>
  <c r="U102" i="77"/>
  <c r="V102" i="77" s="1"/>
  <c r="U141" i="77"/>
  <c r="V141" i="77" s="1"/>
  <c r="U137" i="77"/>
  <c r="V137" i="77" s="1"/>
  <c r="U133" i="77"/>
  <c r="V133" i="77" s="1"/>
  <c r="U129" i="77"/>
  <c r="V129" i="77" s="1"/>
  <c r="U125" i="77"/>
  <c r="V125" i="77" s="1"/>
  <c r="U121" i="77"/>
  <c r="V121" i="77" s="1"/>
  <c r="U117" i="77"/>
  <c r="V117" i="77" s="1"/>
  <c r="U113" i="77"/>
  <c r="V113" i="77" s="1"/>
  <c r="U140" i="77"/>
  <c r="V140" i="77" s="1"/>
  <c r="U136" i="77"/>
  <c r="V136" i="77" s="1"/>
  <c r="U132" i="77"/>
  <c r="V132" i="77" s="1"/>
  <c r="U128" i="77"/>
  <c r="V128" i="77" s="1"/>
  <c r="U115" i="77"/>
  <c r="V115" i="77" s="1"/>
  <c r="U116" i="77"/>
  <c r="V116" i="77" s="1"/>
  <c r="U109" i="77"/>
  <c r="V109" i="77" s="1"/>
  <c r="U105" i="77"/>
  <c r="V105" i="77" s="1"/>
  <c r="U101" i="77"/>
  <c r="V101" i="77" s="1"/>
  <c r="U96" i="77"/>
  <c r="V96" i="77" s="1"/>
  <c r="U92" i="77"/>
  <c r="V92" i="77" s="1"/>
  <c r="U88" i="77"/>
  <c r="V88" i="77" s="1"/>
  <c r="U84" i="77"/>
  <c r="V84" i="77" s="1"/>
  <c r="U80" i="77"/>
  <c r="V80" i="77" s="1"/>
  <c r="U76" i="77"/>
  <c r="V76" i="77" s="1"/>
  <c r="U72" i="77"/>
  <c r="V72" i="77" s="1"/>
  <c r="U139" i="77"/>
  <c r="V139" i="77" s="1"/>
  <c r="U124" i="77"/>
  <c r="V124" i="77" s="1"/>
  <c r="U119" i="77"/>
  <c r="V119" i="77" s="1"/>
  <c r="U112" i="77"/>
  <c r="V112" i="77" s="1"/>
  <c r="U111" i="77"/>
  <c r="V111" i="77" s="1"/>
  <c r="U108" i="77"/>
  <c r="V108" i="77" s="1"/>
  <c r="U107" i="77"/>
  <c r="V107" i="77" s="1"/>
  <c r="U104" i="77"/>
  <c r="V104" i="77" s="1"/>
  <c r="U103" i="77"/>
  <c r="V103" i="77" s="1"/>
  <c r="U100" i="77"/>
  <c r="V100" i="77" s="1"/>
  <c r="U131" i="77"/>
  <c r="V131" i="77" s="1"/>
  <c r="U120" i="77"/>
  <c r="V120" i="77" s="1"/>
  <c r="U98" i="77"/>
  <c r="V98" i="77" s="1"/>
  <c r="U94" i="77"/>
  <c r="V94" i="77" s="1"/>
  <c r="U90" i="77"/>
  <c r="V90" i="77" s="1"/>
  <c r="U86" i="77"/>
  <c r="V86" i="77" s="1"/>
  <c r="U82" i="77"/>
  <c r="V82" i="77" s="1"/>
  <c r="U99" i="77"/>
  <c r="V99" i="77" s="1"/>
  <c r="U123" i="77"/>
  <c r="V123" i="77" s="1"/>
  <c r="U97" i="77"/>
  <c r="V97" i="77" s="1"/>
  <c r="U95" i="77"/>
  <c r="V95" i="77" s="1"/>
  <c r="U66" i="77"/>
  <c r="V66" i="77" s="1"/>
  <c r="U127" i="77"/>
  <c r="V127" i="77" s="1"/>
  <c r="U93" i="77"/>
  <c r="V93" i="77" s="1"/>
  <c r="U91" i="77"/>
  <c r="V91" i="77" s="1"/>
  <c r="U89" i="77"/>
  <c r="V89" i="77" s="1"/>
  <c r="U87" i="77"/>
  <c r="V87" i="77" s="1"/>
  <c r="U79" i="77"/>
  <c r="V79" i="77" s="1"/>
  <c r="U75" i="77"/>
  <c r="V75" i="77" s="1"/>
  <c r="U71" i="77"/>
  <c r="V71" i="77" s="1"/>
  <c r="U65" i="77"/>
  <c r="V65" i="77" s="1"/>
  <c r="U85" i="77"/>
  <c r="V85" i="77" s="1"/>
  <c r="U81" i="77"/>
  <c r="V81" i="77" s="1"/>
  <c r="U78" i="77"/>
  <c r="V78" i="77" s="1"/>
  <c r="U77" i="77"/>
  <c r="V77" i="77" s="1"/>
  <c r="U74" i="77"/>
  <c r="V74" i="77" s="1"/>
  <c r="U73" i="77"/>
  <c r="V73" i="77" s="1"/>
  <c r="U70" i="77"/>
  <c r="V70" i="77" s="1"/>
  <c r="U69" i="77"/>
  <c r="V69" i="77" s="1"/>
  <c r="U135" i="77"/>
  <c r="V135" i="77" s="1"/>
  <c r="U68" i="77"/>
  <c r="V68" i="77" s="1"/>
  <c r="U64" i="77"/>
  <c r="V64" i="77" s="1"/>
  <c r="U67" i="77"/>
  <c r="V67" i="77" s="1"/>
  <c r="U63" i="77"/>
  <c r="V63" i="77" s="1"/>
  <c r="F20" i="77"/>
  <c r="E16" i="77"/>
  <c r="J109" i="77"/>
  <c r="K109" i="77" s="1"/>
  <c r="L109" i="77" s="1"/>
  <c r="J111" i="77"/>
  <c r="K111" i="77" s="1"/>
  <c r="L111" i="77" s="1"/>
  <c r="J78" i="77"/>
  <c r="K78" i="77" s="1"/>
  <c r="L78" i="77" s="1"/>
  <c r="S82" i="77"/>
  <c r="X8" i="77"/>
  <c r="X39" i="77" s="1"/>
  <c r="X59" i="77" s="1"/>
  <c r="J69" i="77"/>
  <c r="K69" i="77" s="1"/>
  <c r="L69" i="77" s="1"/>
  <c r="E26" i="77"/>
  <c r="I11" i="77"/>
  <c r="J127" i="77"/>
  <c r="K127" i="77" s="1"/>
  <c r="L127" i="77" s="1"/>
  <c r="J65" i="77"/>
  <c r="K65" i="77" s="1"/>
  <c r="L65" i="77" s="1"/>
  <c r="J74" i="77"/>
  <c r="K74" i="77" s="1"/>
  <c r="L74" i="77" s="1"/>
  <c r="S78" i="77"/>
  <c r="J83" i="77"/>
  <c r="K83" i="77" s="1"/>
  <c r="L83" i="77" s="1"/>
  <c r="J92" i="77"/>
  <c r="K92" i="77" s="1"/>
  <c r="L92" i="77" s="1"/>
  <c r="E20" i="77"/>
  <c r="Y21" i="77"/>
  <c r="J110" i="77"/>
  <c r="K110" i="77" s="1"/>
  <c r="L110" i="77" s="1"/>
  <c r="I24" i="77"/>
  <c r="J64" i="77"/>
  <c r="K64" i="77" s="1"/>
  <c r="L64" i="77" s="1"/>
  <c r="J70" i="77"/>
  <c r="K70" i="77" s="1"/>
  <c r="L70" i="77" s="1"/>
  <c r="S74" i="77"/>
  <c r="S116" i="77"/>
  <c r="J88" i="77"/>
  <c r="K88" i="77" s="1"/>
  <c r="L88" i="77" s="1"/>
  <c r="J90" i="77"/>
  <c r="K90" i="77" s="1"/>
  <c r="L90" i="77" s="1"/>
  <c r="J105" i="77"/>
  <c r="K105" i="77" s="1"/>
  <c r="L105" i="77" s="1"/>
  <c r="J125" i="77"/>
  <c r="K125" i="77" s="1"/>
  <c r="L125" i="77" s="1"/>
  <c r="J71" i="77"/>
  <c r="K71" i="77" s="1"/>
  <c r="L71" i="77" s="1"/>
  <c r="J72" i="77"/>
  <c r="K72" i="77" s="1"/>
  <c r="L72" i="77" s="1"/>
  <c r="J73" i="77"/>
  <c r="K73" i="77" s="1"/>
  <c r="L73" i="77" s="1"/>
  <c r="J75" i="77"/>
  <c r="K75" i="77" s="1"/>
  <c r="L75" i="77" s="1"/>
  <c r="J76" i="77"/>
  <c r="K76" i="77" s="1"/>
  <c r="L76" i="77" s="1"/>
  <c r="J77" i="77"/>
  <c r="K77" i="77" s="1"/>
  <c r="L77" i="77" s="1"/>
  <c r="J79" i="77"/>
  <c r="K79" i="77" s="1"/>
  <c r="L79" i="77" s="1"/>
  <c r="J80" i="77"/>
  <c r="K80" i="77" s="1"/>
  <c r="L80" i="77" s="1"/>
  <c r="J81" i="77"/>
  <c r="K81" i="77" s="1"/>
  <c r="L81" i="77" s="1"/>
  <c r="J96" i="77"/>
  <c r="K96" i="77" s="1"/>
  <c r="L96" i="77" s="1"/>
  <c r="J98" i="77"/>
  <c r="K98" i="77" s="1"/>
  <c r="L98" i="77" s="1"/>
  <c r="J106" i="77"/>
  <c r="K106" i="77" s="1"/>
  <c r="L106" i="77" s="1"/>
  <c r="J139" i="77"/>
  <c r="K139" i="77" s="1"/>
  <c r="L139" i="77" s="1"/>
  <c r="J66" i="77"/>
  <c r="K66" i="77" s="1"/>
  <c r="L66" i="77" s="1"/>
  <c r="J100" i="77"/>
  <c r="K100" i="77" s="1"/>
  <c r="L100" i="77" s="1"/>
  <c r="J103" i="77"/>
  <c r="K103" i="77" s="1"/>
  <c r="L103" i="77" s="1"/>
  <c r="J140" i="77"/>
  <c r="K140" i="77" s="1"/>
  <c r="L140" i="77" s="1"/>
  <c r="J136" i="77"/>
  <c r="K136" i="77" s="1"/>
  <c r="L136" i="77" s="1"/>
  <c r="J132" i="77"/>
  <c r="K132" i="77" s="1"/>
  <c r="L132" i="77" s="1"/>
  <c r="J128" i="77"/>
  <c r="K128" i="77" s="1"/>
  <c r="L128" i="77" s="1"/>
  <c r="J124" i="77"/>
  <c r="K124" i="77" s="1"/>
  <c r="L124" i="77" s="1"/>
  <c r="J142" i="77"/>
  <c r="K142" i="77" s="1"/>
  <c r="L142" i="77" s="1"/>
  <c r="J138" i="77"/>
  <c r="K138" i="77" s="1"/>
  <c r="L138" i="77" s="1"/>
  <c r="J134" i="77"/>
  <c r="K134" i="77" s="1"/>
  <c r="L134" i="77" s="1"/>
  <c r="J130" i="77"/>
  <c r="K130" i="77" s="1"/>
  <c r="L130" i="77" s="1"/>
  <c r="J126" i="77"/>
  <c r="K126" i="77" s="1"/>
  <c r="L126" i="77" s="1"/>
  <c r="J122" i="77"/>
  <c r="K122" i="77" s="1"/>
  <c r="L122" i="77" s="1"/>
  <c r="J121" i="77"/>
  <c r="K121" i="77" s="1"/>
  <c r="L121" i="77" s="1"/>
  <c r="J115" i="77"/>
  <c r="K115" i="77" s="1"/>
  <c r="L115" i="77" s="1"/>
  <c r="J131" i="77"/>
  <c r="K131" i="77" s="1"/>
  <c r="L131" i="77" s="1"/>
  <c r="J119" i="77"/>
  <c r="K119" i="77" s="1"/>
  <c r="L119" i="77" s="1"/>
  <c r="J116" i="77"/>
  <c r="K116" i="77" s="1"/>
  <c r="L116" i="77" s="1"/>
  <c r="J97" i="77"/>
  <c r="K97" i="77" s="1"/>
  <c r="L97" i="77" s="1"/>
  <c r="J93" i="77"/>
  <c r="K93" i="77" s="1"/>
  <c r="L93" i="77" s="1"/>
  <c r="J89" i="77"/>
  <c r="K89" i="77" s="1"/>
  <c r="L89" i="77" s="1"/>
  <c r="J85" i="77"/>
  <c r="K85" i="77" s="1"/>
  <c r="L85" i="77" s="1"/>
  <c r="J129" i="77"/>
  <c r="K129" i="77" s="1"/>
  <c r="L129" i="77" s="1"/>
  <c r="J123" i="77"/>
  <c r="K123" i="77" s="1"/>
  <c r="L123" i="77" s="1"/>
  <c r="J112" i="77"/>
  <c r="K112" i="77" s="1"/>
  <c r="L112" i="77" s="1"/>
  <c r="J141" i="77"/>
  <c r="K141" i="77" s="1"/>
  <c r="L141" i="77" s="1"/>
  <c r="J137" i="77"/>
  <c r="K137" i="77" s="1"/>
  <c r="L137" i="77" s="1"/>
  <c r="J120" i="77"/>
  <c r="K120" i="77" s="1"/>
  <c r="L120" i="77" s="1"/>
  <c r="J118" i="77"/>
  <c r="K118" i="77" s="1"/>
  <c r="L118" i="77" s="1"/>
  <c r="J114" i="77"/>
  <c r="K114" i="77" s="1"/>
  <c r="L114" i="77" s="1"/>
  <c r="J87" i="77"/>
  <c r="K87" i="77" s="1"/>
  <c r="L87" i="77" s="1"/>
  <c r="J104" i="77"/>
  <c r="K104" i="77" s="1"/>
  <c r="L104" i="77" s="1"/>
  <c r="J107" i="77"/>
  <c r="K107" i="77" s="1"/>
  <c r="L107" i="77" s="1"/>
  <c r="J117" i="77"/>
  <c r="K117" i="77" s="1"/>
  <c r="L117" i="77" s="1"/>
  <c r="I21" i="77"/>
  <c r="X29" i="77"/>
  <c r="Y29" i="77" s="1"/>
  <c r="J63" i="77"/>
  <c r="K63" i="77" s="1"/>
  <c r="L63" i="77" s="1"/>
  <c r="J67" i="77"/>
  <c r="K67" i="77" s="1"/>
  <c r="L67" i="77" s="1"/>
  <c r="J91" i="77"/>
  <c r="K91" i="77" s="1"/>
  <c r="L91" i="77" s="1"/>
  <c r="J108" i="77"/>
  <c r="K108" i="77" s="1"/>
  <c r="L108" i="77" s="1"/>
  <c r="J133" i="77"/>
  <c r="K133" i="77" s="1"/>
  <c r="L133" i="77" s="1"/>
  <c r="J84" i="77"/>
  <c r="K84" i="77" s="1"/>
  <c r="L84" i="77" s="1"/>
  <c r="J95" i="77"/>
  <c r="K95" i="77" s="1"/>
  <c r="L95" i="77" s="1"/>
  <c r="J135" i="77"/>
  <c r="K135" i="77" s="1"/>
  <c r="L135" i="77" s="1"/>
  <c r="J68" i="77"/>
  <c r="K68" i="77" s="1"/>
  <c r="L68" i="77" s="1"/>
  <c r="J86" i="77"/>
  <c r="K86" i="77" s="1"/>
  <c r="L86" i="77" s="1"/>
  <c r="J99" i="77"/>
  <c r="K99" i="77" s="1"/>
  <c r="L99" i="77" s="1"/>
  <c r="J101" i="77"/>
  <c r="K101" i="77" s="1"/>
  <c r="L101" i="77" s="1"/>
  <c r="J113" i="77"/>
  <c r="K113" i="77" s="1"/>
  <c r="L113" i="77" s="1"/>
  <c r="J88" i="76"/>
  <c r="K88" i="76" s="1"/>
  <c r="L88" i="76" s="1"/>
  <c r="J63" i="76"/>
  <c r="K63" i="76" s="1"/>
  <c r="L63" i="76" s="1"/>
  <c r="J100" i="76"/>
  <c r="K100" i="76" s="1"/>
  <c r="L100" i="76" s="1"/>
  <c r="J104" i="76"/>
  <c r="K104" i="76" s="1"/>
  <c r="L104" i="76" s="1"/>
  <c r="J79" i="76"/>
  <c r="K79" i="76" s="1"/>
  <c r="L79" i="76" s="1"/>
  <c r="U80" i="76"/>
  <c r="V80" i="76" s="1"/>
  <c r="J96" i="76"/>
  <c r="K96" i="76" s="1"/>
  <c r="L96" i="76" s="1"/>
  <c r="U70" i="76"/>
  <c r="V70" i="76" s="1"/>
  <c r="J87" i="76"/>
  <c r="K87" i="76" s="1"/>
  <c r="L87" i="76" s="1"/>
  <c r="J122" i="76"/>
  <c r="K122" i="76" s="1"/>
  <c r="L122" i="76" s="1"/>
  <c r="U140" i="76"/>
  <c r="V140" i="76" s="1"/>
  <c r="U66" i="76"/>
  <c r="V66" i="76" s="1"/>
  <c r="J83" i="76"/>
  <c r="K83" i="76" s="1"/>
  <c r="L83" i="76" s="1"/>
  <c r="J85" i="76"/>
  <c r="K85" i="76" s="1"/>
  <c r="L85" i="76" s="1"/>
  <c r="U100" i="76"/>
  <c r="V100" i="76" s="1"/>
  <c r="J71" i="76"/>
  <c r="K71" i="76" s="1"/>
  <c r="L71" i="76" s="1"/>
  <c r="U98" i="76"/>
  <c r="V98" i="76" s="1"/>
  <c r="J67" i="76"/>
  <c r="K67" i="76" s="1"/>
  <c r="L67" i="76" s="1"/>
  <c r="J80" i="76"/>
  <c r="K80" i="76" s="1"/>
  <c r="L80" i="76" s="1"/>
  <c r="U96" i="76"/>
  <c r="V96" i="76" s="1"/>
  <c r="J113" i="76"/>
  <c r="K113" i="76" s="1"/>
  <c r="L113" i="76" s="1"/>
  <c r="U136" i="76"/>
  <c r="V136" i="76" s="1"/>
  <c r="Y19" i="76"/>
  <c r="X29" i="76"/>
  <c r="Y29" i="76" s="1"/>
  <c r="I11" i="76"/>
  <c r="I21" i="76"/>
  <c r="J21" i="76" s="1"/>
  <c r="Y20" i="76"/>
  <c r="E18" i="76"/>
  <c r="J18" i="76" s="1"/>
  <c r="T63" i="76"/>
  <c r="T79" i="76"/>
  <c r="T89" i="76"/>
  <c r="T95" i="76"/>
  <c r="T101" i="76"/>
  <c r="T67" i="76"/>
  <c r="T93" i="76"/>
  <c r="E20" i="76"/>
  <c r="E16" i="76"/>
  <c r="T71" i="76"/>
  <c r="S140" i="76"/>
  <c r="S136" i="76"/>
  <c r="S132" i="76"/>
  <c r="S128" i="76"/>
  <c r="S124" i="76"/>
  <c r="S120" i="76"/>
  <c r="S116" i="76"/>
  <c r="S112" i="76"/>
  <c r="S108" i="76"/>
  <c r="S104" i="76"/>
  <c r="S100" i="76"/>
  <c r="S139" i="76"/>
  <c r="S135" i="76"/>
  <c r="S131" i="76"/>
  <c r="S127" i="76"/>
  <c r="S123" i="76"/>
  <c r="S119" i="76"/>
  <c r="S115" i="76"/>
  <c r="S111" i="76"/>
  <c r="S107" i="76"/>
  <c r="S103" i="76"/>
  <c r="S142" i="76"/>
  <c r="S138" i="76"/>
  <c r="S134" i="76"/>
  <c r="S130" i="76"/>
  <c r="S126" i="76"/>
  <c r="S122" i="76"/>
  <c r="S118" i="76"/>
  <c r="S114" i="76"/>
  <c r="S110" i="76"/>
  <c r="S106" i="76"/>
  <c r="S98" i="76"/>
  <c r="S94" i="76"/>
  <c r="S90" i="76"/>
  <c r="S86" i="76"/>
  <c r="S82" i="76"/>
  <c r="S78" i="76"/>
  <c r="S74" i="76"/>
  <c r="S129" i="76"/>
  <c r="S113" i="76"/>
  <c r="S109" i="76"/>
  <c r="S105" i="76"/>
  <c r="S125" i="76"/>
  <c r="S96" i="76"/>
  <c r="S92" i="76"/>
  <c r="S88" i="76"/>
  <c r="S84" i="76"/>
  <c r="S80" i="76"/>
  <c r="E25" i="76"/>
  <c r="X30" i="76"/>
  <c r="Y30" i="76" s="1"/>
  <c r="J64" i="76"/>
  <c r="K64" i="76" s="1"/>
  <c r="L64" i="76" s="1"/>
  <c r="J68" i="76"/>
  <c r="K68" i="76" s="1"/>
  <c r="L68" i="76" s="1"/>
  <c r="J72" i="76"/>
  <c r="K72" i="76" s="1"/>
  <c r="L72" i="76" s="1"/>
  <c r="J89" i="76"/>
  <c r="K89" i="76" s="1"/>
  <c r="L89" i="76" s="1"/>
  <c r="J91" i="76"/>
  <c r="K91" i="76" s="1"/>
  <c r="L91" i="76" s="1"/>
  <c r="S97" i="76"/>
  <c r="S99" i="76"/>
  <c r="J105" i="76"/>
  <c r="K105" i="76" s="1"/>
  <c r="L105" i="76" s="1"/>
  <c r="J114" i="76"/>
  <c r="K114" i="76" s="1"/>
  <c r="L114" i="76" s="1"/>
  <c r="J115" i="76"/>
  <c r="K115" i="76" s="1"/>
  <c r="L115" i="76" s="1"/>
  <c r="J116" i="76"/>
  <c r="K116" i="76" s="1"/>
  <c r="L116" i="76" s="1"/>
  <c r="S133" i="76"/>
  <c r="U139" i="76"/>
  <c r="V139" i="76" s="1"/>
  <c r="U135" i="76"/>
  <c r="V135" i="76" s="1"/>
  <c r="U131" i="76"/>
  <c r="V131" i="76" s="1"/>
  <c r="U127" i="76"/>
  <c r="V127" i="76" s="1"/>
  <c r="U123" i="76"/>
  <c r="V123" i="76" s="1"/>
  <c r="U119" i="76"/>
  <c r="V119" i="76" s="1"/>
  <c r="U115" i="76"/>
  <c r="V115" i="76" s="1"/>
  <c r="U111" i="76"/>
  <c r="V111" i="76" s="1"/>
  <c r="U107" i="76"/>
  <c r="V107" i="76" s="1"/>
  <c r="U103" i="76"/>
  <c r="V103" i="76" s="1"/>
  <c r="U142" i="76"/>
  <c r="V142" i="76" s="1"/>
  <c r="U138" i="76"/>
  <c r="V138" i="76" s="1"/>
  <c r="U134" i="76"/>
  <c r="V134" i="76" s="1"/>
  <c r="U130" i="76"/>
  <c r="V130" i="76" s="1"/>
  <c r="U126" i="76"/>
  <c r="V126" i="76" s="1"/>
  <c r="U122" i="76"/>
  <c r="V122" i="76" s="1"/>
  <c r="U118" i="76"/>
  <c r="V118" i="76" s="1"/>
  <c r="U114" i="76"/>
  <c r="V114" i="76" s="1"/>
  <c r="U110" i="76"/>
  <c r="V110" i="76" s="1"/>
  <c r="U106" i="76"/>
  <c r="V106" i="76" s="1"/>
  <c r="U102" i="76"/>
  <c r="V102" i="76" s="1"/>
  <c r="U141" i="76"/>
  <c r="V141" i="76" s="1"/>
  <c r="U137" i="76"/>
  <c r="V137" i="76" s="1"/>
  <c r="U133" i="76"/>
  <c r="V133" i="76" s="1"/>
  <c r="U129" i="76"/>
  <c r="V129" i="76" s="1"/>
  <c r="U125" i="76"/>
  <c r="V125" i="76" s="1"/>
  <c r="U121" i="76"/>
  <c r="V121" i="76" s="1"/>
  <c r="U117" i="76"/>
  <c r="V117" i="76" s="1"/>
  <c r="U113" i="76"/>
  <c r="V113" i="76" s="1"/>
  <c r="U109" i="76"/>
  <c r="V109" i="76" s="1"/>
  <c r="U105" i="76"/>
  <c r="V105" i="76" s="1"/>
  <c r="U132" i="76"/>
  <c r="V132" i="76" s="1"/>
  <c r="U128" i="76"/>
  <c r="V128" i="76" s="1"/>
  <c r="U97" i="76"/>
  <c r="V97" i="76" s="1"/>
  <c r="U93" i="76"/>
  <c r="V93" i="76" s="1"/>
  <c r="U89" i="76"/>
  <c r="V89" i="76" s="1"/>
  <c r="U85" i="76"/>
  <c r="V85" i="76" s="1"/>
  <c r="U81" i="76"/>
  <c r="V81" i="76" s="1"/>
  <c r="U77" i="76"/>
  <c r="V77" i="76" s="1"/>
  <c r="U73" i="76"/>
  <c r="V73" i="76" s="1"/>
  <c r="U120" i="76"/>
  <c r="V120" i="76" s="1"/>
  <c r="U112" i="76"/>
  <c r="V112" i="76" s="1"/>
  <c r="U108" i="76"/>
  <c r="V108" i="76" s="1"/>
  <c r="U104" i="76"/>
  <c r="V104" i="76" s="1"/>
  <c r="U101" i="76"/>
  <c r="V101" i="76" s="1"/>
  <c r="U99" i="76"/>
  <c r="V99" i="76" s="1"/>
  <c r="U95" i="76"/>
  <c r="V95" i="76" s="1"/>
  <c r="U91" i="76"/>
  <c r="V91" i="76" s="1"/>
  <c r="U87" i="76"/>
  <c r="V87" i="76" s="1"/>
  <c r="U83" i="76"/>
  <c r="V83" i="76" s="1"/>
  <c r="U79" i="76"/>
  <c r="V79" i="76" s="1"/>
  <c r="U63" i="76"/>
  <c r="V63" i="76" s="1"/>
  <c r="S64" i="76"/>
  <c r="U67" i="76"/>
  <c r="V67" i="76" s="1"/>
  <c r="S68" i="76"/>
  <c r="U71" i="76"/>
  <c r="V71" i="76" s="1"/>
  <c r="S72" i="76"/>
  <c r="J75" i="76"/>
  <c r="K75" i="76" s="1"/>
  <c r="L75" i="76" s="1"/>
  <c r="S75" i="76"/>
  <c r="J93" i="76"/>
  <c r="K93" i="76" s="1"/>
  <c r="L93" i="76" s="1"/>
  <c r="J95" i="76"/>
  <c r="K95" i="76" s="1"/>
  <c r="L95" i="76" s="1"/>
  <c r="J120" i="76"/>
  <c r="K120" i="76" s="1"/>
  <c r="L120" i="76" s="1"/>
  <c r="J65" i="76"/>
  <c r="K65" i="76" s="1"/>
  <c r="L65" i="76" s="1"/>
  <c r="J69" i="76"/>
  <c r="K69" i="76" s="1"/>
  <c r="L69" i="76" s="1"/>
  <c r="J73" i="76"/>
  <c r="K73" i="76" s="1"/>
  <c r="L73" i="76" s="1"/>
  <c r="S73" i="76"/>
  <c r="J74" i="76"/>
  <c r="K74" i="76" s="1"/>
  <c r="L74" i="76" s="1"/>
  <c r="J76" i="76"/>
  <c r="K76" i="76" s="1"/>
  <c r="L76" i="76" s="1"/>
  <c r="S76" i="76"/>
  <c r="J77" i="76"/>
  <c r="K77" i="76" s="1"/>
  <c r="L77" i="76" s="1"/>
  <c r="S77" i="76"/>
  <c r="J78" i="76"/>
  <c r="K78" i="76" s="1"/>
  <c r="L78" i="76" s="1"/>
  <c r="U78" i="76"/>
  <c r="V78" i="76" s="1"/>
  <c r="S81" i="76"/>
  <c r="J82" i="76"/>
  <c r="K82" i="76" s="1"/>
  <c r="L82" i="76" s="1"/>
  <c r="U82" i="76"/>
  <c r="V82" i="76" s="1"/>
  <c r="J97" i="76"/>
  <c r="K97" i="76" s="1"/>
  <c r="L97" i="76" s="1"/>
  <c r="J99" i="76"/>
  <c r="K99" i="76" s="1"/>
  <c r="L99" i="76" s="1"/>
  <c r="J101" i="76"/>
  <c r="K101" i="76" s="1"/>
  <c r="L101" i="76" s="1"/>
  <c r="S102" i="76"/>
  <c r="J106" i="76"/>
  <c r="K106" i="76" s="1"/>
  <c r="L106" i="76" s="1"/>
  <c r="J107" i="76"/>
  <c r="K107" i="76" s="1"/>
  <c r="L107" i="76" s="1"/>
  <c r="J108" i="76"/>
  <c r="K108" i="76" s="1"/>
  <c r="L108" i="76" s="1"/>
  <c r="J118" i="76"/>
  <c r="K118" i="76" s="1"/>
  <c r="L118" i="76" s="1"/>
  <c r="S137" i="76"/>
  <c r="S141" i="76"/>
  <c r="U64" i="76"/>
  <c r="V64" i="76" s="1"/>
  <c r="S65" i="76"/>
  <c r="U68" i="76"/>
  <c r="V68" i="76" s="1"/>
  <c r="S69" i="76"/>
  <c r="U72" i="76"/>
  <c r="V72" i="76" s="1"/>
  <c r="U74" i="76"/>
  <c r="V74" i="76" s="1"/>
  <c r="U75" i="76"/>
  <c r="V75" i="76" s="1"/>
  <c r="J81" i="76"/>
  <c r="K81" i="76" s="1"/>
  <c r="L81" i="76" s="1"/>
  <c r="J84" i="76"/>
  <c r="K84" i="76" s="1"/>
  <c r="L84" i="76" s="1"/>
  <c r="U84" i="76"/>
  <c r="V84" i="76" s="1"/>
  <c r="U86" i="76"/>
  <c r="V86" i="76" s="1"/>
  <c r="J109" i="76"/>
  <c r="K109" i="76" s="1"/>
  <c r="L109" i="76" s="1"/>
  <c r="S121" i="76"/>
  <c r="J66" i="76"/>
  <c r="K66" i="76" s="1"/>
  <c r="L66" i="76" s="1"/>
  <c r="J70" i="76"/>
  <c r="K70" i="76" s="1"/>
  <c r="L70" i="76" s="1"/>
  <c r="U76" i="76"/>
  <c r="V76" i="76" s="1"/>
  <c r="S83" i="76"/>
  <c r="U88" i="76"/>
  <c r="V88" i="76" s="1"/>
  <c r="U90" i="76"/>
  <c r="V90" i="76" s="1"/>
  <c r="S117" i="76"/>
  <c r="J140" i="76"/>
  <c r="K140" i="76" s="1"/>
  <c r="L140" i="76" s="1"/>
  <c r="J136" i="76"/>
  <c r="K136" i="76" s="1"/>
  <c r="L136" i="76" s="1"/>
  <c r="J132" i="76"/>
  <c r="K132" i="76" s="1"/>
  <c r="L132" i="76" s="1"/>
  <c r="J128" i="76"/>
  <c r="K128" i="76" s="1"/>
  <c r="L128" i="76" s="1"/>
  <c r="J124" i="76"/>
  <c r="K124" i="76" s="1"/>
  <c r="L124" i="76" s="1"/>
  <c r="J139" i="76"/>
  <c r="K139" i="76" s="1"/>
  <c r="L139" i="76" s="1"/>
  <c r="J135" i="76"/>
  <c r="K135" i="76" s="1"/>
  <c r="L135" i="76" s="1"/>
  <c r="J131" i="76"/>
  <c r="K131" i="76" s="1"/>
  <c r="L131" i="76" s="1"/>
  <c r="J127" i="76"/>
  <c r="K127" i="76" s="1"/>
  <c r="L127" i="76" s="1"/>
  <c r="J123" i="76"/>
  <c r="K123" i="76" s="1"/>
  <c r="L123" i="76" s="1"/>
  <c r="J119" i="76"/>
  <c r="K119" i="76" s="1"/>
  <c r="L119" i="76" s="1"/>
  <c r="J142" i="76"/>
  <c r="K142" i="76" s="1"/>
  <c r="L142" i="76" s="1"/>
  <c r="J138" i="76"/>
  <c r="K138" i="76" s="1"/>
  <c r="L138" i="76" s="1"/>
  <c r="J134" i="76"/>
  <c r="K134" i="76" s="1"/>
  <c r="L134" i="76" s="1"/>
  <c r="J130" i="76"/>
  <c r="K130" i="76" s="1"/>
  <c r="L130" i="76" s="1"/>
  <c r="J141" i="76"/>
  <c r="K141" i="76" s="1"/>
  <c r="L141" i="76" s="1"/>
  <c r="J137" i="76"/>
  <c r="K137" i="76" s="1"/>
  <c r="L137" i="76" s="1"/>
  <c r="J133" i="76"/>
  <c r="K133" i="76" s="1"/>
  <c r="L133" i="76" s="1"/>
  <c r="J129" i="76"/>
  <c r="K129" i="76" s="1"/>
  <c r="L129" i="76" s="1"/>
  <c r="J125" i="76"/>
  <c r="K125" i="76" s="1"/>
  <c r="L125" i="76" s="1"/>
  <c r="J126" i="76"/>
  <c r="K126" i="76" s="1"/>
  <c r="L126" i="76" s="1"/>
  <c r="J121" i="76"/>
  <c r="K121" i="76" s="1"/>
  <c r="L121" i="76" s="1"/>
  <c r="J103" i="76"/>
  <c r="K103" i="76" s="1"/>
  <c r="L103" i="76" s="1"/>
  <c r="J117" i="76"/>
  <c r="K117" i="76" s="1"/>
  <c r="L117" i="76" s="1"/>
  <c r="J98" i="76"/>
  <c r="K98" i="76" s="1"/>
  <c r="L98" i="76" s="1"/>
  <c r="J94" i="76"/>
  <c r="K94" i="76" s="1"/>
  <c r="L94" i="76" s="1"/>
  <c r="J90" i="76"/>
  <c r="K90" i="76" s="1"/>
  <c r="L90" i="76" s="1"/>
  <c r="J86" i="76"/>
  <c r="K86" i="76" s="1"/>
  <c r="L86" i="76" s="1"/>
  <c r="U65" i="76"/>
  <c r="V65" i="76" s="1"/>
  <c r="S66" i="76"/>
  <c r="U69" i="76"/>
  <c r="V69" i="76" s="1"/>
  <c r="S70" i="76"/>
  <c r="S85" i="76"/>
  <c r="S87" i="76"/>
  <c r="J92" i="76"/>
  <c r="K92" i="76" s="1"/>
  <c r="L92" i="76" s="1"/>
  <c r="U92" i="76"/>
  <c r="V92" i="76" s="1"/>
  <c r="U94" i="76"/>
  <c r="V94" i="76" s="1"/>
  <c r="J102" i="76"/>
  <c r="K102" i="76" s="1"/>
  <c r="L102" i="76" s="1"/>
  <c r="J110" i="76"/>
  <c r="K110" i="76" s="1"/>
  <c r="L110" i="76" s="1"/>
  <c r="J111" i="76"/>
  <c r="K111" i="76" s="1"/>
  <c r="L111" i="76" s="1"/>
  <c r="J112" i="76"/>
  <c r="K112" i="76" s="1"/>
  <c r="L112" i="76" s="1"/>
  <c r="U116" i="76"/>
  <c r="V116" i="76" s="1"/>
  <c r="U124" i="76"/>
  <c r="V124" i="76" s="1"/>
  <c r="X30" i="74"/>
  <c r="Y30" i="74" s="1"/>
  <c r="N64" i="74"/>
  <c r="X29" i="74"/>
  <c r="Y29" i="74" s="1"/>
  <c r="E11" i="74"/>
  <c r="E25" i="74"/>
  <c r="M103" i="74" s="1"/>
  <c r="O103" i="74" s="1"/>
  <c r="P103" i="74" s="1"/>
  <c r="E16" i="74"/>
  <c r="M119" i="74"/>
  <c r="O119" i="74" s="1"/>
  <c r="P119" i="74" s="1"/>
  <c r="M111" i="74"/>
  <c r="O111" i="74" s="1"/>
  <c r="P111" i="74" s="1"/>
  <c r="M125" i="74"/>
  <c r="O125" i="74" s="1"/>
  <c r="P125" i="74" s="1"/>
  <c r="M109" i="74"/>
  <c r="O109" i="74" s="1"/>
  <c r="P109" i="74" s="1"/>
  <c r="M112" i="74"/>
  <c r="O112" i="74" s="1"/>
  <c r="P112" i="74" s="1"/>
  <c r="M83" i="74"/>
  <c r="O83" i="74" s="1"/>
  <c r="P83" i="74" s="1"/>
  <c r="M75" i="74"/>
  <c r="O75" i="74" s="1"/>
  <c r="P75" i="74" s="1"/>
  <c r="M74" i="74"/>
  <c r="O74" i="74" s="1"/>
  <c r="P74" i="74" s="1"/>
  <c r="M86" i="74"/>
  <c r="O86" i="74" s="1"/>
  <c r="P86" i="74" s="1"/>
  <c r="M96" i="74"/>
  <c r="O96" i="74" s="1"/>
  <c r="P96" i="74" s="1"/>
  <c r="E26" i="74"/>
  <c r="M131" i="74" s="1"/>
  <c r="O131" i="74" s="1"/>
  <c r="P131" i="74" s="1"/>
  <c r="T73" i="74"/>
  <c r="Y19" i="74"/>
  <c r="Y20" i="74"/>
  <c r="J66" i="74"/>
  <c r="K66" i="74" s="1"/>
  <c r="L66" i="74" s="1"/>
  <c r="J70" i="74"/>
  <c r="K70" i="74" s="1"/>
  <c r="L70" i="74" s="1"/>
  <c r="J75" i="74"/>
  <c r="K75" i="74" s="1"/>
  <c r="L75" i="74" s="1"/>
  <c r="S77" i="74"/>
  <c r="J82" i="74"/>
  <c r="K82" i="74" s="1"/>
  <c r="L82" i="74" s="1"/>
  <c r="J86" i="74"/>
  <c r="K86" i="74" s="1"/>
  <c r="L86" i="74" s="1"/>
  <c r="J90" i="74"/>
  <c r="K90" i="74" s="1"/>
  <c r="L90" i="74" s="1"/>
  <c r="U98" i="74"/>
  <c r="V98" i="74" s="1"/>
  <c r="J140" i="74"/>
  <c r="K140" i="74" s="1"/>
  <c r="L140" i="74" s="1"/>
  <c r="J136" i="74"/>
  <c r="K136" i="74" s="1"/>
  <c r="L136" i="74" s="1"/>
  <c r="J132" i="74"/>
  <c r="K132" i="74" s="1"/>
  <c r="L132" i="74" s="1"/>
  <c r="J128" i="74"/>
  <c r="K128" i="74" s="1"/>
  <c r="L128" i="74" s="1"/>
  <c r="J142" i="74"/>
  <c r="K142" i="74" s="1"/>
  <c r="L142" i="74" s="1"/>
  <c r="J138" i="74"/>
  <c r="K138" i="74" s="1"/>
  <c r="L138" i="74" s="1"/>
  <c r="J134" i="74"/>
  <c r="K134" i="74" s="1"/>
  <c r="L134" i="74" s="1"/>
  <c r="J130" i="74"/>
  <c r="K130" i="74" s="1"/>
  <c r="L130" i="74" s="1"/>
  <c r="J123" i="74"/>
  <c r="K123" i="74" s="1"/>
  <c r="L123" i="74" s="1"/>
  <c r="J119" i="74"/>
  <c r="K119" i="74" s="1"/>
  <c r="L119" i="74" s="1"/>
  <c r="J115" i="74"/>
  <c r="K115" i="74" s="1"/>
  <c r="L115" i="74" s="1"/>
  <c r="J111" i="74"/>
  <c r="K111" i="74" s="1"/>
  <c r="L111" i="74" s="1"/>
  <c r="J107" i="74"/>
  <c r="K107" i="74" s="1"/>
  <c r="L107" i="74" s="1"/>
  <c r="J103" i="74"/>
  <c r="K103" i="74" s="1"/>
  <c r="L103" i="74" s="1"/>
  <c r="J139" i="74"/>
  <c r="K139" i="74" s="1"/>
  <c r="L139" i="74" s="1"/>
  <c r="J133" i="74"/>
  <c r="K133" i="74" s="1"/>
  <c r="L133" i="74" s="1"/>
  <c r="J97" i="74"/>
  <c r="K97" i="74" s="1"/>
  <c r="L97" i="74" s="1"/>
  <c r="J122" i="74"/>
  <c r="K122" i="74" s="1"/>
  <c r="L122" i="74" s="1"/>
  <c r="J118" i="74"/>
  <c r="K118" i="74" s="1"/>
  <c r="L118" i="74" s="1"/>
  <c r="J114" i="74"/>
  <c r="K114" i="74" s="1"/>
  <c r="L114" i="74" s="1"/>
  <c r="J110" i="74"/>
  <c r="K110" i="74" s="1"/>
  <c r="L110" i="74" s="1"/>
  <c r="J106" i="74"/>
  <c r="K106" i="74" s="1"/>
  <c r="L106" i="74" s="1"/>
  <c r="J102" i="74"/>
  <c r="K102" i="74" s="1"/>
  <c r="L102" i="74" s="1"/>
  <c r="J100" i="74"/>
  <c r="K100" i="74" s="1"/>
  <c r="L100" i="74" s="1"/>
  <c r="J96" i="74"/>
  <c r="K96" i="74" s="1"/>
  <c r="L96" i="74" s="1"/>
  <c r="J92" i="74"/>
  <c r="K92" i="74" s="1"/>
  <c r="L92" i="74" s="1"/>
  <c r="J88" i="74"/>
  <c r="K88" i="74" s="1"/>
  <c r="L88" i="74" s="1"/>
  <c r="J84" i="74"/>
  <c r="K84" i="74" s="1"/>
  <c r="L84" i="74" s="1"/>
  <c r="J80" i="74"/>
  <c r="K80" i="74" s="1"/>
  <c r="L80" i="74" s="1"/>
  <c r="J76" i="74"/>
  <c r="K76" i="74" s="1"/>
  <c r="L76" i="74" s="1"/>
  <c r="J135" i="74"/>
  <c r="K135" i="74" s="1"/>
  <c r="L135" i="74" s="1"/>
  <c r="J129" i="74"/>
  <c r="K129" i="74" s="1"/>
  <c r="L129" i="74" s="1"/>
  <c r="J127" i="74"/>
  <c r="K127" i="74" s="1"/>
  <c r="L127" i="74" s="1"/>
  <c r="J121" i="74"/>
  <c r="K121" i="74" s="1"/>
  <c r="L121" i="74" s="1"/>
  <c r="J117" i="74"/>
  <c r="K117" i="74" s="1"/>
  <c r="L117" i="74" s="1"/>
  <c r="J113" i="74"/>
  <c r="K113" i="74" s="1"/>
  <c r="L113" i="74" s="1"/>
  <c r="J109" i="74"/>
  <c r="K109" i="74" s="1"/>
  <c r="L109" i="74" s="1"/>
  <c r="J105" i="74"/>
  <c r="K105" i="74" s="1"/>
  <c r="L105" i="74" s="1"/>
  <c r="J101" i="74"/>
  <c r="K101" i="74" s="1"/>
  <c r="L101" i="74" s="1"/>
  <c r="J126" i="74"/>
  <c r="K126" i="74" s="1"/>
  <c r="L126" i="74" s="1"/>
  <c r="J125" i="74"/>
  <c r="K125" i="74" s="1"/>
  <c r="L125" i="74" s="1"/>
  <c r="J99" i="74"/>
  <c r="K99" i="74" s="1"/>
  <c r="L99" i="74" s="1"/>
  <c r="J141" i="74"/>
  <c r="K141" i="74" s="1"/>
  <c r="L141" i="74" s="1"/>
  <c r="J137" i="74"/>
  <c r="K137" i="74" s="1"/>
  <c r="L137" i="74" s="1"/>
  <c r="J124" i="74"/>
  <c r="K124" i="74" s="1"/>
  <c r="L124" i="74" s="1"/>
  <c r="J120" i="74"/>
  <c r="K120" i="74" s="1"/>
  <c r="L120" i="74" s="1"/>
  <c r="J116" i="74"/>
  <c r="K116" i="74" s="1"/>
  <c r="L116" i="74" s="1"/>
  <c r="J112" i="74"/>
  <c r="K112" i="74" s="1"/>
  <c r="L112" i="74" s="1"/>
  <c r="J108" i="74"/>
  <c r="K108" i="74" s="1"/>
  <c r="L108" i="74" s="1"/>
  <c r="J104" i="74"/>
  <c r="K104" i="74" s="1"/>
  <c r="L104" i="74" s="1"/>
  <c r="U65" i="74"/>
  <c r="V65" i="74" s="1"/>
  <c r="S66" i="74"/>
  <c r="U69" i="74"/>
  <c r="V69" i="74" s="1"/>
  <c r="S70" i="74"/>
  <c r="S79" i="74"/>
  <c r="S81" i="74"/>
  <c r="S83" i="74"/>
  <c r="S85" i="74"/>
  <c r="S87" i="74"/>
  <c r="S89" i="74"/>
  <c r="S91" i="74"/>
  <c r="S93" i="74"/>
  <c r="S95" i="74"/>
  <c r="I21" i="74"/>
  <c r="J21" i="74" s="1"/>
  <c r="J63" i="74"/>
  <c r="K63" i="74" s="1"/>
  <c r="L63" i="74" s="1"/>
  <c r="J67" i="74"/>
  <c r="K67" i="74" s="1"/>
  <c r="L67" i="74" s="1"/>
  <c r="J71" i="74"/>
  <c r="K71" i="74" s="1"/>
  <c r="L71" i="74" s="1"/>
  <c r="J77" i="74"/>
  <c r="K77" i="74" s="1"/>
  <c r="L77" i="74" s="1"/>
  <c r="I12" i="74"/>
  <c r="I18" i="74" s="1"/>
  <c r="J18" i="74" s="1"/>
  <c r="E20" i="74"/>
  <c r="W11" i="74" s="1"/>
  <c r="I24" i="74"/>
  <c r="S63" i="74"/>
  <c r="U66" i="74"/>
  <c r="V66" i="74" s="1"/>
  <c r="S67" i="74"/>
  <c r="U70" i="74"/>
  <c r="V70" i="74" s="1"/>
  <c r="S71" i="74"/>
  <c r="J74" i="74"/>
  <c r="K74" i="74" s="1"/>
  <c r="L74" i="74" s="1"/>
  <c r="U74" i="74"/>
  <c r="V74" i="74" s="1"/>
  <c r="J79" i="74"/>
  <c r="K79" i="74" s="1"/>
  <c r="L79" i="74" s="1"/>
  <c r="J81" i="74"/>
  <c r="K81" i="74" s="1"/>
  <c r="L81" i="74" s="1"/>
  <c r="J83" i="74"/>
  <c r="K83" i="74" s="1"/>
  <c r="L83" i="74" s="1"/>
  <c r="J85" i="74"/>
  <c r="K85" i="74" s="1"/>
  <c r="L85" i="74" s="1"/>
  <c r="J87" i="74"/>
  <c r="K87" i="74" s="1"/>
  <c r="L87" i="74" s="1"/>
  <c r="J89" i="74"/>
  <c r="K89" i="74" s="1"/>
  <c r="L89" i="74" s="1"/>
  <c r="J91" i="74"/>
  <c r="K91" i="74" s="1"/>
  <c r="L91" i="74" s="1"/>
  <c r="J93" i="74"/>
  <c r="K93" i="74" s="1"/>
  <c r="L93" i="74" s="1"/>
  <c r="J95" i="74"/>
  <c r="K95" i="74" s="1"/>
  <c r="L95" i="74" s="1"/>
  <c r="S140" i="74"/>
  <c r="S136" i="74"/>
  <c r="S132" i="74"/>
  <c r="S128" i="74"/>
  <c r="S124" i="74"/>
  <c r="S120" i="74"/>
  <c r="S116" i="74"/>
  <c r="S112" i="74"/>
  <c r="S108" i="74"/>
  <c r="S104" i="74"/>
  <c r="S100" i="74"/>
  <c r="S139" i="74"/>
  <c r="S135" i="74"/>
  <c r="S131" i="74"/>
  <c r="S127" i="74"/>
  <c r="S123" i="74"/>
  <c r="S119" i="74"/>
  <c r="S115" i="74"/>
  <c r="S111" i="74"/>
  <c r="S107" i="74"/>
  <c r="S103" i="74"/>
  <c r="S142" i="74"/>
  <c r="S138" i="74"/>
  <c r="S134" i="74"/>
  <c r="S130" i="74"/>
  <c r="S126" i="74"/>
  <c r="S122" i="74"/>
  <c r="S118" i="74"/>
  <c r="S114" i="74"/>
  <c r="S110" i="74"/>
  <c r="S106" i="74"/>
  <c r="S102" i="74"/>
  <c r="S141" i="74"/>
  <c r="S137" i="74"/>
  <c r="S133" i="74"/>
  <c r="S129" i="74"/>
  <c r="S125" i="74"/>
  <c r="S121" i="74"/>
  <c r="S117" i="74"/>
  <c r="S113" i="74"/>
  <c r="S109" i="74"/>
  <c r="S105" i="74"/>
  <c r="S101" i="74"/>
  <c r="S96" i="74"/>
  <c r="S92" i="74"/>
  <c r="S88" i="74"/>
  <c r="S84" i="74"/>
  <c r="S80" i="74"/>
  <c r="S76" i="74"/>
  <c r="S98" i="74"/>
  <c r="S94" i="74"/>
  <c r="S90" i="74"/>
  <c r="S86" i="74"/>
  <c r="S82" i="74"/>
  <c r="S78" i="74"/>
  <c r="S74" i="74"/>
  <c r="J64" i="74"/>
  <c r="K64" i="74" s="1"/>
  <c r="L64" i="74" s="1"/>
  <c r="J68" i="74"/>
  <c r="K68" i="74" s="1"/>
  <c r="L68" i="74" s="1"/>
  <c r="J72" i="74"/>
  <c r="K72" i="74" s="1"/>
  <c r="L72" i="74" s="1"/>
  <c r="J73" i="74"/>
  <c r="K73" i="74" s="1"/>
  <c r="L73" i="74" s="1"/>
  <c r="U139" i="74"/>
  <c r="V139" i="74" s="1"/>
  <c r="U135" i="74"/>
  <c r="V135" i="74" s="1"/>
  <c r="U131" i="74"/>
  <c r="V131" i="74" s="1"/>
  <c r="U127" i="74"/>
  <c r="V127" i="74" s="1"/>
  <c r="U123" i="74"/>
  <c r="V123" i="74" s="1"/>
  <c r="U119" i="74"/>
  <c r="V119" i="74" s="1"/>
  <c r="U115" i="74"/>
  <c r="V115" i="74" s="1"/>
  <c r="U111" i="74"/>
  <c r="V111" i="74" s="1"/>
  <c r="U107" i="74"/>
  <c r="V107" i="74" s="1"/>
  <c r="U103" i="74"/>
  <c r="V103" i="74" s="1"/>
  <c r="U142" i="74"/>
  <c r="V142" i="74" s="1"/>
  <c r="U138" i="74"/>
  <c r="V138" i="74" s="1"/>
  <c r="U134" i="74"/>
  <c r="V134" i="74" s="1"/>
  <c r="U130" i="74"/>
  <c r="V130" i="74" s="1"/>
  <c r="U126" i="74"/>
  <c r="V126" i="74" s="1"/>
  <c r="U122" i="74"/>
  <c r="V122" i="74" s="1"/>
  <c r="U118" i="74"/>
  <c r="V118" i="74" s="1"/>
  <c r="U114" i="74"/>
  <c r="V114" i="74" s="1"/>
  <c r="U110" i="74"/>
  <c r="V110" i="74" s="1"/>
  <c r="U106" i="74"/>
  <c r="V106" i="74" s="1"/>
  <c r="U102" i="74"/>
  <c r="V102" i="74" s="1"/>
  <c r="U141" i="74"/>
  <c r="V141" i="74" s="1"/>
  <c r="U137" i="74"/>
  <c r="V137" i="74" s="1"/>
  <c r="U133" i="74"/>
  <c r="V133" i="74" s="1"/>
  <c r="U129" i="74"/>
  <c r="V129" i="74" s="1"/>
  <c r="U125" i="74"/>
  <c r="V125" i="74" s="1"/>
  <c r="U121" i="74"/>
  <c r="V121" i="74" s="1"/>
  <c r="U117" i="74"/>
  <c r="V117" i="74" s="1"/>
  <c r="U113" i="74"/>
  <c r="V113" i="74" s="1"/>
  <c r="U109" i="74"/>
  <c r="V109" i="74" s="1"/>
  <c r="U105" i="74"/>
  <c r="V105" i="74" s="1"/>
  <c r="U101" i="74"/>
  <c r="V101" i="74" s="1"/>
  <c r="U140" i="74"/>
  <c r="V140" i="74" s="1"/>
  <c r="U136" i="74"/>
  <c r="V136" i="74" s="1"/>
  <c r="U132" i="74"/>
  <c r="V132" i="74" s="1"/>
  <c r="U128" i="74"/>
  <c r="V128" i="74" s="1"/>
  <c r="U124" i="74"/>
  <c r="V124" i="74" s="1"/>
  <c r="U120" i="74"/>
  <c r="V120" i="74" s="1"/>
  <c r="U116" i="74"/>
  <c r="V116" i="74" s="1"/>
  <c r="U112" i="74"/>
  <c r="V112" i="74" s="1"/>
  <c r="U108" i="74"/>
  <c r="V108" i="74" s="1"/>
  <c r="U104" i="74"/>
  <c r="V104" i="74" s="1"/>
  <c r="U100" i="74"/>
  <c r="V100" i="74" s="1"/>
  <c r="U99" i="74"/>
  <c r="V99" i="74" s="1"/>
  <c r="U95" i="74"/>
  <c r="V95" i="74" s="1"/>
  <c r="U91" i="74"/>
  <c r="V91" i="74" s="1"/>
  <c r="U87" i="74"/>
  <c r="V87" i="74" s="1"/>
  <c r="U83" i="74"/>
  <c r="V83" i="74" s="1"/>
  <c r="U79" i="74"/>
  <c r="V79" i="74" s="1"/>
  <c r="U75" i="74"/>
  <c r="V75" i="74" s="1"/>
  <c r="U97" i="74"/>
  <c r="V97" i="74" s="1"/>
  <c r="U93" i="74"/>
  <c r="V93" i="74" s="1"/>
  <c r="U89" i="74"/>
  <c r="V89" i="74" s="1"/>
  <c r="U85" i="74"/>
  <c r="V85" i="74" s="1"/>
  <c r="U81" i="74"/>
  <c r="V81" i="74" s="1"/>
  <c r="U77" i="74"/>
  <c r="V77" i="74" s="1"/>
  <c r="U73" i="74"/>
  <c r="V73" i="74" s="1"/>
  <c r="U63" i="74"/>
  <c r="V63" i="74" s="1"/>
  <c r="S64" i="74"/>
  <c r="U67" i="74"/>
  <c r="V67" i="74" s="1"/>
  <c r="S68" i="74"/>
  <c r="U71" i="74"/>
  <c r="V71" i="74" s="1"/>
  <c r="S72" i="74"/>
  <c r="J98" i="74"/>
  <c r="K98" i="74" s="1"/>
  <c r="L98" i="74" s="1"/>
  <c r="J65" i="74"/>
  <c r="K65" i="74" s="1"/>
  <c r="L65" i="74" s="1"/>
  <c r="J69" i="74"/>
  <c r="K69" i="74" s="1"/>
  <c r="L69" i="74" s="1"/>
  <c r="U76" i="74"/>
  <c r="V76" i="74" s="1"/>
  <c r="U96" i="74"/>
  <c r="V96" i="74" s="1"/>
  <c r="S99" i="74"/>
  <c r="U64" i="74"/>
  <c r="V64" i="74" s="1"/>
  <c r="S65" i="74"/>
  <c r="U68" i="74"/>
  <c r="V68" i="74" s="1"/>
  <c r="S69" i="74"/>
  <c r="U72" i="74"/>
  <c r="V72" i="74" s="1"/>
  <c r="S75" i="74"/>
  <c r="J78" i="74"/>
  <c r="K78" i="74" s="1"/>
  <c r="L78" i="74" s="1"/>
  <c r="U78" i="74"/>
  <c r="V78" i="74" s="1"/>
  <c r="U80" i="74"/>
  <c r="V80" i="74" s="1"/>
  <c r="U82" i="74"/>
  <c r="V82" i="74" s="1"/>
  <c r="U84" i="74"/>
  <c r="V84" i="74" s="1"/>
  <c r="U86" i="74"/>
  <c r="V86" i="74" s="1"/>
  <c r="U88" i="74"/>
  <c r="V88" i="74" s="1"/>
  <c r="U90" i="74"/>
  <c r="V90" i="74" s="1"/>
  <c r="U92" i="74"/>
  <c r="V92" i="74" s="1"/>
  <c r="U94" i="74"/>
  <c r="V94" i="74" s="1"/>
  <c r="S97" i="74"/>
  <c r="J131" i="74"/>
  <c r="K131" i="74" s="1"/>
  <c r="L131" i="74" s="1"/>
  <c r="J68" i="72"/>
  <c r="K68" i="72" s="1"/>
  <c r="L68" i="72" s="1"/>
  <c r="J80" i="72"/>
  <c r="K80" i="72" s="1"/>
  <c r="L80" i="72" s="1"/>
  <c r="U72" i="72"/>
  <c r="V72" i="72" s="1"/>
  <c r="J75" i="72"/>
  <c r="K75" i="72" s="1"/>
  <c r="L75" i="72" s="1"/>
  <c r="U68" i="72"/>
  <c r="V68" i="72" s="1"/>
  <c r="J77" i="72"/>
  <c r="K77" i="72" s="1"/>
  <c r="L77" i="72" s="1"/>
  <c r="J79" i="72"/>
  <c r="K79" i="72" s="1"/>
  <c r="L79" i="72" s="1"/>
  <c r="J95" i="72"/>
  <c r="K95" i="72" s="1"/>
  <c r="L95" i="72" s="1"/>
  <c r="J63" i="72"/>
  <c r="K63" i="72" s="1"/>
  <c r="L63" i="72" s="1"/>
  <c r="U64" i="72"/>
  <c r="V64" i="72" s="1"/>
  <c r="J71" i="72"/>
  <c r="K71" i="72" s="1"/>
  <c r="L71" i="72" s="1"/>
  <c r="J83" i="72"/>
  <c r="K83" i="72" s="1"/>
  <c r="L83" i="72" s="1"/>
  <c r="J67" i="72"/>
  <c r="K67" i="72" s="1"/>
  <c r="L67" i="72" s="1"/>
  <c r="J81" i="72"/>
  <c r="K81" i="72" s="1"/>
  <c r="L81" i="72" s="1"/>
  <c r="J76" i="72"/>
  <c r="K76" i="72" s="1"/>
  <c r="L76" i="72" s="1"/>
  <c r="T65" i="72"/>
  <c r="T75" i="72"/>
  <c r="T79" i="72"/>
  <c r="X30" i="72"/>
  <c r="Y30" i="72" s="1"/>
  <c r="E18" i="72"/>
  <c r="X29" i="72"/>
  <c r="Y29" i="72" s="1"/>
  <c r="N63" i="72"/>
  <c r="E16" i="72" s="1"/>
  <c r="Y20" i="72"/>
  <c r="Y21" i="72"/>
  <c r="E20" i="72"/>
  <c r="W99" i="72"/>
  <c r="T99" i="72"/>
  <c r="Y19" i="72"/>
  <c r="E26" i="72"/>
  <c r="M115" i="72" s="1"/>
  <c r="O115" i="72" s="1"/>
  <c r="P115" i="72" s="1"/>
  <c r="T69" i="72"/>
  <c r="T76" i="72"/>
  <c r="J65" i="72"/>
  <c r="K65" i="72" s="1"/>
  <c r="L65" i="72" s="1"/>
  <c r="J69" i="72"/>
  <c r="K69" i="72" s="1"/>
  <c r="L69" i="72" s="1"/>
  <c r="J73" i="72"/>
  <c r="K73" i="72" s="1"/>
  <c r="L73" i="72" s="1"/>
  <c r="J74" i="72"/>
  <c r="K74" i="72" s="1"/>
  <c r="L74" i="72" s="1"/>
  <c r="S74" i="72"/>
  <c r="J78" i="72"/>
  <c r="K78" i="72" s="1"/>
  <c r="L78" i="72" s="1"/>
  <c r="S78" i="72"/>
  <c r="J82" i="72"/>
  <c r="K82" i="72" s="1"/>
  <c r="L82" i="72" s="1"/>
  <c r="S82" i="72"/>
  <c r="S83" i="72"/>
  <c r="S86" i="72"/>
  <c r="J91" i="72"/>
  <c r="K91" i="72" s="1"/>
  <c r="L91" i="72" s="1"/>
  <c r="J93" i="72"/>
  <c r="K93" i="72" s="1"/>
  <c r="L93" i="72" s="1"/>
  <c r="U95" i="72"/>
  <c r="V95" i="72" s="1"/>
  <c r="J99" i="72"/>
  <c r="K99" i="72" s="1"/>
  <c r="L99" i="72" s="1"/>
  <c r="J111" i="72"/>
  <c r="K111" i="72" s="1"/>
  <c r="L111" i="72" s="1"/>
  <c r="S125" i="72"/>
  <c r="T117" i="72"/>
  <c r="J66" i="72"/>
  <c r="K66" i="72" s="1"/>
  <c r="L66" i="72" s="1"/>
  <c r="J70" i="72"/>
  <c r="K70" i="72" s="1"/>
  <c r="L70" i="72" s="1"/>
  <c r="U73" i="72"/>
  <c r="V73" i="72" s="1"/>
  <c r="U74" i="72"/>
  <c r="V74" i="72" s="1"/>
  <c r="U77" i="72"/>
  <c r="V77" i="72" s="1"/>
  <c r="U78" i="72"/>
  <c r="V78" i="72" s="1"/>
  <c r="T80" i="72"/>
  <c r="U81" i="72"/>
  <c r="V81" i="72" s="1"/>
  <c r="U82" i="72"/>
  <c r="V82" i="72" s="1"/>
  <c r="U83" i="72"/>
  <c r="V83" i="72" s="1"/>
  <c r="U86" i="72"/>
  <c r="V86" i="72" s="1"/>
  <c r="T88" i="72"/>
  <c r="T90" i="72"/>
  <c r="S92" i="72"/>
  <c r="S94" i="72"/>
  <c r="S96" i="72"/>
  <c r="J101" i="72"/>
  <c r="K101" i="72" s="1"/>
  <c r="L101" i="72" s="1"/>
  <c r="J140" i="72"/>
  <c r="K140" i="72" s="1"/>
  <c r="L140" i="72" s="1"/>
  <c r="J136" i="72"/>
  <c r="K136" i="72" s="1"/>
  <c r="L136" i="72" s="1"/>
  <c r="J132" i="72"/>
  <c r="K132" i="72" s="1"/>
  <c r="L132" i="72" s="1"/>
  <c r="J128" i="72"/>
  <c r="K128" i="72" s="1"/>
  <c r="L128" i="72" s="1"/>
  <c r="J124" i="72"/>
  <c r="K124" i="72" s="1"/>
  <c r="L124" i="72" s="1"/>
  <c r="J120" i="72"/>
  <c r="K120" i="72" s="1"/>
  <c r="L120" i="72" s="1"/>
  <c r="J116" i="72"/>
  <c r="K116" i="72" s="1"/>
  <c r="L116" i="72" s="1"/>
  <c r="J139" i="72"/>
  <c r="K139" i="72" s="1"/>
  <c r="L139" i="72" s="1"/>
  <c r="J135" i="72"/>
  <c r="K135" i="72" s="1"/>
  <c r="L135" i="72" s="1"/>
  <c r="J131" i="72"/>
  <c r="K131" i="72" s="1"/>
  <c r="L131" i="72" s="1"/>
  <c r="J127" i="72"/>
  <c r="K127" i="72" s="1"/>
  <c r="L127" i="72" s="1"/>
  <c r="J123" i="72"/>
  <c r="K123" i="72" s="1"/>
  <c r="L123" i="72" s="1"/>
  <c r="J119" i="72"/>
  <c r="K119" i="72" s="1"/>
  <c r="L119" i="72" s="1"/>
  <c r="J142" i="72"/>
  <c r="K142" i="72" s="1"/>
  <c r="L142" i="72" s="1"/>
  <c r="J138" i="72"/>
  <c r="K138" i="72" s="1"/>
  <c r="L138" i="72" s="1"/>
  <c r="J134" i="72"/>
  <c r="K134" i="72" s="1"/>
  <c r="L134" i="72" s="1"/>
  <c r="J130" i="72"/>
  <c r="K130" i="72" s="1"/>
  <c r="L130" i="72" s="1"/>
  <c r="J126" i="72"/>
  <c r="K126" i="72" s="1"/>
  <c r="L126" i="72" s="1"/>
  <c r="J122" i="72"/>
  <c r="K122" i="72" s="1"/>
  <c r="L122" i="72" s="1"/>
  <c r="J141" i="72"/>
  <c r="K141" i="72" s="1"/>
  <c r="L141" i="72" s="1"/>
  <c r="J137" i="72"/>
  <c r="K137" i="72" s="1"/>
  <c r="L137" i="72" s="1"/>
  <c r="J133" i="72"/>
  <c r="K133" i="72" s="1"/>
  <c r="L133" i="72" s="1"/>
  <c r="J129" i="72"/>
  <c r="K129" i="72" s="1"/>
  <c r="L129" i="72" s="1"/>
  <c r="J125" i="72"/>
  <c r="K125" i="72" s="1"/>
  <c r="L125" i="72" s="1"/>
  <c r="J121" i="72"/>
  <c r="K121" i="72" s="1"/>
  <c r="L121" i="72" s="1"/>
  <c r="J103" i="72"/>
  <c r="K103" i="72" s="1"/>
  <c r="L103" i="72" s="1"/>
  <c r="J118" i="72"/>
  <c r="K118" i="72" s="1"/>
  <c r="L118" i="72" s="1"/>
  <c r="J114" i="72"/>
  <c r="K114" i="72" s="1"/>
  <c r="L114" i="72" s="1"/>
  <c r="J110" i="72"/>
  <c r="K110" i="72" s="1"/>
  <c r="L110" i="72" s="1"/>
  <c r="J106" i="72"/>
  <c r="K106" i="72" s="1"/>
  <c r="L106" i="72" s="1"/>
  <c r="J98" i="72"/>
  <c r="K98" i="72" s="1"/>
  <c r="L98" i="72" s="1"/>
  <c r="J94" i="72"/>
  <c r="K94" i="72" s="1"/>
  <c r="L94" i="72" s="1"/>
  <c r="J90" i="72"/>
  <c r="K90" i="72" s="1"/>
  <c r="L90" i="72" s="1"/>
  <c r="J86" i="72"/>
  <c r="K86" i="72" s="1"/>
  <c r="L86" i="72" s="1"/>
  <c r="J112" i="72"/>
  <c r="K112" i="72" s="1"/>
  <c r="L112" i="72" s="1"/>
  <c r="J108" i="72"/>
  <c r="K108" i="72" s="1"/>
  <c r="L108" i="72" s="1"/>
  <c r="J104" i="72"/>
  <c r="K104" i="72" s="1"/>
  <c r="L104" i="72" s="1"/>
  <c r="J117" i="72"/>
  <c r="K117" i="72" s="1"/>
  <c r="L117" i="72" s="1"/>
  <c r="J102" i="72"/>
  <c r="K102" i="72" s="1"/>
  <c r="L102" i="72" s="1"/>
  <c r="J100" i="72"/>
  <c r="K100" i="72" s="1"/>
  <c r="L100" i="72" s="1"/>
  <c r="J96" i="72"/>
  <c r="K96" i="72" s="1"/>
  <c r="L96" i="72" s="1"/>
  <c r="J92" i="72"/>
  <c r="K92" i="72" s="1"/>
  <c r="L92" i="72" s="1"/>
  <c r="J88" i="72"/>
  <c r="K88" i="72" s="1"/>
  <c r="L88" i="72" s="1"/>
  <c r="U65" i="72"/>
  <c r="V65" i="72" s="1"/>
  <c r="S66" i="72"/>
  <c r="U69" i="72"/>
  <c r="V69" i="72" s="1"/>
  <c r="S70" i="72"/>
  <c r="U75" i="72"/>
  <c r="V75" i="72" s="1"/>
  <c r="U79" i="72"/>
  <c r="V79" i="72" s="1"/>
  <c r="U90" i="72"/>
  <c r="V90" i="72" s="1"/>
  <c r="J113" i="72"/>
  <c r="K113" i="72" s="1"/>
  <c r="L113" i="72" s="1"/>
  <c r="I21" i="72"/>
  <c r="J21" i="72" s="1"/>
  <c r="U85" i="72"/>
  <c r="V85" i="72" s="1"/>
  <c r="U94" i="72"/>
  <c r="V94" i="72" s="1"/>
  <c r="U128" i="72"/>
  <c r="V128" i="72" s="1"/>
  <c r="I12" i="72"/>
  <c r="I18" i="72" s="1"/>
  <c r="S63" i="72"/>
  <c r="U66" i="72"/>
  <c r="V66" i="72" s="1"/>
  <c r="S67" i="72"/>
  <c r="U70" i="72"/>
  <c r="V70" i="72" s="1"/>
  <c r="S71" i="72"/>
  <c r="J85" i="72"/>
  <c r="K85" i="72" s="1"/>
  <c r="L85" i="72" s="1"/>
  <c r="S87" i="72"/>
  <c r="U89" i="72"/>
  <c r="V89" i="72" s="1"/>
  <c r="U98" i="72"/>
  <c r="V98" i="72" s="1"/>
  <c r="J115" i="72"/>
  <c r="K115" i="72" s="1"/>
  <c r="L115" i="72" s="1"/>
  <c r="U116" i="72"/>
  <c r="V116" i="72" s="1"/>
  <c r="S140" i="72"/>
  <c r="S136" i="72"/>
  <c r="S132" i="72"/>
  <c r="S128" i="72"/>
  <c r="S124" i="72"/>
  <c r="S120" i="72"/>
  <c r="S116" i="72"/>
  <c r="S112" i="72"/>
  <c r="S108" i="72"/>
  <c r="S104" i="72"/>
  <c r="S139" i="72"/>
  <c r="S135" i="72"/>
  <c r="S131" i="72"/>
  <c r="S127" i="72"/>
  <c r="S123" i="72"/>
  <c r="S119" i="72"/>
  <c r="S115" i="72"/>
  <c r="S111" i="72"/>
  <c r="S107" i="72"/>
  <c r="S103" i="72"/>
  <c r="S142" i="72"/>
  <c r="S138" i="72"/>
  <c r="S134" i="72"/>
  <c r="S130" i="72"/>
  <c r="S126" i="72"/>
  <c r="S122" i="72"/>
  <c r="S118" i="72"/>
  <c r="S114" i="72"/>
  <c r="S110" i="72"/>
  <c r="S106" i="72"/>
  <c r="S102" i="72"/>
  <c r="S137" i="72"/>
  <c r="S113" i="72"/>
  <c r="S109" i="72"/>
  <c r="S105" i="72"/>
  <c r="S98" i="72"/>
  <c r="S129" i="72"/>
  <c r="S97" i="72"/>
  <c r="S93" i="72"/>
  <c r="S89" i="72"/>
  <c r="S85" i="72"/>
  <c r="S81" i="72"/>
  <c r="S77" i="72"/>
  <c r="S73" i="72"/>
  <c r="S141" i="72"/>
  <c r="S121" i="72"/>
  <c r="S133" i="72"/>
  <c r="F20" i="72"/>
  <c r="J64" i="72"/>
  <c r="K64" i="72" s="1"/>
  <c r="L64" i="72" s="1"/>
  <c r="J72" i="72"/>
  <c r="K72" i="72" s="1"/>
  <c r="L72" i="72" s="1"/>
  <c r="S84" i="72"/>
  <c r="U87" i="72"/>
  <c r="V87" i="72" s="1"/>
  <c r="S91" i="72"/>
  <c r="U93" i="72"/>
  <c r="V93" i="72" s="1"/>
  <c r="S100" i="72"/>
  <c r="S101" i="72"/>
  <c r="J105" i="72"/>
  <c r="K105" i="72" s="1"/>
  <c r="L105" i="72" s="1"/>
  <c r="J109" i="72"/>
  <c r="K109" i="72" s="1"/>
  <c r="L109" i="72" s="1"/>
  <c r="U139" i="72"/>
  <c r="V139" i="72" s="1"/>
  <c r="U135" i="72"/>
  <c r="V135" i="72" s="1"/>
  <c r="U131" i="72"/>
  <c r="V131" i="72" s="1"/>
  <c r="U127" i="72"/>
  <c r="V127" i="72" s="1"/>
  <c r="U123" i="72"/>
  <c r="V123" i="72" s="1"/>
  <c r="U119" i="72"/>
  <c r="V119" i="72" s="1"/>
  <c r="U115" i="72"/>
  <c r="V115" i="72" s="1"/>
  <c r="U111" i="72"/>
  <c r="V111" i="72" s="1"/>
  <c r="U107" i="72"/>
  <c r="V107" i="72" s="1"/>
  <c r="U142" i="72"/>
  <c r="V142" i="72" s="1"/>
  <c r="U138" i="72"/>
  <c r="V138" i="72" s="1"/>
  <c r="U134" i="72"/>
  <c r="V134" i="72" s="1"/>
  <c r="U130" i="72"/>
  <c r="V130" i="72" s="1"/>
  <c r="U126" i="72"/>
  <c r="V126" i="72" s="1"/>
  <c r="U122" i="72"/>
  <c r="V122" i="72" s="1"/>
  <c r="U118" i="72"/>
  <c r="V118" i="72" s="1"/>
  <c r="U114" i="72"/>
  <c r="V114" i="72" s="1"/>
  <c r="U110" i="72"/>
  <c r="V110" i="72" s="1"/>
  <c r="U106" i="72"/>
  <c r="V106" i="72" s="1"/>
  <c r="U102" i="72"/>
  <c r="V102" i="72" s="1"/>
  <c r="U141" i="72"/>
  <c r="V141" i="72" s="1"/>
  <c r="U137" i="72"/>
  <c r="V137" i="72" s="1"/>
  <c r="U133" i="72"/>
  <c r="V133" i="72" s="1"/>
  <c r="U129" i="72"/>
  <c r="V129" i="72" s="1"/>
  <c r="U125" i="72"/>
  <c r="V125" i="72" s="1"/>
  <c r="U121" i="72"/>
  <c r="V121" i="72" s="1"/>
  <c r="U117" i="72"/>
  <c r="V117" i="72" s="1"/>
  <c r="U113" i="72"/>
  <c r="V113" i="72" s="1"/>
  <c r="U109" i="72"/>
  <c r="V109" i="72" s="1"/>
  <c r="U105" i="72"/>
  <c r="V105" i="72" s="1"/>
  <c r="U101" i="72"/>
  <c r="V101" i="72" s="1"/>
  <c r="U140" i="72"/>
  <c r="V140" i="72" s="1"/>
  <c r="U120" i="72"/>
  <c r="V120" i="72" s="1"/>
  <c r="U103" i="72"/>
  <c r="V103" i="72" s="1"/>
  <c r="U97" i="72"/>
  <c r="V97" i="72" s="1"/>
  <c r="U132" i="72"/>
  <c r="V132" i="72" s="1"/>
  <c r="U100" i="72"/>
  <c r="V100" i="72" s="1"/>
  <c r="U96" i="72"/>
  <c r="V96" i="72" s="1"/>
  <c r="U92" i="72"/>
  <c r="V92" i="72" s="1"/>
  <c r="U88" i="72"/>
  <c r="V88" i="72" s="1"/>
  <c r="U84" i="72"/>
  <c r="V84" i="72" s="1"/>
  <c r="U80" i="72"/>
  <c r="V80" i="72" s="1"/>
  <c r="U76" i="72"/>
  <c r="V76" i="72" s="1"/>
  <c r="U124" i="72"/>
  <c r="V124" i="72" s="1"/>
  <c r="U112" i="72"/>
  <c r="V112" i="72" s="1"/>
  <c r="U108" i="72"/>
  <c r="V108" i="72" s="1"/>
  <c r="U104" i="72"/>
  <c r="V104" i="72" s="1"/>
  <c r="U136" i="72"/>
  <c r="V136" i="72" s="1"/>
  <c r="U63" i="72"/>
  <c r="V63" i="72" s="1"/>
  <c r="S64" i="72"/>
  <c r="U67" i="72"/>
  <c r="V67" i="72" s="1"/>
  <c r="S68" i="72"/>
  <c r="U71" i="72"/>
  <c r="V71" i="72" s="1"/>
  <c r="S72" i="72"/>
  <c r="J84" i="72"/>
  <c r="K84" i="72" s="1"/>
  <c r="L84" i="72" s="1"/>
  <c r="J87" i="72"/>
  <c r="K87" i="72" s="1"/>
  <c r="L87" i="72" s="1"/>
  <c r="J89" i="72"/>
  <c r="K89" i="72" s="1"/>
  <c r="L89" i="72" s="1"/>
  <c r="U91" i="72"/>
  <c r="V91" i="72" s="1"/>
  <c r="S95" i="72"/>
  <c r="J97" i="72"/>
  <c r="K97" i="72" s="1"/>
  <c r="L97" i="72" s="1"/>
  <c r="M124" i="71"/>
  <c r="O124" i="71" s="1"/>
  <c r="P124" i="71" s="1"/>
  <c r="X30" i="71"/>
  <c r="Y30" i="71" s="1"/>
  <c r="I24" i="71"/>
  <c r="E26" i="71"/>
  <c r="X21" i="71"/>
  <c r="X19" i="71"/>
  <c r="M72" i="71"/>
  <c r="O72" i="71" s="1"/>
  <c r="P72" i="71" s="1"/>
  <c r="M68" i="71"/>
  <c r="O68" i="71" s="1"/>
  <c r="P68" i="71" s="1"/>
  <c r="M64" i="71"/>
  <c r="O64" i="71" s="1"/>
  <c r="P64" i="71" s="1"/>
  <c r="X20" i="71"/>
  <c r="M80" i="71"/>
  <c r="O80" i="71" s="1"/>
  <c r="P80" i="71" s="1"/>
  <c r="T75" i="71"/>
  <c r="Y20" i="71"/>
  <c r="N63" i="71"/>
  <c r="E16" i="71" s="1"/>
  <c r="J65" i="71"/>
  <c r="K65" i="71" s="1"/>
  <c r="L65" i="71" s="1"/>
  <c r="J69" i="71"/>
  <c r="K69" i="71" s="1"/>
  <c r="L69" i="71" s="1"/>
  <c r="J73" i="71"/>
  <c r="K73" i="71" s="1"/>
  <c r="L73" i="71" s="1"/>
  <c r="S79" i="71"/>
  <c r="S81" i="71"/>
  <c r="M82" i="71"/>
  <c r="O82" i="71" s="1"/>
  <c r="P82" i="71" s="1"/>
  <c r="J88" i="71"/>
  <c r="K88" i="71" s="1"/>
  <c r="L88" i="71" s="1"/>
  <c r="J89" i="71"/>
  <c r="K89" i="71" s="1"/>
  <c r="L89" i="71" s="1"/>
  <c r="M90" i="71"/>
  <c r="O90" i="71" s="1"/>
  <c r="P90" i="71" s="1"/>
  <c r="M94" i="71"/>
  <c r="O94" i="71" s="1"/>
  <c r="P94" i="71" s="1"/>
  <c r="S105" i="71"/>
  <c r="J131" i="71"/>
  <c r="K131" i="71" s="1"/>
  <c r="L131" i="71" s="1"/>
  <c r="U72" i="71"/>
  <c r="V72" i="71" s="1"/>
  <c r="J79" i="71"/>
  <c r="K79" i="71" s="1"/>
  <c r="L79" i="71" s="1"/>
  <c r="J92" i="71"/>
  <c r="K92" i="71" s="1"/>
  <c r="L92" i="71" s="1"/>
  <c r="J93" i="71"/>
  <c r="K93" i="71" s="1"/>
  <c r="L93" i="71" s="1"/>
  <c r="U107" i="71"/>
  <c r="V107" i="71" s="1"/>
  <c r="J127" i="71"/>
  <c r="K127" i="71" s="1"/>
  <c r="L127" i="71" s="1"/>
  <c r="U64" i="71"/>
  <c r="V64" i="71" s="1"/>
  <c r="S65" i="71"/>
  <c r="U68" i="71"/>
  <c r="V68" i="71" s="1"/>
  <c r="S69" i="71"/>
  <c r="S73" i="71"/>
  <c r="J66" i="71"/>
  <c r="K66" i="71" s="1"/>
  <c r="L66" i="71" s="1"/>
  <c r="J70" i="71"/>
  <c r="K70" i="71" s="1"/>
  <c r="L70" i="71" s="1"/>
  <c r="J74" i="71"/>
  <c r="K74" i="71" s="1"/>
  <c r="L74" i="71" s="1"/>
  <c r="J81" i="71"/>
  <c r="K81" i="71" s="1"/>
  <c r="L81" i="71" s="1"/>
  <c r="J100" i="71"/>
  <c r="K100" i="71" s="1"/>
  <c r="L100" i="71" s="1"/>
  <c r="S101" i="71"/>
  <c r="S112" i="71"/>
  <c r="J140" i="71"/>
  <c r="K140" i="71" s="1"/>
  <c r="L140" i="71" s="1"/>
  <c r="J136" i="71"/>
  <c r="K136" i="71" s="1"/>
  <c r="L136" i="71" s="1"/>
  <c r="J132" i="71"/>
  <c r="K132" i="71" s="1"/>
  <c r="L132" i="71" s="1"/>
  <c r="J128" i="71"/>
  <c r="K128" i="71" s="1"/>
  <c r="L128" i="71" s="1"/>
  <c r="J124" i="71"/>
  <c r="K124" i="71" s="1"/>
  <c r="L124" i="71" s="1"/>
  <c r="J120" i="71"/>
  <c r="K120" i="71" s="1"/>
  <c r="L120" i="71" s="1"/>
  <c r="J116" i="71"/>
  <c r="K116" i="71" s="1"/>
  <c r="L116" i="71" s="1"/>
  <c r="J112" i="71"/>
  <c r="K112" i="71" s="1"/>
  <c r="L112" i="71" s="1"/>
  <c r="J108" i="71"/>
  <c r="K108" i="71" s="1"/>
  <c r="L108" i="71" s="1"/>
  <c r="J139" i="71"/>
  <c r="K139" i="71" s="1"/>
  <c r="L139" i="71" s="1"/>
  <c r="J135" i="71"/>
  <c r="K135" i="71" s="1"/>
  <c r="L135" i="71" s="1"/>
  <c r="J142" i="71"/>
  <c r="K142" i="71" s="1"/>
  <c r="L142" i="71" s="1"/>
  <c r="J138" i="71"/>
  <c r="K138" i="71" s="1"/>
  <c r="L138" i="71" s="1"/>
  <c r="J134" i="71"/>
  <c r="K134" i="71" s="1"/>
  <c r="L134" i="71" s="1"/>
  <c r="J130" i="71"/>
  <c r="K130" i="71" s="1"/>
  <c r="L130" i="71" s="1"/>
  <c r="J126" i="71"/>
  <c r="K126" i="71" s="1"/>
  <c r="L126" i="71" s="1"/>
  <c r="J122" i="71"/>
  <c r="K122" i="71" s="1"/>
  <c r="L122" i="71" s="1"/>
  <c r="J118" i="71"/>
  <c r="K118" i="71" s="1"/>
  <c r="L118" i="71" s="1"/>
  <c r="J141" i="71"/>
  <c r="K141" i="71" s="1"/>
  <c r="L141" i="71" s="1"/>
  <c r="J137" i="71"/>
  <c r="K137" i="71" s="1"/>
  <c r="L137" i="71" s="1"/>
  <c r="J133" i="71"/>
  <c r="K133" i="71" s="1"/>
  <c r="L133" i="71" s="1"/>
  <c r="J129" i="71"/>
  <c r="K129" i="71" s="1"/>
  <c r="L129" i="71" s="1"/>
  <c r="J125" i="71"/>
  <c r="K125" i="71" s="1"/>
  <c r="L125" i="71" s="1"/>
  <c r="J121" i="71"/>
  <c r="K121" i="71" s="1"/>
  <c r="L121" i="71" s="1"/>
  <c r="J117" i="71"/>
  <c r="K117" i="71" s="1"/>
  <c r="L117" i="71" s="1"/>
  <c r="J113" i="71"/>
  <c r="K113" i="71" s="1"/>
  <c r="L113" i="71" s="1"/>
  <c r="J123" i="71"/>
  <c r="K123" i="71" s="1"/>
  <c r="L123" i="71" s="1"/>
  <c r="J99" i="71"/>
  <c r="K99" i="71" s="1"/>
  <c r="L99" i="71" s="1"/>
  <c r="J95" i="71"/>
  <c r="K95" i="71" s="1"/>
  <c r="L95" i="71" s="1"/>
  <c r="J91" i="71"/>
  <c r="K91" i="71" s="1"/>
  <c r="L91" i="71" s="1"/>
  <c r="J87" i="71"/>
  <c r="K87" i="71" s="1"/>
  <c r="L87" i="71" s="1"/>
  <c r="J83" i="71"/>
  <c r="K83" i="71" s="1"/>
  <c r="L83" i="71" s="1"/>
  <c r="J119" i="71"/>
  <c r="K119" i="71" s="1"/>
  <c r="L119" i="71" s="1"/>
  <c r="J103" i="71"/>
  <c r="K103" i="71" s="1"/>
  <c r="L103" i="71" s="1"/>
  <c r="J98" i="71"/>
  <c r="K98" i="71" s="1"/>
  <c r="L98" i="71" s="1"/>
  <c r="J94" i="71"/>
  <c r="K94" i="71" s="1"/>
  <c r="L94" i="71" s="1"/>
  <c r="J90" i="71"/>
  <c r="K90" i="71" s="1"/>
  <c r="L90" i="71" s="1"/>
  <c r="J86" i="71"/>
  <c r="K86" i="71" s="1"/>
  <c r="L86" i="71" s="1"/>
  <c r="J109" i="71"/>
  <c r="K109" i="71" s="1"/>
  <c r="L109" i="71" s="1"/>
  <c r="J107" i="71"/>
  <c r="K107" i="71" s="1"/>
  <c r="L107" i="71" s="1"/>
  <c r="J104" i="71"/>
  <c r="K104" i="71" s="1"/>
  <c r="L104" i="71" s="1"/>
  <c r="J97" i="71"/>
  <c r="K97" i="71" s="1"/>
  <c r="L97" i="71" s="1"/>
  <c r="J115" i="71"/>
  <c r="K115" i="71" s="1"/>
  <c r="L115" i="71" s="1"/>
  <c r="J111" i="71"/>
  <c r="K111" i="71" s="1"/>
  <c r="L111" i="71" s="1"/>
  <c r="J105" i="71"/>
  <c r="K105" i="71" s="1"/>
  <c r="L105" i="71" s="1"/>
  <c r="J101" i="71"/>
  <c r="K101" i="71" s="1"/>
  <c r="L101" i="71" s="1"/>
  <c r="M65" i="71"/>
  <c r="O65" i="71" s="1"/>
  <c r="P65" i="71" s="1"/>
  <c r="U65" i="71"/>
  <c r="V65" i="71" s="1"/>
  <c r="S66" i="71"/>
  <c r="M69" i="71"/>
  <c r="O69" i="71" s="1"/>
  <c r="P69" i="71" s="1"/>
  <c r="U69" i="71"/>
  <c r="V69" i="71" s="1"/>
  <c r="S70" i="71"/>
  <c r="M73" i="71"/>
  <c r="O73" i="71" s="1"/>
  <c r="P73" i="71" s="1"/>
  <c r="U73" i="71"/>
  <c r="V73" i="71" s="1"/>
  <c r="S74" i="71"/>
  <c r="U84" i="71"/>
  <c r="V84" i="71" s="1"/>
  <c r="U86" i="71"/>
  <c r="V86" i="71" s="1"/>
  <c r="S87" i="71"/>
  <c r="U94" i="71"/>
  <c r="V94" i="71" s="1"/>
  <c r="S95" i="71"/>
  <c r="M98" i="71"/>
  <c r="O98" i="71" s="1"/>
  <c r="P98" i="71" s="1"/>
  <c r="J106" i="71"/>
  <c r="K106" i="71" s="1"/>
  <c r="L106" i="71" s="1"/>
  <c r="I11" i="71"/>
  <c r="Y19" i="71"/>
  <c r="I21" i="71"/>
  <c r="X29" i="71"/>
  <c r="Y29" i="71" s="1"/>
  <c r="J63" i="71"/>
  <c r="K63" i="71" s="1"/>
  <c r="L63" i="71" s="1"/>
  <c r="J67" i="71"/>
  <c r="K67" i="71" s="1"/>
  <c r="L67" i="71" s="1"/>
  <c r="J71" i="71"/>
  <c r="K71" i="71" s="1"/>
  <c r="L71" i="71" s="1"/>
  <c r="J75" i="71"/>
  <c r="K75" i="71" s="1"/>
  <c r="L75" i="71" s="1"/>
  <c r="J77" i="71"/>
  <c r="K77" i="71" s="1"/>
  <c r="L77" i="71" s="1"/>
  <c r="S77" i="71"/>
  <c r="J78" i="71"/>
  <c r="K78" i="71" s="1"/>
  <c r="L78" i="71" s="1"/>
  <c r="U78" i="71"/>
  <c r="V78" i="71" s="1"/>
  <c r="J84" i="71"/>
  <c r="K84" i="71" s="1"/>
  <c r="L84" i="71" s="1"/>
  <c r="U90" i="71"/>
  <c r="V90" i="71" s="1"/>
  <c r="S91" i="71"/>
  <c r="S116" i="71"/>
  <c r="I12" i="71"/>
  <c r="I18" i="71" s="1"/>
  <c r="E18" i="71"/>
  <c r="E20" i="71"/>
  <c r="W10" i="71" s="1"/>
  <c r="S63" i="71"/>
  <c r="M66" i="71"/>
  <c r="O66" i="71" s="1"/>
  <c r="P66" i="71" s="1"/>
  <c r="U66" i="71"/>
  <c r="V66" i="71" s="1"/>
  <c r="S67" i="71"/>
  <c r="M70" i="71"/>
  <c r="O70" i="71" s="1"/>
  <c r="P70" i="71" s="1"/>
  <c r="U70" i="71"/>
  <c r="V70" i="71" s="1"/>
  <c r="S71" i="71"/>
  <c r="M74" i="71"/>
  <c r="O74" i="71" s="1"/>
  <c r="P74" i="71" s="1"/>
  <c r="U74" i="71"/>
  <c r="V74" i="71" s="1"/>
  <c r="J76" i="71"/>
  <c r="K76" i="71" s="1"/>
  <c r="L76" i="71" s="1"/>
  <c r="U82" i="71"/>
  <c r="V82" i="71" s="1"/>
  <c r="J102" i="71"/>
  <c r="K102" i="71" s="1"/>
  <c r="L102" i="71" s="1"/>
  <c r="M108" i="71"/>
  <c r="O108" i="71" s="1"/>
  <c r="P108" i="71" s="1"/>
  <c r="S140" i="71"/>
  <c r="S136" i="71"/>
  <c r="S132" i="71"/>
  <c r="S139" i="71"/>
  <c r="S135" i="71"/>
  <c r="S131" i="71"/>
  <c r="S127" i="71"/>
  <c r="S123" i="71"/>
  <c r="S119" i="71"/>
  <c r="S115" i="71"/>
  <c r="S111" i="71"/>
  <c r="S107" i="71"/>
  <c r="S103" i="71"/>
  <c r="S142" i="71"/>
  <c r="S138" i="71"/>
  <c r="S134" i="71"/>
  <c r="S130" i="71"/>
  <c r="S126" i="71"/>
  <c r="S122" i="71"/>
  <c r="S118" i="71"/>
  <c r="S114" i="71"/>
  <c r="S110" i="71"/>
  <c r="S106" i="71"/>
  <c r="S102" i="71"/>
  <c r="S137" i="71"/>
  <c r="S128" i="71"/>
  <c r="S125" i="71"/>
  <c r="S98" i="71"/>
  <c r="S94" i="71"/>
  <c r="S90" i="71"/>
  <c r="S86" i="71"/>
  <c r="S82" i="71"/>
  <c r="S78" i="71"/>
  <c r="S124" i="71"/>
  <c r="S108" i="71"/>
  <c r="S121" i="71"/>
  <c r="S113" i="71"/>
  <c r="S97" i="71"/>
  <c r="S93" i="71"/>
  <c r="S89" i="71"/>
  <c r="S85" i="71"/>
  <c r="S141" i="71"/>
  <c r="S120" i="71"/>
  <c r="S133" i="71"/>
  <c r="S117" i="71"/>
  <c r="S109" i="71"/>
  <c r="S104" i="71"/>
  <c r="S100" i="71"/>
  <c r="S96" i="71"/>
  <c r="S92" i="71"/>
  <c r="S88" i="71"/>
  <c r="S84" i="71"/>
  <c r="S80" i="71"/>
  <c r="S76" i="71"/>
  <c r="S129" i="71"/>
  <c r="F20" i="71"/>
  <c r="M139" i="71"/>
  <c r="O139" i="71" s="1"/>
  <c r="P139" i="71" s="1"/>
  <c r="M135" i="71"/>
  <c r="O135" i="71" s="1"/>
  <c r="P135" i="71" s="1"/>
  <c r="M131" i="71"/>
  <c r="O131" i="71" s="1"/>
  <c r="P131" i="71" s="1"/>
  <c r="M142" i="71"/>
  <c r="O142" i="71" s="1"/>
  <c r="P142" i="71" s="1"/>
  <c r="M138" i="71"/>
  <c r="O138" i="71" s="1"/>
  <c r="P138" i="71" s="1"/>
  <c r="M134" i="71"/>
  <c r="O134" i="71" s="1"/>
  <c r="P134" i="71" s="1"/>
  <c r="M130" i="71"/>
  <c r="O130" i="71" s="1"/>
  <c r="P130" i="71" s="1"/>
  <c r="M126" i="71"/>
  <c r="O126" i="71" s="1"/>
  <c r="P126" i="71" s="1"/>
  <c r="M122" i="71"/>
  <c r="O122" i="71" s="1"/>
  <c r="P122" i="71" s="1"/>
  <c r="M118" i="71"/>
  <c r="O118" i="71" s="1"/>
  <c r="P118" i="71" s="1"/>
  <c r="M114" i="71"/>
  <c r="O114" i="71" s="1"/>
  <c r="P114" i="71" s="1"/>
  <c r="M110" i="71"/>
  <c r="O110" i="71" s="1"/>
  <c r="P110" i="71" s="1"/>
  <c r="M106" i="71"/>
  <c r="O106" i="71" s="1"/>
  <c r="P106" i="71" s="1"/>
  <c r="M102" i="71"/>
  <c r="O102" i="71" s="1"/>
  <c r="P102" i="71" s="1"/>
  <c r="M141" i="71"/>
  <c r="O141" i="71" s="1"/>
  <c r="P141" i="71" s="1"/>
  <c r="M137" i="71"/>
  <c r="O137" i="71" s="1"/>
  <c r="P137" i="71" s="1"/>
  <c r="M133" i="71"/>
  <c r="O133" i="71" s="1"/>
  <c r="P133" i="71" s="1"/>
  <c r="M129" i="71"/>
  <c r="O129" i="71" s="1"/>
  <c r="P129" i="71" s="1"/>
  <c r="M125" i="71"/>
  <c r="O125" i="71" s="1"/>
  <c r="P125" i="71" s="1"/>
  <c r="M121" i="71"/>
  <c r="O121" i="71" s="1"/>
  <c r="P121" i="71" s="1"/>
  <c r="M117" i="71"/>
  <c r="O117" i="71" s="1"/>
  <c r="P117" i="71" s="1"/>
  <c r="M113" i="71"/>
  <c r="O113" i="71" s="1"/>
  <c r="P113" i="71" s="1"/>
  <c r="M109" i="71"/>
  <c r="O109" i="71" s="1"/>
  <c r="P109" i="71" s="1"/>
  <c r="M105" i="71"/>
  <c r="O105" i="71" s="1"/>
  <c r="P105" i="71" s="1"/>
  <c r="M101" i="71"/>
  <c r="O101" i="71" s="1"/>
  <c r="P101" i="71" s="1"/>
  <c r="M136" i="71"/>
  <c r="O136" i="71" s="1"/>
  <c r="P136" i="71" s="1"/>
  <c r="M120" i="71"/>
  <c r="O120" i="71" s="1"/>
  <c r="P120" i="71" s="1"/>
  <c r="M103" i="71"/>
  <c r="O103" i="71" s="1"/>
  <c r="P103" i="71" s="1"/>
  <c r="M119" i="71"/>
  <c r="O119" i="71" s="1"/>
  <c r="P119" i="71" s="1"/>
  <c r="M104" i="71"/>
  <c r="O104" i="71" s="1"/>
  <c r="P104" i="71" s="1"/>
  <c r="M97" i="71"/>
  <c r="O97" i="71" s="1"/>
  <c r="P97" i="71" s="1"/>
  <c r="M93" i="71"/>
  <c r="O93" i="71" s="1"/>
  <c r="P93" i="71" s="1"/>
  <c r="M89" i="71"/>
  <c r="O89" i="71" s="1"/>
  <c r="P89" i="71" s="1"/>
  <c r="M85" i="71"/>
  <c r="O85" i="71" s="1"/>
  <c r="P85" i="71" s="1"/>
  <c r="M81" i="71"/>
  <c r="O81" i="71" s="1"/>
  <c r="P81" i="71" s="1"/>
  <c r="M116" i="71"/>
  <c r="O116" i="71" s="1"/>
  <c r="P116" i="71" s="1"/>
  <c r="M112" i="71"/>
  <c r="O112" i="71" s="1"/>
  <c r="P112" i="71" s="1"/>
  <c r="M140" i="71"/>
  <c r="O140" i="71" s="1"/>
  <c r="P140" i="71" s="1"/>
  <c r="M107" i="71"/>
  <c r="O107" i="71" s="1"/>
  <c r="P107" i="71" s="1"/>
  <c r="M100" i="71"/>
  <c r="O100" i="71" s="1"/>
  <c r="P100" i="71" s="1"/>
  <c r="M96" i="71"/>
  <c r="O96" i="71" s="1"/>
  <c r="P96" i="71" s="1"/>
  <c r="M92" i="71"/>
  <c r="O92" i="71" s="1"/>
  <c r="P92" i="71" s="1"/>
  <c r="M88" i="71"/>
  <c r="O88" i="71" s="1"/>
  <c r="P88" i="71" s="1"/>
  <c r="M128" i="71"/>
  <c r="O128" i="71" s="1"/>
  <c r="P128" i="71" s="1"/>
  <c r="M115" i="71"/>
  <c r="O115" i="71" s="1"/>
  <c r="P115" i="71" s="1"/>
  <c r="M111" i="71"/>
  <c r="O111" i="71" s="1"/>
  <c r="P111" i="71" s="1"/>
  <c r="M127" i="71"/>
  <c r="O127" i="71" s="1"/>
  <c r="P127" i="71" s="1"/>
  <c r="M99" i="71"/>
  <c r="O99" i="71" s="1"/>
  <c r="P99" i="71" s="1"/>
  <c r="M95" i="71"/>
  <c r="O95" i="71" s="1"/>
  <c r="P95" i="71" s="1"/>
  <c r="M91" i="71"/>
  <c r="O91" i="71" s="1"/>
  <c r="P91" i="71" s="1"/>
  <c r="M87" i="71"/>
  <c r="O87" i="71" s="1"/>
  <c r="P87" i="71" s="1"/>
  <c r="M83" i="71"/>
  <c r="O83" i="71" s="1"/>
  <c r="P83" i="71" s="1"/>
  <c r="M79" i="71"/>
  <c r="O79" i="71" s="1"/>
  <c r="P79" i="71" s="1"/>
  <c r="M132" i="71"/>
  <c r="O132" i="71" s="1"/>
  <c r="P132" i="71" s="1"/>
  <c r="J64" i="71"/>
  <c r="K64" i="71" s="1"/>
  <c r="L64" i="71" s="1"/>
  <c r="J68" i="71"/>
  <c r="K68" i="71" s="1"/>
  <c r="L68" i="71" s="1"/>
  <c r="J72" i="71"/>
  <c r="K72" i="71" s="1"/>
  <c r="L72" i="71" s="1"/>
  <c r="U76" i="71"/>
  <c r="V76" i="71" s="1"/>
  <c r="M78" i="71"/>
  <c r="O78" i="71" s="1"/>
  <c r="P78" i="71" s="1"/>
  <c r="U80" i="71"/>
  <c r="V80" i="71" s="1"/>
  <c r="S83" i="71"/>
  <c r="M84" i="71"/>
  <c r="O84" i="71" s="1"/>
  <c r="P84" i="71" s="1"/>
  <c r="J85" i="71"/>
  <c r="K85" i="71" s="1"/>
  <c r="L85" i="71" s="1"/>
  <c r="S99" i="71"/>
  <c r="U139" i="71"/>
  <c r="V139" i="71" s="1"/>
  <c r="U135" i="71"/>
  <c r="V135" i="71" s="1"/>
  <c r="U131" i="71"/>
  <c r="V131" i="71" s="1"/>
  <c r="U142" i="71"/>
  <c r="V142" i="71" s="1"/>
  <c r="U138" i="71"/>
  <c r="V138" i="71" s="1"/>
  <c r="U134" i="71"/>
  <c r="V134" i="71" s="1"/>
  <c r="U130" i="71"/>
  <c r="V130" i="71" s="1"/>
  <c r="U126" i="71"/>
  <c r="V126" i="71" s="1"/>
  <c r="U122" i="71"/>
  <c r="V122" i="71" s="1"/>
  <c r="U118" i="71"/>
  <c r="V118" i="71" s="1"/>
  <c r="U114" i="71"/>
  <c r="V114" i="71" s="1"/>
  <c r="U110" i="71"/>
  <c r="V110" i="71" s="1"/>
  <c r="U106" i="71"/>
  <c r="V106" i="71" s="1"/>
  <c r="U102" i="71"/>
  <c r="V102" i="71" s="1"/>
  <c r="U141" i="71"/>
  <c r="V141" i="71" s="1"/>
  <c r="U137" i="71"/>
  <c r="V137" i="71" s="1"/>
  <c r="U133" i="71"/>
  <c r="V133" i="71" s="1"/>
  <c r="U129" i="71"/>
  <c r="V129" i="71" s="1"/>
  <c r="U125" i="71"/>
  <c r="V125" i="71" s="1"/>
  <c r="U121" i="71"/>
  <c r="V121" i="71" s="1"/>
  <c r="U117" i="71"/>
  <c r="V117" i="71" s="1"/>
  <c r="U113" i="71"/>
  <c r="V113" i="71" s="1"/>
  <c r="U109" i="71"/>
  <c r="V109" i="71" s="1"/>
  <c r="U105" i="71"/>
  <c r="V105" i="71" s="1"/>
  <c r="U101" i="71"/>
  <c r="V101" i="71" s="1"/>
  <c r="U140" i="71"/>
  <c r="V140" i="71" s="1"/>
  <c r="U115" i="71"/>
  <c r="V115" i="71" s="1"/>
  <c r="U111" i="71"/>
  <c r="V111" i="71" s="1"/>
  <c r="U108" i="71"/>
  <c r="V108" i="71" s="1"/>
  <c r="U124" i="71"/>
  <c r="V124" i="71" s="1"/>
  <c r="U97" i="71"/>
  <c r="V97" i="71" s="1"/>
  <c r="U93" i="71"/>
  <c r="V93" i="71" s="1"/>
  <c r="U89" i="71"/>
  <c r="V89" i="71" s="1"/>
  <c r="U85" i="71"/>
  <c r="V85" i="71" s="1"/>
  <c r="U81" i="71"/>
  <c r="V81" i="71" s="1"/>
  <c r="U77" i="71"/>
  <c r="V77" i="71" s="1"/>
  <c r="U127" i="71"/>
  <c r="V127" i="71" s="1"/>
  <c r="U103" i="71"/>
  <c r="V103" i="71" s="1"/>
  <c r="U132" i="71"/>
  <c r="V132" i="71" s="1"/>
  <c r="U120" i="71"/>
  <c r="V120" i="71" s="1"/>
  <c r="U104" i="71"/>
  <c r="V104" i="71" s="1"/>
  <c r="U100" i="71"/>
  <c r="V100" i="71" s="1"/>
  <c r="U96" i="71"/>
  <c r="V96" i="71" s="1"/>
  <c r="U92" i="71"/>
  <c r="V92" i="71" s="1"/>
  <c r="U88" i="71"/>
  <c r="V88" i="71" s="1"/>
  <c r="U123" i="71"/>
  <c r="V123" i="71" s="1"/>
  <c r="U136" i="71"/>
  <c r="V136" i="71" s="1"/>
  <c r="U116" i="71"/>
  <c r="V116" i="71" s="1"/>
  <c r="U112" i="71"/>
  <c r="V112" i="71" s="1"/>
  <c r="U99" i="71"/>
  <c r="V99" i="71" s="1"/>
  <c r="U95" i="71"/>
  <c r="V95" i="71" s="1"/>
  <c r="U91" i="71"/>
  <c r="V91" i="71" s="1"/>
  <c r="U87" i="71"/>
  <c r="V87" i="71" s="1"/>
  <c r="U83" i="71"/>
  <c r="V83" i="71" s="1"/>
  <c r="U79" i="71"/>
  <c r="V79" i="71" s="1"/>
  <c r="U75" i="71"/>
  <c r="V75" i="71" s="1"/>
  <c r="U128" i="71"/>
  <c r="V128" i="71" s="1"/>
  <c r="M63" i="71"/>
  <c r="O63" i="71" s="1"/>
  <c r="P63" i="71" s="1"/>
  <c r="U63" i="71"/>
  <c r="V63" i="71" s="1"/>
  <c r="S64" i="71"/>
  <c r="M67" i="71"/>
  <c r="O67" i="71" s="1"/>
  <c r="P67" i="71" s="1"/>
  <c r="U67" i="71"/>
  <c r="V67" i="71" s="1"/>
  <c r="S68" i="71"/>
  <c r="M71" i="71"/>
  <c r="O71" i="71" s="1"/>
  <c r="P71" i="71" s="1"/>
  <c r="U71" i="71"/>
  <c r="V71" i="71" s="1"/>
  <c r="S72" i="71"/>
  <c r="M75" i="71"/>
  <c r="O75" i="71" s="1"/>
  <c r="P75" i="71" s="1"/>
  <c r="M76" i="71"/>
  <c r="O76" i="71" s="1"/>
  <c r="P76" i="71" s="1"/>
  <c r="M77" i="71"/>
  <c r="O77" i="71" s="1"/>
  <c r="P77" i="71" s="1"/>
  <c r="J80" i="71"/>
  <c r="K80" i="71" s="1"/>
  <c r="L80" i="71" s="1"/>
  <c r="J82" i="71"/>
  <c r="K82" i="71" s="1"/>
  <c r="L82" i="71" s="1"/>
  <c r="M86" i="71"/>
  <c r="O86" i="71" s="1"/>
  <c r="P86" i="71" s="1"/>
  <c r="J96" i="71"/>
  <c r="K96" i="71" s="1"/>
  <c r="L96" i="71" s="1"/>
  <c r="J110" i="71"/>
  <c r="K110" i="71" s="1"/>
  <c r="L110" i="71" s="1"/>
  <c r="U119" i="71"/>
  <c r="V119" i="71" s="1"/>
  <c r="M123" i="71"/>
  <c r="O123" i="71" s="1"/>
  <c r="P123" i="71" s="1"/>
  <c r="H141" i="77" l="1"/>
  <c r="Q141" i="77" s="1"/>
  <c r="H137" i="77"/>
  <c r="Q137" i="77" s="1"/>
  <c r="H133" i="77"/>
  <c r="Q133" i="77" s="1"/>
  <c r="H129" i="77"/>
  <c r="Q129" i="77" s="1"/>
  <c r="H125" i="77"/>
  <c r="Q125" i="77" s="1"/>
  <c r="H121" i="77"/>
  <c r="Q121" i="77" s="1"/>
  <c r="I140" i="77"/>
  <c r="I136" i="77"/>
  <c r="I132" i="77"/>
  <c r="I128" i="77"/>
  <c r="I124" i="77"/>
  <c r="I120" i="77"/>
  <c r="I116" i="77"/>
  <c r="I112" i="77"/>
  <c r="I108" i="77"/>
  <c r="I104" i="77"/>
  <c r="I139" i="77"/>
  <c r="I135" i="77"/>
  <c r="I131" i="77"/>
  <c r="I127" i="77"/>
  <c r="I123" i="77"/>
  <c r="I119" i="77"/>
  <c r="I115" i="77"/>
  <c r="H139" i="77"/>
  <c r="Q139" i="77" s="1"/>
  <c r="H135" i="77"/>
  <c r="Q135" i="77" s="1"/>
  <c r="H131" i="77"/>
  <c r="Q131" i="77" s="1"/>
  <c r="H127" i="77"/>
  <c r="Q127" i="77" s="1"/>
  <c r="H123" i="77"/>
  <c r="Q123" i="77" s="1"/>
  <c r="H119" i="77"/>
  <c r="Q119" i="77" s="1"/>
  <c r="I142" i="77"/>
  <c r="I138" i="77"/>
  <c r="I134" i="77"/>
  <c r="H138" i="77"/>
  <c r="Q138" i="77" s="1"/>
  <c r="H134" i="77"/>
  <c r="Q134" i="77" s="1"/>
  <c r="H132" i="77"/>
  <c r="Q132" i="77" s="1"/>
  <c r="H142" i="77"/>
  <c r="Q142" i="77" s="1"/>
  <c r="H128" i="77"/>
  <c r="Q128" i="77" s="1"/>
  <c r="I121" i="77"/>
  <c r="H115" i="77"/>
  <c r="Q115" i="77" s="1"/>
  <c r="I98" i="77"/>
  <c r="I94" i="77"/>
  <c r="I90" i="77"/>
  <c r="I86" i="77"/>
  <c r="I82" i="77"/>
  <c r="I78" i="77"/>
  <c r="I74" i="77"/>
  <c r="I70" i="77"/>
  <c r="H98" i="77"/>
  <c r="Q98" i="77" s="1"/>
  <c r="H94" i="77"/>
  <c r="Q94" i="77" s="1"/>
  <c r="H90" i="77"/>
  <c r="Q90" i="77" s="1"/>
  <c r="H86" i="77"/>
  <c r="Q86" i="77" s="1"/>
  <c r="H130" i="77"/>
  <c r="Q130" i="77" s="1"/>
  <c r="I117" i="77"/>
  <c r="I113" i="77"/>
  <c r="I129" i="77"/>
  <c r="I126" i="77"/>
  <c r="H117" i="77"/>
  <c r="Q117" i="77" s="1"/>
  <c r="H113" i="77"/>
  <c r="Q113" i="77" s="1"/>
  <c r="H112" i="77"/>
  <c r="Q112" i="77" s="1"/>
  <c r="H111" i="77"/>
  <c r="Q111" i="77" s="1"/>
  <c r="H110" i="77"/>
  <c r="Q110" i="77" s="1"/>
  <c r="H109" i="77"/>
  <c r="Q109" i="77" s="1"/>
  <c r="H108" i="77"/>
  <c r="Q108" i="77" s="1"/>
  <c r="H107" i="77"/>
  <c r="Q107" i="77" s="1"/>
  <c r="H106" i="77"/>
  <c r="Q106" i="77" s="1"/>
  <c r="H105" i="77"/>
  <c r="Q105" i="77" s="1"/>
  <c r="H104" i="77"/>
  <c r="Q104" i="77" s="1"/>
  <c r="H103" i="77"/>
  <c r="Q103" i="77" s="1"/>
  <c r="H102" i="77"/>
  <c r="Q102" i="77" s="1"/>
  <c r="H101" i="77"/>
  <c r="Q101" i="77" s="1"/>
  <c r="I100" i="77"/>
  <c r="I96" i="77"/>
  <c r="I92" i="77"/>
  <c r="I88" i="77"/>
  <c r="I84" i="77"/>
  <c r="H140" i="77"/>
  <c r="Q140" i="77" s="1"/>
  <c r="I125" i="77"/>
  <c r="I114" i="77"/>
  <c r="I105" i="77"/>
  <c r="H88" i="77"/>
  <c r="Q88" i="77" s="1"/>
  <c r="H83" i="77"/>
  <c r="Q83" i="77" s="1"/>
  <c r="H69" i="77"/>
  <c r="Q69" i="77" s="1"/>
  <c r="I122" i="77"/>
  <c r="H114" i="77"/>
  <c r="Q114" i="77" s="1"/>
  <c r="I101" i="77"/>
  <c r="I99" i="77"/>
  <c r="I97" i="77"/>
  <c r="I68" i="77"/>
  <c r="I64" i="77"/>
  <c r="H136" i="77"/>
  <c r="Q136" i="77" s="1"/>
  <c r="H126" i="77"/>
  <c r="Q126" i="77" s="1"/>
  <c r="H122" i="77"/>
  <c r="Q122" i="77" s="1"/>
  <c r="I118" i="77"/>
  <c r="H116" i="77"/>
  <c r="Q116" i="77" s="1"/>
  <c r="H99" i="77"/>
  <c r="Q99" i="77" s="1"/>
  <c r="H97" i="77"/>
  <c r="Q97" i="77" s="1"/>
  <c r="I95" i="77"/>
  <c r="I93" i="77"/>
  <c r="H84" i="77"/>
  <c r="Q84" i="77" s="1"/>
  <c r="H68" i="77"/>
  <c r="Q68" i="77" s="1"/>
  <c r="H64" i="77"/>
  <c r="Q64" i="77" s="1"/>
  <c r="I133" i="77"/>
  <c r="I130" i="77"/>
  <c r="H118" i="77"/>
  <c r="Q118" i="77" s="1"/>
  <c r="H95" i="77"/>
  <c r="Q95" i="77" s="1"/>
  <c r="H93" i="77"/>
  <c r="Q93" i="77" s="1"/>
  <c r="I91" i="77"/>
  <c r="I89" i="77"/>
  <c r="I67" i="77"/>
  <c r="I63" i="77"/>
  <c r="I141" i="77"/>
  <c r="I107" i="77"/>
  <c r="H91" i="77"/>
  <c r="Q91" i="77" s="1"/>
  <c r="H89" i="77"/>
  <c r="Q89" i="77" s="1"/>
  <c r="I87" i="77"/>
  <c r="I85" i="77"/>
  <c r="H67" i="77"/>
  <c r="Q67" i="77" s="1"/>
  <c r="H63" i="77"/>
  <c r="Q63" i="77" s="1"/>
  <c r="I137" i="77"/>
  <c r="I103" i="77"/>
  <c r="H100" i="77"/>
  <c r="Q100" i="77" s="1"/>
  <c r="H87" i="77"/>
  <c r="Q87" i="77" s="1"/>
  <c r="H85" i="77"/>
  <c r="Q85" i="77" s="1"/>
  <c r="I66" i="77"/>
  <c r="H120" i="77"/>
  <c r="Q120" i="77" s="1"/>
  <c r="I111" i="77"/>
  <c r="I110" i="77"/>
  <c r="I109" i="77"/>
  <c r="I102" i="77"/>
  <c r="H92" i="77"/>
  <c r="Q92" i="77" s="1"/>
  <c r="I83" i="77"/>
  <c r="H82" i="77"/>
  <c r="Q82" i="77" s="1"/>
  <c r="H81" i="77"/>
  <c r="Q81" i="77" s="1"/>
  <c r="H80" i="77"/>
  <c r="Q80" i="77" s="1"/>
  <c r="H79" i="77"/>
  <c r="Q79" i="77" s="1"/>
  <c r="H78" i="77"/>
  <c r="Q78" i="77" s="1"/>
  <c r="H77" i="77"/>
  <c r="Q77" i="77" s="1"/>
  <c r="H76" i="77"/>
  <c r="Q76" i="77" s="1"/>
  <c r="H75" i="77"/>
  <c r="Q75" i="77" s="1"/>
  <c r="H74" i="77"/>
  <c r="Q74" i="77" s="1"/>
  <c r="H73" i="77"/>
  <c r="Q73" i="77" s="1"/>
  <c r="H72" i="77"/>
  <c r="Q72" i="77" s="1"/>
  <c r="H71" i="77"/>
  <c r="Q71" i="77" s="1"/>
  <c r="H70" i="77"/>
  <c r="Q70" i="77" s="1"/>
  <c r="I69" i="77"/>
  <c r="I65" i="77"/>
  <c r="I20" i="77"/>
  <c r="J20" i="77" s="1"/>
  <c r="I79" i="77"/>
  <c r="I72" i="77"/>
  <c r="I106" i="77"/>
  <c r="I81" i="77"/>
  <c r="H124" i="77"/>
  <c r="Q124" i="77" s="1"/>
  <c r="I76" i="77"/>
  <c r="H65" i="77"/>
  <c r="Q65" i="77" s="1"/>
  <c r="I80" i="77"/>
  <c r="I71" i="77"/>
  <c r="H66" i="77"/>
  <c r="Q66" i="77" s="1"/>
  <c r="I73" i="77"/>
  <c r="I75" i="77"/>
  <c r="H96" i="77"/>
  <c r="Q96" i="77" s="1"/>
  <c r="I77" i="77"/>
  <c r="X21" i="77"/>
  <c r="X20" i="77"/>
  <c r="X19" i="77"/>
  <c r="M69" i="77"/>
  <c r="O69" i="77" s="1"/>
  <c r="P69" i="77" s="1"/>
  <c r="M115" i="77"/>
  <c r="O115" i="77" s="1"/>
  <c r="P115" i="77" s="1"/>
  <c r="M88" i="77"/>
  <c r="O88" i="77" s="1"/>
  <c r="P88" i="77" s="1"/>
  <c r="M113" i="77"/>
  <c r="O113" i="77" s="1"/>
  <c r="P113" i="77" s="1"/>
  <c r="M134" i="77"/>
  <c r="O134" i="77" s="1"/>
  <c r="P134" i="77" s="1"/>
  <c r="W132" i="77"/>
  <c r="T132" i="77"/>
  <c r="W94" i="77"/>
  <c r="T94" i="77"/>
  <c r="W81" i="77"/>
  <c r="T81" i="77"/>
  <c r="T127" i="77"/>
  <c r="W127" i="77"/>
  <c r="M97" i="77"/>
  <c r="O97" i="77" s="1"/>
  <c r="P97" i="77" s="1"/>
  <c r="M70" i="77"/>
  <c r="O70" i="77" s="1"/>
  <c r="P70" i="77" s="1"/>
  <c r="M71" i="77"/>
  <c r="O71" i="77" s="1"/>
  <c r="P71" i="77" s="1"/>
  <c r="M116" i="77"/>
  <c r="O116" i="77" s="1"/>
  <c r="P116" i="77" s="1"/>
  <c r="M139" i="77"/>
  <c r="O139" i="77" s="1"/>
  <c r="P139" i="77" s="1"/>
  <c r="M92" i="77"/>
  <c r="O92" i="77" s="1"/>
  <c r="P92" i="77" s="1"/>
  <c r="M112" i="77"/>
  <c r="O112" i="77" s="1"/>
  <c r="P112" i="77" s="1"/>
  <c r="M117" i="77"/>
  <c r="O117" i="77" s="1"/>
  <c r="P117" i="77" s="1"/>
  <c r="M106" i="77"/>
  <c r="O106" i="77" s="1"/>
  <c r="P106" i="77" s="1"/>
  <c r="M138" i="77"/>
  <c r="O138" i="77" s="1"/>
  <c r="P138" i="77" s="1"/>
  <c r="W72" i="77"/>
  <c r="T72" i="77"/>
  <c r="W108" i="77"/>
  <c r="T108" i="77"/>
  <c r="W110" i="77"/>
  <c r="T110" i="77"/>
  <c r="T106" i="77"/>
  <c r="W106" i="77"/>
  <c r="W117" i="77"/>
  <c r="T117" i="77"/>
  <c r="W85" i="77"/>
  <c r="T85" i="77"/>
  <c r="W141" i="77"/>
  <c r="T141" i="77"/>
  <c r="W142" i="77"/>
  <c r="T142" i="77"/>
  <c r="T131" i="77"/>
  <c r="W131" i="77"/>
  <c r="F19" i="77"/>
  <c r="F23" i="77" s="1"/>
  <c r="F24" i="77" s="1"/>
  <c r="M95" i="77"/>
  <c r="O95" i="77" s="1"/>
  <c r="P95" i="77" s="1"/>
  <c r="M123" i="77"/>
  <c r="O123" i="77" s="1"/>
  <c r="P123" i="77" s="1"/>
  <c r="M98" i="77"/>
  <c r="O98" i="77" s="1"/>
  <c r="P98" i="77" s="1"/>
  <c r="M111" i="77"/>
  <c r="O111" i="77" s="1"/>
  <c r="P111" i="77" s="1"/>
  <c r="M102" i="77"/>
  <c r="O102" i="77" s="1"/>
  <c r="P102" i="77" s="1"/>
  <c r="W71" i="77"/>
  <c r="T71" i="77"/>
  <c r="W109" i="77"/>
  <c r="T109" i="77"/>
  <c r="W113" i="77"/>
  <c r="T113" i="77"/>
  <c r="W137" i="77"/>
  <c r="T137" i="77"/>
  <c r="W138" i="77"/>
  <c r="T138" i="77"/>
  <c r="J21" i="77"/>
  <c r="W129" i="77"/>
  <c r="T129" i="77"/>
  <c r="M101" i="77"/>
  <c r="O101" i="77" s="1"/>
  <c r="P101" i="77" s="1"/>
  <c r="M73" i="77"/>
  <c r="O73" i="77" s="1"/>
  <c r="P73" i="77" s="1"/>
  <c r="M75" i="77"/>
  <c r="O75" i="77" s="1"/>
  <c r="P75" i="77" s="1"/>
  <c r="M91" i="77"/>
  <c r="O91" i="77" s="1"/>
  <c r="P91" i="77" s="1"/>
  <c r="M120" i="77"/>
  <c r="O120" i="77" s="1"/>
  <c r="P120" i="77" s="1"/>
  <c r="M96" i="77"/>
  <c r="O96" i="77" s="1"/>
  <c r="P96" i="77" s="1"/>
  <c r="M109" i="77"/>
  <c r="O109" i="77" s="1"/>
  <c r="P109" i="77" s="1"/>
  <c r="M121" i="77"/>
  <c r="O121" i="77" s="1"/>
  <c r="P121" i="77" s="1"/>
  <c r="M110" i="77"/>
  <c r="O110" i="77" s="1"/>
  <c r="P110" i="77" s="1"/>
  <c r="M142" i="77"/>
  <c r="O142" i="77" s="1"/>
  <c r="P142" i="77" s="1"/>
  <c r="W75" i="77"/>
  <c r="T75" i="77"/>
  <c r="T66" i="77"/>
  <c r="W66" i="77"/>
  <c r="W63" i="77"/>
  <c r="T63" i="77"/>
  <c r="W83" i="77"/>
  <c r="T83" i="77"/>
  <c r="W124" i="77"/>
  <c r="T124" i="77"/>
  <c r="W89" i="77"/>
  <c r="T89" i="77"/>
  <c r="W114" i="77"/>
  <c r="T114" i="77"/>
  <c r="T103" i="77"/>
  <c r="W103" i="77"/>
  <c r="T135" i="77"/>
  <c r="W135" i="77"/>
  <c r="W74" i="77"/>
  <c r="T74" i="77"/>
  <c r="W78" i="77"/>
  <c r="T78" i="77"/>
  <c r="M99" i="77"/>
  <c r="O99" i="77" s="1"/>
  <c r="P99" i="77" s="1"/>
  <c r="V60" i="77"/>
  <c r="F14" i="77"/>
  <c r="M105" i="77"/>
  <c r="O105" i="77" s="1"/>
  <c r="P105" i="77" s="1"/>
  <c r="M64" i="77"/>
  <c r="O64" i="77" s="1"/>
  <c r="P64" i="77" s="1"/>
  <c r="M74" i="77"/>
  <c r="O74" i="77" s="1"/>
  <c r="P74" i="77" s="1"/>
  <c r="M79" i="77"/>
  <c r="O79" i="77" s="1"/>
  <c r="P79" i="77" s="1"/>
  <c r="M93" i="77"/>
  <c r="O93" i="77" s="1"/>
  <c r="P93" i="77" s="1"/>
  <c r="M127" i="77"/>
  <c r="O127" i="77" s="1"/>
  <c r="P127" i="77" s="1"/>
  <c r="M100" i="77"/>
  <c r="O100" i="77" s="1"/>
  <c r="P100" i="77" s="1"/>
  <c r="M124" i="77"/>
  <c r="O124" i="77" s="1"/>
  <c r="P124" i="77" s="1"/>
  <c r="M125" i="77"/>
  <c r="O125" i="77" s="1"/>
  <c r="P125" i="77" s="1"/>
  <c r="M114" i="77"/>
  <c r="O114" i="77" s="1"/>
  <c r="P114" i="77" s="1"/>
  <c r="W64" i="77"/>
  <c r="T64" i="77"/>
  <c r="W76" i="77"/>
  <c r="T76" i="77"/>
  <c r="W101" i="77"/>
  <c r="T101" i="77"/>
  <c r="W67" i="77"/>
  <c r="T67" i="77"/>
  <c r="W87" i="77"/>
  <c r="T87" i="77"/>
  <c r="W128" i="77"/>
  <c r="T128" i="77"/>
  <c r="W93" i="77"/>
  <c r="T93" i="77"/>
  <c r="W118" i="77"/>
  <c r="T118" i="77"/>
  <c r="W107" i="77"/>
  <c r="T107" i="77"/>
  <c r="T139" i="77"/>
  <c r="W139" i="77"/>
  <c r="W82" i="77"/>
  <c r="T82" i="77"/>
  <c r="W100" i="77"/>
  <c r="T100" i="77"/>
  <c r="M68" i="77"/>
  <c r="O68" i="77" s="1"/>
  <c r="P68" i="77" s="1"/>
  <c r="M77" i="77"/>
  <c r="O77" i="77" s="1"/>
  <c r="P77" i="77" s="1"/>
  <c r="M85" i="77"/>
  <c r="O85" i="77" s="1"/>
  <c r="P85" i="77" s="1"/>
  <c r="M135" i="77"/>
  <c r="O135" i="77" s="1"/>
  <c r="P135" i="77" s="1"/>
  <c r="M72" i="77"/>
  <c r="O72" i="77" s="1"/>
  <c r="P72" i="77" s="1"/>
  <c r="M103" i="77"/>
  <c r="O103" i="77" s="1"/>
  <c r="P103" i="77" s="1"/>
  <c r="M131" i="77"/>
  <c r="O131" i="77" s="1"/>
  <c r="P131" i="77" s="1"/>
  <c r="M129" i="77"/>
  <c r="O129" i="77" s="1"/>
  <c r="P129" i="77" s="1"/>
  <c r="M118" i="77"/>
  <c r="O118" i="77" s="1"/>
  <c r="P118" i="77" s="1"/>
  <c r="W68" i="77"/>
  <c r="T68" i="77"/>
  <c r="W79" i="77"/>
  <c r="T79" i="77"/>
  <c r="W120" i="77"/>
  <c r="T120" i="77"/>
  <c r="T88" i="77"/>
  <c r="W88" i="77"/>
  <c r="W91" i="77"/>
  <c r="T91" i="77"/>
  <c r="W136" i="77"/>
  <c r="T136" i="77"/>
  <c r="W97" i="77"/>
  <c r="T97" i="77"/>
  <c r="T122" i="77"/>
  <c r="W122" i="77"/>
  <c r="W111" i="77"/>
  <c r="T111" i="77"/>
  <c r="W70" i="77"/>
  <c r="T70" i="77"/>
  <c r="M83" i="77"/>
  <c r="O83" i="77" s="1"/>
  <c r="P83" i="77" s="1"/>
  <c r="M78" i="77"/>
  <c r="O78" i="77" s="1"/>
  <c r="P78" i="77" s="1"/>
  <c r="M66" i="77"/>
  <c r="O66" i="77" s="1"/>
  <c r="P66" i="77" s="1"/>
  <c r="M86" i="77"/>
  <c r="O86" i="77" s="1"/>
  <c r="P86" i="77" s="1"/>
  <c r="M76" i="77"/>
  <c r="O76" i="77" s="1"/>
  <c r="P76" i="77" s="1"/>
  <c r="M104" i="77"/>
  <c r="O104" i="77" s="1"/>
  <c r="P104" i="77" s="1"/>
  <c r="M132" i="77"/>
  <c r="O132" i="77" s="1"/>
  <c r="P132" i="77" s="1"/>
  <c r="M133" i="77"/>
  <c r="O133" i="77" s="1"/>
  <c r="P133" i="77" s="1"/>
  <c r="M122" i="77"/>
  <c r="O122" i="77" s="1"/>
  <c r="P122" i="77" s="1"/>
  <c r="T96" i="77"/>
  <c r="W96" i="77"/>
  <c r="W80" i="77"/>
  <c r="T80" i="77"/>
  <c r="T84" i="77"/>
  <c r="W84" i="77"/>
  <c r="T90" i="77"/>
  <c r="W90" i="77"/>
  <c r="W95" i="77"/>
  <c r="T95" i="77"/>
  <c r="W69" i="77"/>
  <c r="T69" i="77"/>
  <c r="W125" i="77"/>
  <c r="T125" i="77"/>
  <c r="T126" i="77"/>
  <c r="W126" i="77"/>
  <c r="T115" i="77"/>
  <c r="W115" i="77"/>
  <c r="W11" i="77"/>
  <c r="M128" i="77"/>
  <c r="O128" i="77" s="1"/>
  <c r="P128" i="77" s="1"/>
  <c r="M63" i="77"/>
  <c r="O63" i="77" s="1"/>
  <c r="P63" i="77" s="1"/>
  <c r="M119" i="77"/>
  <c r="O119" i="77" s="1"/>
  <c r="P119" i="77" s="1"/>
  <c r="M81" i="77"/>
  <c r="O81" i="77" s="1"/>
  <c r="P81" i="77" s="1"/>
  <c r="M87" i="77"/>
  <c r="O87" i="77" s="1"/>
  <c r="P87" i="77" s="1"/>
  <c r="M90" i="77"/>
  <c r="O90" i="77" s="1"/>
  <c r="P90" i="77" s="1"/>
  <c r="M80" i="77"/>
  <c r="O80" i="77" s="1"/>
  <c r="P80" i="77" s="1"/>
  <c r="M107" i="77"/>
  <c r="O107" i="77" s="1"/>
  <c r="P107" i="77" s="1"/>
  <c r="M136" i="77"/>
  <c r="O136" i="77" s="1"/>
  <c r="P136" i="77" s="1"/>
  <c r="M137" i="77"/>
  <c r="O137" i="77" s="1"/>
  <c r="P137" i="77" s="1"/>
  <c r="M126" i="77"/>
  <c r="O126" i="77" s="1"/>
  <c r="P126" i="77" s="1"/>
  <c r="W98" i="77"/>
  <c r="T98" i="77"/>
  <c r="W104" i="77"/>
  <c r="T104" i="77"/>
  <c r="T86" i="77"/>
  <c r="W86" i="77"/>
  <c r="T102" i="77"/>
  <c r="W102" i="77"/>
  <c r="W99" i="77"/>
  <c r="T99" i="77"/>
  <c r="W73" i="77"/>
  <c r="T73" i="77"/>
  <c r="W140" i="77"/>
  <c r="T140" i="77"/>
  <c r="W130" i="77"/>
  <c r="T130" i="77"/>
  <c r="W119" i="77"/>
  <c r="T119" i="77"/>
  <c r="W116" i="77"/>
  <c r="T116" i="77"/>
  <c r="M67" i="77"/>
  <c r="O67" i="77" s="1"/>
  <c r="P67" i="77" s="1"/>
  <c r="M65" i="77"/>
  <c r="O65" i="77" s="1"/>
  <c r="P65" i="77" s="1"/>
  <c r="M82" i="77"/>
  <c r="O82" i="77" s="1"/>
  <c r="P82" i="77" s="1"/>
  <c r="M89" i="77"/>
  <c r="O89" i="77" s="1"/>
  <c r="P89" i="77" s="1"/>
  <c r="M94" i="77"/>
  <c r="O94" i="77" s="1"/>
  <c r="P94" i="77" s="1"/>
  <c r="M84" i="77"/>
  <c r="O84" i="77" s="1"/>
  <c r="P84" i="77" s="1"/>
  <c r="M108" i="77"/>
  <c r="O108" i="77" s="1"/>
  <c r="P108" i="77" s="1"/>
  <c r="M140" i="77"/>
  <c r="O140" i="77" s="1"/>
  <c r="P140" i="77" s="1"/>
  <c r="M141" i="77"/>
  <c r="O141" i="77" s="1"/>
  <c r="P141" i="77" s="1"/>
  <c r="M130" i="77"/>
  <c r="O130" i="77" s="1"/>
  <c r="P130" i="77" s="1"/>
  <c r="W65" i="77"/>
  <c r="T65" i="77"/>
  <c r="W121" i="77"/>
  <c r="T121" i="77"/>
  <c r="W105" i="77"/>
  <c r="T105" i="77"/>
  <c r="T92" i="77"/>
  <c r="W92" i="77"/>
  <c r="W112" i="77"/>
  <c r="T112" i="77"/>
  <c r="W77" i="77"/>
  <c r="T77" i="77"/>
  <c r="W133" i="77"/>
  <c r="T133" i="77"/>
  <c r="W134" i="77"/>
  <c r="T134" i="77"/>
  <c r="T123" i="77"/>
  <c r="W123" i="77"/>
  <c r="W10" i="77"/>
  <c r="F19" i="76"/>
  <c r="F23" i="76" s="1"/>
  <c r="F24" i="76" s="1"/>
  <c r="W67" i="76"/>
  <c r="W87" i="76"/>
  <c r="T87" i="76"/>
  <c r="V60" i="76"/>
  <c r="F14" i="76"/>
  <c r="W105" i="76"/>
  <c r="T105" i="76"/>
  <c r="W90" i="76"/>
  <c r="T90" i="76"/>
  <c r="W126" i="76"/>
  <c r="T126" i="76"/>
  <c r="T115" i="76"/>
  <c r="W115" i="76"/>
  <c r="W104" i="76"/>
  <c r="T104" i="76"/>
  <c r="W136" i="76"/>
  <c r="T136" i="76"/>
  <c r="W121" i="76"/>
  <c r="T121" i="76"/>
  <c r="W94" i="76"/>
  <c r="T94" i="76"/>
  <c r="W140" i="76"/>
  <c r="T140" i="76"/>
  <c r="W70" i="76"/>
  <c r="T70" i="76"/>
  <c r="T69" i="76"/>
  <c r="W69" i="76"/>
  <c r="W73" i="76"/>
  <c r="T73" i="76"/>
  <c r="T97" i="76"/>
  <c r="W97" i="76"/>
  <c r="W80" i="76"/>
  <c r="T80" i="76"/>
  <c r="W113" i="76"/>
  <c r="T113" i="76"/>
  <c r="W98" i="76"/>
  <c r="T98" i="76"/>
  <c r="W134" i="76"/>
  <c r="T134" i="76"/>
  <c r="T123" i="76"/>
  <c r="W123" i="76"/>
  <c r="W112" i="76"/>
  <c r="T112" i="76"/>
  <c r="W79" i="76"/>
  <c r="M139" i="76"/>
  <c r="O139" i="76" s="1"/>
  <c r="P139" i="76" s="1"/>
  <c r="M111" i="76"/>
  <c r="O111" i="76" s="1"/>
  <c r="P111" i="76" s="1"/>
  <c r="M126" i="76"/>
  <c r="O126" i="76" s="1"/>
  <c r="P126" i="76" s="1"/>
  <c r="M106" i="76"/>
  <c r="O106" i="76" s="1"/>
  <c r="P106" i="76" s="1"/>
  <c r="M121" i="76"/>
  <c r="O121" i="76" s="1"/>
  <c r="P121" i="76" s="1"/>
  <c r="M97" i="76"/>
  <c r="O97" i="76" s="1"/>
  <c r="P97" i="76" s="1"/>
  <c r="M140" i="76"/>
  <c r="O140" i="76" s="1"/>
  <c r="P140" i="76" s="1"/>
  <c r="M91" i="76"/>
  <c r="O91" i="76" s="1"/>
  <c r="P91" i="76" s="1"/>
  <c r="M84" i="76"/>
  <c r="O84" i="76" s="1"/>
  <c r="P84" i="76" s="1"/>
  <c r="M75" i="76"/>
  <c r="O75" i="76" s="1"/>
  <c r="P75" i="76" s="1"/>
  <c r="M124" i="76"/>
  <c r="O124" i="76" s="1"/>
  <c r="P124" i="76" s="1"/>
  <c r="M98" i="76"/>
  <c r="O98" i="76" s="1"/>
  <c r="P98" i="76" s="1"/>
  <c r="M88" i="76"/>
  <c r="O88" i="76" s="1"/>
  <c r="P88" i="76" s="1"/>
  <c r="W108" i="76"/>
  <c r="T108" i="76"/>
  <c r="W117" i="76"/>
  <c r="T117" i="76"/>
  <c r="W72" i="76"/>
  <c r="T72" i="76"/>
  <c r="W84" i="76"/>
  <c r="T84" i="76"/>
  <c r="W129" i="76"/>
  <c r="T129" i="76"/>
  <c r="W106" i="76"/>
  <c r="T106" i="76"/>
  <c r="W138" i="76"/>
  <c r="T138" i="76"/>
  <c r="T127" i="76"/>
  <c r="W127" i="76"/>
  <c r="W116" i="76"/>
  <c r="T116" i="76"/>
  <c r="W71" i="76"/>
  <c r="W81" i="76"/>
  <c r="T81" i="76"/>
  <c r="W66" i="76"/>
  <c r="T66" i="76"/>
  <c r="T65" i="76"/>
  <c r="W65" i="76"/>
  <c r="W102" i="76"/>
  <c r="T102" i="76"/>
  <c r="W133" i="76"/>
  <c r="T133" i="76"/>
  <c r="W88" i="76"/>
  <c r="T88" i="76"/>
  <c r="W74" i="76"/>
  <c r="T74" i="76"/>
  <c r="W110" i="76"/>
  <c r="T110" i="76"/>
  <c r="W142" i="76"/>
  <c r="T142" i="76"/>
  <c r="T131" i="76"/>
  <c r="W131" i="76"/>
  <c r="W120" i="76"/>
  <c r="T120" i="76"/>
  <c r="W101" i="76"/>
  <c r="W63" i="76"/>
  <c r="E26" i="76"/>
  <c r="M135" i="76" s="1"/>
  <c r="O135" i="76" s="1"/>
  <c r="P135" i="76" s="1"/>
  <c r="T85" i="76"/>
  <c r="W85" i="76"/>
  <c r="W75" i="76"/>
  <c r="T75" i="76"/>
  <c r="W109" i="76"/>
  <c r="T109" i="76"/>
  <c r="T83" i="76"/>
  <c r="W83" i="76"/>
  <c r="W77" i="76"/>
  <c r="T77" i="76"/>
  <c r="W68" i="76"/>
  <c r="T68" i="76"/>
  <c r="W92" i="76"/>
  <c r="T92" i="76"/>
  <c r="W78" i="76"/>
  <c r="T78" i="76"/>
  <c r="W114" i="76"/>
  <c r="T114" i="76"/>
  <c r="T103" i="76"/>
  <c r="W103" i="76"/>
  <c r="T135" i="76"/>
  <c r="W135" i="76"/>
  <c r="W124" i="76"/>
  <c r="T124" i="76"/>
  <c r="I141" i="76"/>
  <c r="I137" i="76"/>
  <c r="I133" i="76"/>
  <c r="I129" i="76"/>
  <c r="I125" i="76"/>
  <c r="I121" i="76"/>
  <c r="I117" i="76"/>
  <c r="I113" i="76"/>
  <c r="I109" i="76"/>
  <c r="I105" i="76"/>
  <c r="I101" i="76"/>
  <c r="H141" i="76"/>
  <c r="Q141" i="76" s="1"/>
  <c r="H137" i="76"/>
  <c r="Q137" i="76" s="1"/>
  <c r="H133" i="76"/>
  <c r="Q133" i="76" s="1"/>
  <c r="H129" i="76"/>
  <c r="Q129" i="76" s="1"/>
  <c r="H125" i="76"/>
  <c r="Q125" i="76" s="1"/>
  <c r="I140" i="76"/>
  <c r="I136" i="76"/>
  <c r="I132" i="76"/>
  <c r="I128" i="76"/>
  <c r="I124" i="76"/>
  <c r="I120" i="76"/>
  <c r="I116" i="76"/>
  <c r="I112" i="76"/>
  <c r="I108" i="76"/>
  <c r="I104" i="76"/>
  <c r="H140" i="76"/>
  <c r="Q140" i="76" s="1"/>
  <c r="H136" i="76"/>
  <c r="Q136" i="76" s="1"/>
  <c r="H132" i="76"/>
  <c r="Q132" i="76" s="1"/>
  <c r="H128" i="76"/>
  <c r="Q128" i="76" s="1"/>
  <c r="H124" i="76"/>
  <c r="Q124" i="76" s="1"/>
  <c r="H120" i="76"/>
  <c r="Q120" i="76" s="1"/>
  <c r="I139" i="76"/>
  <c r="I135" i="76"/>
  <c r="I131" i="76"/>
  <c r="I127" i="76"/>
  <c r="I123" i="76"/>
  <c r="I119" i="76"/>
  <c r="I115" i="76"/>
  <c r="I111" i="76"/>
  <c r="I107" i="76"/>
  <c r="H139" i="76"/>
  <c r="Q139" i="76" s="1"/>
  <c r="H135" i="76"/>
  <c r="Q135" i="76" s="1"/>
  <c r="H131" i="76"/>
  <c r="Q131" i="76" s="1"/>
  <c r="H142" i="76"/>
  <c r="Q142" i="76" s="1"/>
  <c r="H138" i="76"/>
  <c r="Q138" i="76" s="1"/>
  <c r="H134" i="76"/>
  <c r="Q134" i="76" s="1"/>
  <c r="H130" i="76"/>
  <c r="Q130" i="76" s="1"/>
  <c r="H126" i="76"/>
  <c r="Q126" i="76" s="1"/>
  <c r="H122" i="76"/>
  <c r="Q122" i="76" s="1"/>
  <c r="I142" i="76"/>
  <c r="H115" i="76"/>
  <c r="Q115" i="76" s="1"/>
  <c r="H113" i="76"/>
  <c r="Q113" i="76" s="1"/>
  <c r="H111" i="76"/>
  <c r="Q111" i="76" s="1"/>
  <c r="H109" i="76"/>
  <c r="Q109" i="76" s="1"/>
  <c r="H107" i="76"/>
  <c r="Q107" i="76" s="1"/>
  <c r="H105" i="76"/>
  <c r="Q105" i="76" s="1"/>
  <c r="H102" i="76"/>
  <c r="Q102" i="76" s="1"/>
  <c r="I99" i="76"/>
  <c r="I95" i="76"/>
  <c r="I91" i="76"/>
  <c r="I87" i="76"/>
  <c r="I83" i="76"/>
  <c r="I79" i="76"/>
  <c r="I75" i="76"/>
  <c r="I134" i="76"/>
  <c r="I126" i="76"/>
  <c r="H121" i="76"/>
  <c r="Q121" i="76" s="1"/>
  <c r="I103" i="76"/>
  <c r="H99" i="76"/>
  <c r="Q99" i="76" s="1"/>
  <c r="H95" i="76"/>
  <c r="Q95" i="76" s="1"/>
  <c r="H91" i="76"/>
  <c r="Q91" i="76" s="1"/>
  <c r="H87" i="76"/>
  <c r="Q87" i="76" s="1"/>
  <c r="H83" i="76"/>
  <c r="Q83" i="76" s="1"/>
  <c r="I138" i="76"/>
  <c r="H116" i="76"/>
  <c r="Q116" i="76" s="1"/>
  <c r="H114" i="76"/>
  <c r="Q114" i="76" s="1"/>
  <c r="H112" i="76"/>
  <c r="Q112" i="76" s="1"/>
  <c r="H110" i="76"/>
  <c r="Q110" i="76" s="1"/>
  <c r="H108" i="76"/>
  <c r="Q108" i="76" s="1"/>
  <c r="H106" i="76"/>
  <c r="Q106" i="76" s="1"/>
  <c r="H104" i="76"/>
  <c r="Q104" i="76" s="1"/>
  <c r="I97" i="76"/>
  <c r="I93" i="76"/>
  <c r="I89" i="76"/>
  <c r="I85" i="76"/>
  <c r="I81" i="76"/>
  <c r="I122" i="76"/>
  <c r="H100" i="76"/>
  <c r="Q100" i="76" s="1"/>
  <c r="H98" i="76"/>
  <c r="Q98" i="76" s="1"/>
  <c r="I96" i="76"/>
  <c r="I94" i="76"/>
  <c r="I80" i="76"/>
  <c r="I71" i="76"/>
  <c r="I67" i="76"/>
  <c r="I63" i="76"/>
  <c r="H123" i="76"/>
  <c r="Q123" i="76" s="1"/>
  <c r="I110" i="76"/>
  <c r="I102" i="76"/>
  <c r="H96" i="76"/>
  <c r="Q96" i="76" s="1"/>
  <c r="H94" i="76"/>
  <c r="Q94" i="76" s="1"/>
  <c r="I92" i="76"/>
  <c r="I90" i="76"/>
  <c r="H80" i="76"/>
  <c r="Q80" i="76" s="1"/>
  <c r="H71" i="76"/>
  <c r="Q71" i="76" s="1"/>
  <c r="H67" i="76"/>
  <c r="Q67" i="76" s="1"/>
  <c r="H63" i="76"/>
  <c r="Q63" i="76" s="1"/>
  <c r="H92" i="76"/>
  <c r="Q92" i="76" s="1"/>
  <c r="H90" i="76"/>
  <c r="Q90" i="76" s="1"/>
  <c r="I88" i="76"/>
  <c r="I86" i="76"/>
  <c r="I70" i="76"/>
  <c r="I66" i="76"/>
  <c r="H127" i="76"/>
  <c r="Q127" i="76" s="1"/>
  <c r="H88" i="76"/>
  <c r="Q88" i="76" s="1"/>
  <c r="H86" i="76"/>
  <c r="Q86" i="76" s="1"/>
  <c r="I84" i="76"/>
  <c r="H81" i="76"/>
  <c r="Q81" i="76" s="1"/>
  <c r="H70" i="76"/>
  <c r="Q70" i="76" s="1"/>
  <c r="H66" i="76"/>
  <c r="Q66" i="76" s="1"/>
  <c r="H119" i="76"/>
  <c r="Q119" i="76" s="1"/>
  <c r="I118" i="76"/>
  <c r="I106" i="76"/>
  <c r="H101" i="76"/>
  <c r="Q101" i="76" s="1"/>
  <c r="H97" i="76"/>
  <c r="Q97" i="76" s="1"/>
  <c r="H84" i="76"/>
  <c r="Q84" i="76" s="1"/>
  <c r="I82" i="76"/>
  <c r="I78" i="76"/>
  <c r="I77" i="76"/>
  <c r="I76" i="76"/>
  <c r="I74" i="76"/>
  <c r="I73" i="76"/>
  <c r="I69" i="76"/>
  <c r="I65" i="76"/>
  <c r="I20" i="76"/>
  <c r="J20" i="76" s="1"/>
  <c r="I130" i="76"/>
  <c r="H118" i="76"/>
  <c r="Q118" i="76" s="1"/>
  <c r="H93" i="76"/>
  <c r="Q93" i="76" s="1"/>
  <c r="H82" i="76"/>
  <c r="Q82" i="76" s="1"/>
  <c r="H78" i="76"/>
  <c r="Q78" i="76" s="1"/>
  <c r="H77" i="76"/>
  <c r="Q77" i="76" s="1"/>
  <c r="H76" i="76"/>
  <c r="Q76" i="76" s="1"/>
  <c r="H75" i="76"/>
  <c r="Q75" i="76" s="1"/>
  <c r="H74" i="76"/>
  <c r="Q74" i="76" s="1"/>
  <c r="H73" i="76"/>
  <c r="Q73" i="76" s="1"/>
  <c r="H69" i="76"/>
  <c r="Q69" i="76" s="1"/>
  <c r="H65" i="76"/>
  <c r="Q65" i="76" s="1"/>
  <c r="I64" i="76"/>
  <c r="I114" i="76"/>
  <c r="H64" i="76"/>
  <c r="Q64" i="76" s="1"/>
  <c r="H79" i="76"/>
  <c r="Q79" i="76" s="1"/>
  <c r="H68" i="76"/>
  <c r="Q68" i="76" s="1"/>
  <c r="H103" i="76"/>
  <c r="Q103" i="76" s="1"/>
  <c r="I100" i="76"/>
  <c r="H85" i="76"/>
  <c r="Q85" i="76" s="1"/>
  <c r="I72" i="76"/>
  <c r="H117" i="76"/>
  <c r="Q117" i="76" s="1"/>
  <c r="H89" i="76"/>
  <c r="Q89" i="76" s="1"/>
  <c r="H72" i="76"/>
  <c r="Q72" i="76" s="1"/>
  <c r="I98" i="76"/>
  <c r="I68" i="76"/>
  <c r="W130" i="76"/>
  <c r="T130" i="76"/>
  <c r="W141" i="76"/>
  <c r="T141" i="76"/>
  <c r="W96" i="76"/>
  <c r="T96" i="76"/>
  <c r="W82" i="76"/>
  <c r="T82" i="76"/>
  <c r="W118" i="76"/>
  <c r="T118" i="76"/>
  <c r="T107" i="76"/>
  <c r="W107" i="76"/>
  <c r="T139" i="76"/>
  <c r="W139" i="76"/>
  <c r="W128" i="76"/>
  <c r="T128" i="76"/>
  <c r="W91" i="76"/>
  <c r="W95" i="76"/>
  <c r="W10" i="76"/>
  <c r="W99" i="76"/>
  <c r="T99" i="76"/>
  <c r="T119" i="76"/>
  <c r="W119" i="76"/>
  <c r="W137" i="76"/>
  <c r="T137" i="76"/>
  <c r="W76" i="76"/>
  <c r="T76" i="76"/>
  <c r="W64" i="76"/>
  <c r="T64" i="76"/>
  <c r="T60" i="76" s="1"/>
  <c r="W125" i="76"/>
  <c r="T125" i="76"/>
  <c r="W86" i="76"/>
  <c r="T86" i="76"/>
  <c r="W122" i="76"/>
  <c r="T122" i="76"/>
  <c r="T111" i="76"/>
  <c r="W111" i="76"/>
  <c r="W100" i="76"/>
  <c r="T100" i="76"/>
  <c r="W132" i="76"/>
  <c r="T132" i="76"/>
  <c r="W93" i="76"/>
  <c r="W89" i="76"/>
  <c r="W11" i="76"/>
  <c r="M70" i="74"/>
  <c r="O70" i="74" s="1"/>
  <c r="P70" i="74" s="1"/>
  <c r="M91" i="74"/>
  <c r="O91" i="74" s="1"/>
  <c r="P91" i="74" s="1"/>
  <c r="M133" i="74"/>
  <c r="O133" i="74" s="1"/>
  <c r="P133" i="74" s="1"/>
  <c r="M135" i="74"/>
  <c r="O135" i="74" s="1"/>
  <c r="P135" i="74" s="1"/>
  <c r="W73" i="74"/>
  <c r="M67" i="74"/>
  <c r="O67" i="74" s="1"/>
  <c r="P67" i="74" s="1"/>
  <c r="M104" i="74"/>
  <c r="O104" i="74" s="1"/>
  <c r="P104" i="74" s="1"/>
  <c r="M141" i="74"/>
  <c r="O141" i="74" s="1"/>
  <c r="P141" i="74" s="1"/>
  <c r="M114" i="74"/>
  <c r="O114" i="74" s="1"/>
  <c r="P114" i="74" s="1"/>
  <c r="M76" i="74"/>
  <c r="O76" i="74" s="1"/>
  <c r="P76" i="74" s="1"/>
  <c r="M72" i="74"/>
  <c r="O72" i="74" s="1"/>
  <c r="P72" i="74" s="1"/>
  <c r="M120" i="74"/>
  <c r="O120" i="74" s="1"/>
  <c r="P120" i="74" s="1"/>
  <c r="M122" i="74"/>
  <c r="O122" i="74" s="1"/>
  <c r="P122" i="74" s="1"/>
  <c r="M69" i="74"/>
  <c r="O69" i="74" s="1"/>
  <c r="P69" i="74" s="1"/>
  <c r="M77" i="74"/>
  <c r="O77" i="74" s="1"/>
  <c r="P77" i="74" s="1"/>
  <c r="M136" i="74"/>
  <c r="O136" i="74" s="1"/>
  <c r="P136" i="74" s="1"/>
  <c r="M130" i="74"/>
  <c r="O130" i="74" s="1"/>
  <c r="P130" i="74" s="1"/>
  <c r="M88" i="74"/>
  <c r="O88" i="74" s="1"/>
  <c r="P88" i="74" s="1"/>
  <c r="M85" i="74"/>
  <c r="O85" i="74" s="1"/>
  <c r="P85" i="74" s="1"/>
  <c r="M101" i="74"/>
  <c r="O101" i="74" s="1"/>
  <c r="P101" i="74" s="1"/>
  <c r="T68" i="74"/>
  <c r="W68" i="74"/>
  <c r="W141" i="74"/>
  <c r="T141" i="74"/>
  <c r="W108" i="74"/>
  <c r="T108" i="74"/>
  <c r="W140" i="74"/>
  <c r="T140" i="74"/>
  <c r="W74" i="74"/>
  <c r="T74" i="74"/>
  <c r="W80" i="74"/>
  <c r="T80" i="74"/>
  <c r="W113" i="74"/>
  <c r="T113" i="74"/>
  <c r="W102" i="74"/>
  <c r="T102" i="74"/>
  <c r="W134" i="74"/>
  <c r="T134" i="74"/>
  <c r="W123" i="74"/>
  <c r="T123" i="74"/>
  <c r="W112" i="74"/>
  <c r="T112" i="74"/>
  <c r="T95" i="74"/>
  <c r="W95" i="74"/>
  <c r="T79" i="74"/>
  <c r="W79" i="74"/>
  <c r="M65" i="74"/>
  <c r="O65" i="74" s="1"/>
  <c r="P65" i="74" s="1"/>
  <c r="M82" i="74"/>
  <c r="O82" i="74" s="1"/>
  <c r="P82" i="74" s="1"/>
  <c r="M71" i="74"/>
  <c r="O71" i="74" s="1"/>
  <c r="P71" i="74" s="1"/>
  <c r="M81" i="74"/>
  <c r="O81" i="74" s="1"/>
  <c r="P81" i="74" s="1"/>
  <c r="M87" i="74"/>
  <c r="O87" i="74" s="1"/>
  <c r="P87" i="74" s="1"/>
  <c r="M116" i="74"/>
  <c r="O116" i="74" s="1"/>
  <c r="P116" i="74" s="1"/>
  <c r="M105" i="74"/>
  <c r="O105" i="74" s="1"/>
  <c r="P105" i="74" s="1"/>
  <c r="M137" i="74"/>
  <c r="O137" i="74" s="1"/>
  <c r="P137" i="74" s="1"/>
  <c r="M126" i="74"/>
  <c r="O126" i="74" s="1"/>
  <c r="P126" i="74" s="1"/>
  <c r="M115" i="74"/>
  <c r="O115" i="74" s="1"/>
  <c r="P115" i="74" s="1"/>
  <c r="T64" i="74"/>
  <c r="W64" i="74"/>
  <c r="W78" i="74"/>
  <c r="T78" i="74"/>
  <c r="W84" i="74"/>
  <c r="T84" i="74"/>
  <c r="W117" i="74"/>
  <c r="T117" i="74"/>
  <c r="W106" i="74"/>
  <c r="T106" i="74"/>
  <c r="W138" i="74"/>
  <c r="T138" i="74"/>
  <c r="T127" i="74"/>
  <c r="W127" i="74"/>
  <c r="W116" i="74"/>
  <c r="T116" i="74"/>
  <c r="I141" i="74"/>
  <c r="I137" i="74"/>
  <c r="I133" i="74"/>
  <c r="I129" i="74"/>
  <c r="I125" i="74"/>
  <c r="I121" i="74"/>
  <c r="I117" i="74"/>
  <c r="I113" i="74"/>
  <c r="I109" i="74"/>
  <c r="I105" i="74"/>
  <c r="I101" i="74"/>
  <c r="H141" i="74"/>
  <c r="Q141" i="74" s="1"/>
  <c r="H137" i="74"/>
  <c r="Q137" i="74" s="1"/>
  <c r="H133" i="74"/>
  <c r="Q133" i="74" s="1"/>
  <c r="H129" i="74"/>
  <c r="Q129" i="74" s="1"/>
  <c r="H125" i="74"/>
  <c r="Q125" i="74" s="1"/>
  <c r="I140" i="74"/>
  <c r="I136" i="74"/>
  <c r="I132" i="74"/>
  <c r="I128" i="74"/>
  <c r="I124" i="74"/>
  <c r="I120" i="74"/>
  <c r="I116" i="74"/>
  <c r="I112" i="74"/>
  <c r="I108" i="74"/>
  <c r="I104" i="74"/>
  <c r="H140" i="74"/>
  <c r="Q140" i="74" s="1"/>
  <c r="I139" i="74"/>
  <c r="I135" i="74"/>
  <c r="I131" i="74"/>
  <c r="I127" i="74"/>
  <c r="I123" i="74"/>
  <c r="I119" i="74"/>
  <c r="I115" i="74"/>
  <c r="I111" i="74"/>
  <c r="I107" i="74"/>
  <c r="I103" i="74"/>
  <c r="H139" i="74"/>
  <c r="Q139" i="74" s="1"/>
  <c r="H135" i="74"/>
  <c r="Q135" i="74" s="1"/>
  <c r="H131" i="74"/>
  <c r="Q131" i="74" s="1"/>
  <c r="I142" i="74"/>
  <c r="I138" i="74"/>
  <c r="I134" i="74"/>
  <c r="I130" i="74"/>
  <c r="I126" i="74"/>
  <c r="I122" i="74"/>
  <c r="I118" i="74"/>
  <c r="I114" i="74"/>
  <c r="I110" i="74"/>
  <c r="I106" i="74"/>
  <c r="I102" i="74"/>
  <c r="H138" i="74"/>
  <c r="Q138" i="74" s="1"/>
  <c r="H132" i="74"/>
  <c r="Q132" i="74" s="1"/>
  <c r="H123" i="74"/>
  <c r="Q123" i="74" s="1"/>
  <c r="H119" i="74"/>
  <c r="Q119" i="74" s="1"/>
  <c r="H115" i="74"/>
  <c r="Q115" i="74" s="1"/>
  <c r="H111" i="74"/>
  <c r="Q111" i="74" s="1"/>
  <c r="H107" i="74"/>
  <c r="Q107" i="74" s="1"/>
  <c r="H103" i="74"/>
  <c r="Q103" i="74" s="1"/>
  <c r="H98" i="74"/>
  <c r="Q98" i="74" s="1"/>
  <c r="I97" i="74"/>
  <c r="I93" i="74"/>
  <c r="I89" i="74"/>
  <c r="I85" i="74"/>
  <c r="I81" i="74"/>
  <c r="I77" i="74"/>
  <c r="I73" i="74"/>
  <c r="H142" i="74"/>
  <c r="Q142" i="74" s="1"/>
  <c r="H122" i="74"/>
  <c r="Q122" i="74" s="1"/>
  <c r="H118" i="74"/>
  <c r="Q118" i="74" s="1"/>
  <c r="H114" i="74"/>
  <c r="Q114" i="74" s="1"/>
  <c r="H110" i="74"/>
  <c r="Q110" i="74" s="1"/>
  <c r="H106" i="74"/>
  <c r="Q106" i="74" s="1"/>
  <c r="H102" i="74"/>
  <c r="Q102" i="74" s="1"/>
  <c r="H97" i="74"/>
  <c r="Q97" i="74" s="1"/>
  <c r="H93" i="74"/>
  <c r="Q93" i="74" s="1"/>
  <c r="H89" i="74"/>
  <c r="Q89" i="74" s="1"/>
  <c r="H85" i="74"/>
  <c r="Q85" i="74" s="1"/>
  <c r="H81" i="74"/>
  <c r="Q81" i="74" s="1"/>
  <c r="H77" i="74"/>
  <c r="Q77" i="74" s="1"/>
  <c r="H134" i="74"/>
  <c r="Q134" i="74" s="1"/>
  <c r="H128" i="74"/>
  <c r="Q128" i="74" s="1"/>
  <c r="H127" i="74"/>
  <c r="Q127" i="74" s="1"/>
  <c r="H121" i="74"/>
  <c r="Q121" i="74" s="1"/>
  <c r="H117" i="74"/>
  <c r="Q117" i="74" s="1"/>
  <c r="H113" i="74"/>
  <c r="Q113" i="74" s="1"/>
  <c r="H109" i="74"/>
  <c r="Q109" i="74" s="1"/>
  <c r="H105" i="74"/>
  <c r="Q105" i="74" s="1"/>
  <c r="H101" i="74"/>
  <c r="Q101" i="74" s="1"/>
  <c r="H100" i="74"/>
  <c r="Q100" i="74" s="1"/>
  <c r="H136" i="74"/>
  <c r="Q136" i="74" s="1"/>
  <c r="H126" i="74"/>
  <c r="Q126" i="74" s="1"/>
  <c r="I99" i="74"/>
  <c r="I95" i="74"/>
  <c r="I91" i="74"/>
  <c r="I87" i="74"/>
  <c r="I83" i="74"/>
  <c r="I79" i="74"/>
  <c r="I75" i="74"/>
  <c r="H108" i="74"/>
  <c r="Q108" i="74" s="1"/>
  <c r="I96" i="74"/>
  <c r="I94" i="74"/>
  <c r="I92" i="74"/>
  <c r="I90" i="74"/>
  <c r="I88" i="74"/>
  <c r="I86" i="74"/>
  <c r="I84" i="74"/>
  <c r="I82" i="74"/>
  <c r="I80" i="74"/>
  <c r="H75" i="74"/>
  <c r="Q75" i="74" s="1"/>
  <c r="I70" i="74"/>
  <c r="I66" i="74"/>
  <c r="H96" i="74"/>
  <c r="Q96" i="74" s="1"/>
  <c r="H94" i="74"/>
  <c r="Q94" i="74" s="1"/>
  <c r="H92" i="74"/>
  <c r="Q92" i="74" s="1"/>
  <c r="H90" i="74"/>
  <c r="Q90" i="74" s="1"/>
  <c r="H88" i="74"/>
  <c r="Q88" i="74" s="1"/>
  <c r="H86" i="74"/>
  <c r="Q86" i="74" s="1"/>
  <c r="H84" i="74"/>
  <c r="Q84" i="74" s="1"/>
  <c r="H82" i="74"/>
  <c r="Q82" i="74" s="1"/>
  <c r="H80" i="74"/>
  <c r="Q80" i="74" s="1"/>
  <c r="I78" i="74"/>
  <c r="I76" i="74"/>
  <c r="H70" i="74"/>
  <c r="Q70" i="74" s="1"/>
  <c r="H66" i="74"/>
  <c r="Q66" i="74" s="1"/>
  <c r="H116" i="74"/>
  <c r="Q116" i="74" s="1"/>
  <c r="H78" i="74"/>
  <c r="Q78" i="74" s="1"/>
  <c r="H76" i="74"/>
  <c r="Q76" i="74" s="1"/>
  <c r="I69" i="74"/>
  <c r="I65" i="74"/>
  <c r="I20" i="74"/>
  <c r="J20" i="74" s="1"/>
  <c r="H104" i="74"/>
  <c r="Q104" i="74" s="1"/>
  <c r="I98" i="74"/>
  <c r="H69" i="74"/>
  <c r="Q69" i="74" s="1"/>
  <c r="H65" i="74"/>
  <c r="Q65" i="74" s="1"/>
  <c r="H130" i="74"/>
  <c r="Q130" i="74" s="1"/>
  <c r="H124" i="74"/>
  <c r="Q124" i="74" s="1"/>
  <c r="H73" i="74"/>
  <c r="Q73" i="74" s="1"/>
  <c r="I72" i="74"/>
  <c r="I68" i="74"/>
  <c r="I64" i="74"/>
  <c r="H112" i="74"/>
  <c r="Q112" i="74" s="1"/>
  <c r="H99" i="74"/>
  <c r="Q99" i="74" s="1"/>
  <c r="H95" i="74"/>
  <c r="Q95" i="74" s="1"/>
  <c r="H91" i="74"/>
  <c r="Q91" i="74" s="1"/>
  <c r="H87" i="74"/>
  <c r="Q87" i="74" s="1"/>
  <c r="H83" i="74"/>
  <c r="Q83" i="74" s="1"/>
  <c r="H79" i="74"/>
  <c r="Q79" i="74" s="1"/>
  <c r="I74" i="74"/>
  <c r="H72" i="74"/>
  <c r="Q72" i="74" s="1"/>
  <c r="H68" i="74"/>
  <c r="Q68" i="74" s="1"/>
  <c r="H64" i="74"/>
  <c r="Q64" i="74" s="1"/>
  <c r="I100" i="74"/>
  <c r="H74" i="74"/>
  <c r="Q74" i="74" s="1"/>
  <c r="I71" i="74"/>
  <c r="I67" i="74"/>
  <c r="I63" i="74"/>
  <c r="H120" i="74"/>
  <c r="Q120" i="74" s="1"/>
  <c r="H71" i="74"/>
  <c r="Q71" i="74" s="1"/>
  <c r="H67" i="74"/>
  <c r="Q67" i="74" s="1"/>
  <c r="H63" i="74"/>
  <c r="Q63" i="74" s="1"/>
  <c r="W93" i="74"/>
  <c r="T93" i="74"/>
  <c r="W70" i="74"/>
  <c r="T70" i="74"/>
  <c r="T91" i="74"/>
  <c r="W91" i="74"/>
  <c r="M78" i="74"/>
  <c r="O78" i="74" s="1"/>
  <c r="P78" i="74" s="1"/>
  <c r="M90" i="74"/>
  <c r="O90" i="74" s="1"/>
  <c r="P90" i="74" s="1"/>
  <c r="M98" i="74"/>
  <c r="O98" i="74" s="1"/>
  <c r="P98" i="74" s="1"/>
  <c r="M89" i="74"/>
  <c r="O89" i="74" s="1"/>
  <c r="P89" i="74" s="1"/>
  <c r="M95" i="74"/>
  <c r="O95" i="74" s="1"/>
  <c r="P95" i="74" s="1"/>
  <c r="M124" i="74"/>
  <c r="O124" i="74" s="1"/>
  <c r="P124" i="74" s="1"/>
  <c r="M113" i="74"/>
  <c r="O113" i="74" s="1"/>
  <c r="P113" i="74" s="1"/>
  <c r="M102" i="74"/>
  <c r="O102" i="74" s="1"/>
  <c r="P102" i="74" s="1"/>
  <c r="M134" i="74"/>
  <c r="O134" i="74" s="1"/>
  <c r="P134" i="74" s="1"/>
  <c r="M123" i="74"/>
  <c r="O123" i="74" s="1"/>
  <c r="P123" i="74" s="1"/>
  <c r="W88" i="74"/>
  <c r="T88" i="74"/>
  <c r="W110" i="74"/>
  <c r="T110" i="74"/>
  <c r="W69" i="74"/>
  <c r="T69" i="74"/>
  <c r="W86" i="74"/>
  <c r="T86" i="74"/>
  <c r="W92" i="74"/>
  <c r="T92" i="74"/>
  <c r="W125" i="74"/>
  <c r="T125" i="74"/>
  <c r="W114" i="74"/>
  <c r="T114" i="74"/>
  <c r="W103" i="74"/>
  <c r="T103" i="74"/>
  <c r="T135" i="74"/>
  <c r="W135" i="74"/>
  <c r="W124" i="74"/>
  <c r="T124" i="74"/>
  <c r="W71" i="74"/>
  <c r="T71" i="74"/>
  <c r="W89" i="74"/>
  <c r="T89" i="74"/>
  <c r="W66" i="74"/>
  <c r="T66" i="74"/>
  <c r="W77" i="74"/>
  <c r="T77" i="74"/>
  <c r="W10" i="74"/>
  <c r="M80" i="74"/>
  <c r="O80" i="74" s="1"/>
  <c r="P80" i="74" s="1"/>
  <c r="M94" i="74"/>
  <c r="O94" i="74" s="1"/>
  <c r="P94" i="74" s="1"/>
  <c r="M64" i="74"/>
  <c r="O64" i="74" s="1"/>
  <c r="P64" i="74" s="1"/>
  <c r="M93" i="74"/>
  <c r="O93" i="74" s="1"/>
  <c r="P93" i="74" s="1"/>
  <c r="M99" i="74"/>
  <c r="O99" i="74" s="1"/>
  <c r="P99" i="74" s="1"/>
  <c r="M128" i="74"/>
  <c r="O128" i="74" s="1"/>
  <c r="P128" i="74" s="1"/>
  <c r="M117" i="74"/>
  <c r="O117" i="74" s="1"/>
  <c r="P117" i="74" s="1"/>
  <c r="M106" i="74"/>
  <c r="O106" i="74" s="1"/>
  <c r="P106" i="74" s="1"/>
  <c r="M138" i="74"/>
  <c r="O138" i="74" s="1"/>
  <c r="P138" i="74" s="1"/>
  <c r="M127" i="74"/>
  <c r="O127" i="74" s="1"/>
  <c r="P127" i="74" s="1"/>
  <c r="W99" i="74"/>
  <c r="T99" i="74"/>
  <c r="W75" i="74"/>
  <c r="T75" i="74"/>
  <c r="F14" i="74"/>
  <c r="V60" i="74"/>
  <c r="W82" i="74"/>
  <c r="T82" i="74"/>
  <c r="W121" i="74"/>
  <c r="T121" i="74"/>
  <c r="W142" i="74"/>
  <c r="T142" i="74"/>
  <c r="T131" i="74"/>
  <c r="W131" i="74"/>
  <c r="W120" i="74"/>
  <c r="T120" i="74"/>
  <c r="W90" i="74"/>
  <c r="T90" i="74"/>
  <c r="T96" i="74"/>
  <c r="W96" i="74"/>
  <c r="W129" i="74"/>
  <c r="T129" i="74"/>
  <c r="W118" i="74"/>
  <c r="T118" i="74"/>
  <c r="W107" i="74"/>
  <c r="T107" i="74"/>
  <c r="T139" i="74"/>
  <c r="W139" i="74"/>
  <c r="W128" i="74"/>
  <c r="T128" i="74"/>
  <c r="T87" i="74"/>
  <c r="W87" i="74"/>
  <c r="M84" i="74"/>
  <c r="O84" i="74" s="1"/>
  <c r="P84" i="74" s="1"/>
  <c r="M66" i="74"/>
  <c r="O66" i="74" s="1"/>
  <c r="P66" i="74" s="1"/>
  <c r="M68" i="74"/>
  <c r="O68" i="74" s="1"/>
  <c r="P68" i="74" s="1"/>
  <c r="M97" i="74"/>
  <c r="O97" i="74" s="1"/>
  <c r="P97" i="74" s="1"/>
  <c r="M100" i="74"/>
  <c r="O100" i="74" s="1"/>
  <c r="P100" i="74" s="1"/>
  <c r="M132" i="74"/>
  <c r="O132" i="74" s="1"/>
  <c r="P132" i="74" s="1"/>
  <c r="M121" i="74"/>
  <c r="O121" i="74" s="1"/>
  <c r="P121" i="74" s="1"/>
  <c r="M110" i="74"/>
  <c r="O110" i="74" s="1"/>
  <c r="P110" i="74" s="1"/>
  <c r="M142" i="74"/>
  <c r="O142" i="74" s="1"/>
  <c r="P142" i="74" s="1"/>
  <c r="W109" i="74"/>
  <c r="T109" i="74"/>
  <c r="W119" i="74"/>
  <c r="T119" i="74"/>
  <c r="W63" i="74"/>
  <c r="T63" i="74"/>
  <c r="W72" i="74"/>
  <c r="T72" i="74"/>
  <c r="W94" i="74"/>
  <c r="T94" i="74"/>
  <c r="W101" i="74"/>
  <c r="T101" i="74"/>
  <c r="W133" i="74"/>
  <c r="T133" i="74"/>
  <c r="W122" i="74"/>
  <c r="T122" i="74"/>
  <c r="W111" i="74"/>
  <c r="T111" i="74"/>
  <c r="W100" i="74"/>
  <c r="T100" i="74"/>
  <c r="W132" i="74"/>
  <c r="T132" i="74"/>
  <c r="W67" i="74"/>
  <c r="T67" i="74"/>
  <c r="W85" i="74"/>
  <c r="T85" i="74"/>
  <c r="W76" i="74"/>
  <c r="T76" i="74"/>
  <c r="W130" i="74"/>
  <c r="T130" i="74"/>
  <c r="W81" i="74"/>
  <c r="T81" i="74"/>
  <c r="W65" i="74"/>
  <c r="T65" i="74"/>
  <c r="W97" i="74"/>
  <c r="T97" i="74"/>
  <c r="W98" i="74"/>
  <c r="T98" i="74"/>
  <c r="W105" i="74"/>
  <c r="T105" i="74"/>
  <c r="W137" i="74"/>
  <c r="T137" i="74"/>
  <c r="W126" i="74"/>
  <c r="T126" i="74"/>
  <c r="W115" i="74"/>
  <c r="T115" i="74"/>
  <c r="W104" i="74"/>
  <c r="T104" i="74"/>
  <c r="W136" i="74"/>
  <c r="T136" i="74"/>
  <c r="F19" i="74"/>
  <c r="F23" i="74" s="1"/>
  <c r="F24" i="74" s="1"/>
  <c r="T83" i="74"/>
  <c r="W83" i="74"/>
  <c r="X20" i="74"/>
  <c r="X21" i="74"/>
  <c r="X19" i="74"/>
  <c r="M92" i="74"/>
  <c r="O92" i="74" s="1"/>
  <c r="P92" i="74" s="1"/>
  <c r="M63" i="74"/>
  <c r="O63" i="74" s="1"/>
  <c r="P63" i="74" s="1"/>
  <c r="M73" i="74"/>
  <c r="O73" i="74" s="1"/>
  <c r="P73" i="74" s="1"/>
  <c r="M79" i="74"/>
  <c r="O79" i="74" s="1"/>
  <c r="P79" i="74" s="1"/>
  <c r="M108" i="74"/>
  <c r="O108" i="74" s="1"/>
  <c r="P108" i="74" s="1"/>
  <c r="M140" i="74"/>
  <c r="O140" i="74" s="1"/>
  <c r="P140" i="74" s="1"/>
  <c r="M129" i="74"/>
  <c r="O129" i="74" s="1"/>
  <c r="P129" i="74" s="1"/>
  <c r="M118" i="74"/>
  <c r="O118" i="74" s="1"/>
  <c r="P118" i="74" s="1"/>
  <c r="M107" i="74"/>
  <c r="O107" i="74" s="1"/>
  <c r="P107" i="74" s="1"/>
  <c r="M139" i="74"/>
  <c r="O139" i="74" s="1"/>
  <c r="P139" i="74" s="1"/>
  <c r="M89" i="72"/>
  <c r="O89" i="72" s="1"/>
  <c r="P89" i="72" s="1"/>
  <c r="M80" i="72"/>
  <c r="O80" i="72" s="1"/>
  <c r="P80" i="72" s="1"/>
  <c r="M109" i="72"/>
  <c r="O109" i="72" s="1"/>
  <c r="P109" i="72" s="1"/>
  <c r="M130" i="72"/>
  <c r="O130" i="72" s="1"/>
  <c r="P130" i="72" s="1"/>
  <c r="M91" i="72"/>
  <c r="O91" i="72" s="1"/>
  <c r="P91" i="72" s="1"/>
  <c r="M79" i="72"/>
  <c r="O79" i="72" s="1"/>
  <c r="P79" i="72" s="1"/>
  <c r="M84" i="72"/>
  <c r="O84" i="72" s="1"/>
  <c r="P84" i="72" s="1"/>
  <c r="M113" i="72"/>
  <c r="O113" i="72" s="1"/>
  <c r="P113" i="72" s="1"/>
  <c r="M134" i="72"/>
  <c r="O134" i="72" s="1"/>
  <c r="P134" i="72" s="1"/>
  <c r="M75" i="72"/>
  <c r="O75" i="72" s="1"/>
  <c r="P75" i="72" s="1"/>
  <c r="W88" i="72"/>
  <c r="M99" i="72"/>
  <c r="O99" i="72" s="1"/>
  <c r="P99" i="72" s="1"/>
  <c r="M83" i="72"/>
  <c r="O83" i="72" s="1"/>
  <c r="P83" i="72" s="1"/>
  <c r="M88" i="72"/>
  <c r="O88" i="72" s="1"/>
  <c r="P88" i="72" s="1"/>
  <c r="M117" i="72"/>
  <c r="O117" i="72" s="1"/>
  <c r="P117" i="72" s="1"/>
  <c r="M138" i="72"/>
  <c r="O138" i="72" s="1"/>
  <c r="P138" i="72" s="1"/>
  <c r="M72" i="72"/>
  <c r="O72" i="72" s="1"/>
  <c r="P72" i="72" s="1"/>
  <c r="M87" i="72"/>
  <c r="O87" i="72" s="1"/>
  <c r="P87" i="72" s="1"/>
  <c r="M66" i="72"/>
  <c r="O66" i="72" s="1"/>
  <c r="P66" i="72" s="1"/>
  <c r="M107" i="72"/>
  <c r="O107" i="72" s="1"/>
  <c r="P107" i="72" s="1"/>
  <c r="W80" i="72"/>
  <c r="M69" i="72"/>
  <c r="O69" i="72" s="1"/>
  <c r="P69" i="72" s="1"/>
  <c r="M85" i="72"/>
  <c r="O85" i="72" s="1"/>
  <c r="P85" i="72" s="1"/>
  <c r="M128" i="72"/>
  <c r="O128" i="72" s="1"/>
  <c r="P128" i="72" s="1"/>
  <c r="M141" i="72"/>
  <c r="O141" i="72" s="1"/>
  <c r="P141" i="72" s="1"/>
  <c r="M123" i="72"/>
  <c r="O123" i="72" s="1"/>
  <c r="P123" i="72" s="1"/>
  <c r="M125" i="72"/>
  <c r="O125" i="72" s="1"/>
  <c r="P125" i="72" s="1"/>
  <c r="F19" i="72"/>
  <c r="F23" i="72" s="1"/>
  <c r="F24" i="72" s="1"/>
  <c r="M73" i="72"/>
  <c r="O73" i="72" s="1"/>
  <c r="P73" i="72" s="1"/>
  <c r="M94" i="72"/>
  <c r="O94" i="72" s="1"/>
  <c r="P94" i="72" s="1"/>
  <c r="M97" i="72"/>
  <c r="O97" i="72" s="1"/>
  <c r="P97" i="72" s="1"/>
  <c r="M102" i="72"/>
  <c r="O102" i="72" s="1"/>
  <c r="P102" i="72" s="1"/>
  <c r="M127" i="72"/>
  <c r="O127" i="72" s="1"/>
  <c r="P127" i="72" s="1"/>
  <c r="M96" i="72"/>
  <c r="O96" i="72" s="1"/>
  <c r="P96" i="72" s="1"/>
  <c r="M74" i="72"/>
  <c r="O74" i="72" s="1"/>
  <c r="P74" i="72" s="1"/>
  <c r="M63" i="72"/>
  <c r="O63" i="72" s="1"/>
  <c r="P63" i="72" s="1"/>
  <c r="M104" i="72"/>
  <c r="O104" i="72" s="1"/>
  <c r="P104" i="72" s="1"/>
  <c r="M106" i="72"/>
  <c r="O106" i="72" s="1"/>
  <c r="P106" i="72" s="1"/>
  <c r="M131" i="72"/>
  <c r="O131" i="72" s="1"/>
  <c r="P131" i="72" s="1"/>
  <c r="W79" i="72"/>
  <c r="W69" i="72"/>
  <c r="M78" i="72"/>
  <c r="O78" i="72" s="1"/>
  <c r="P78" i="72" s="1"/>
  <c r="M71" i="72"/>
  <c r="O71" i="72" s="1"/>
  <c r="P71" i="72" s="1"/>
  <c r="M112" i="72"/>
  <c r="O112" i="72" s="1"/>
  <c r="P112" i="72" s="1"/>
  <c r="M114" i="72"/>
  <c r="O114" i="72" s="1"/>
  <c r="P114" i="72" s="1"/>
  <c r="M139" i="72"/>
  <c r="O139" i="72" s="1"/>
  <c r="P139" i="72" s="1"/>
  <c r="T119" i="72"/>
  <c r="W119" i="72"/>
  <c r="W100" i="72"/>
  <c r="T100" i="72"/>
  <c r="T93" i="72"/>
  <c r="W93" i="72"/>
  <c r="W102" i="72"/>
  <c r="T102" i="72"/>
  <c r="T123" i="72"/>
  <c r="W123" i="72"/>
  <c r="W76" i="72"/>
  <c r="W68" i="72"/>
  <c r="T68" i="72"/>
  <c r="W121" i="72"/>
  <c r="T121" i="72"/>
  <c r="T97" i="72"/>
  <c r="W97" i="72"/>
  <c r="W106" i="72"/>
  <c r="T106" i="72"/>
  <c r="W138" i="72"/>
  <c r="T138" i="72"/>
  <c r="T127" i="72"/>
  <c r="W127" i="72"/>
  <c r="W120" i="72"/>
  <c r="T120" i="72"/>
  <c r="T63" i="72"/>
  <c r="W63" i="72"/>
  <c r="W74" i="72"/>
  <c r="T74" i="72"/>
  <c r="M124" i="72"/>
  <c r="O124" i="72" s="1"/>
  <c r="P124" i="72" s="1"/>
  <c r="M77" i="72"/>
  <c r="O77" i="72" s="1"/>
  <c r="P77" i="72" s="1"/>
  <c r="M86" i="72"/>
  <c r="O86" i="72" s="1"/>
  <c r="P86" i="72" s="1"/>
  <c r="M67" i="72"/>
  <c r="O67" i="72" s="1"/>
  <c r="P67" i="72" s="1"/>
  <c r="M92" i="72"/>
  <c r="O92" i="72" s="1"/>
  <c r="P92" i="72" s="1"/>
  <c r="M108" i="72"/>
  <c r="O108" i="72" s="1"/>
  <c r="P108" i="72" s="1"/>
  <c r="M121" i="72"/>
  <c r="O121" i="72" s="1"/>
  <c r="P121" i="72" s="1"/>
  <c r="M110" i="72"/>
  <c r="O110" i="72" s="1"/>
  <c r="P110" i="72" s="1"/>
  <c r="M142" i="72"/>
  <c r="O142" i="72" s="1"/>
  <c r="P142" i="72" s="1"/>
  <c r="M135" i="72"/>
  <c r="O135" i="72" s="1"/>
  <c r="P135" i="72" s="1"/>
  <c r="W130" i="72"/>
  <c r="T130" i="72"/>
  <c r="W134" i="72"/>
  <c r="T134" i="72"/>
  <c r="W141" i="72"/>
  <c r="T141" i="72"/>
  <c r="T131" i="72"/>
  <c r="W131" i="72"/>
  <c r="T89" i="72"/>
  <c r="W89" i="72"/>
  <c r="W133" i="72"/>
  <c r="T133" i="72"/>
  <c r="W116" i="72"/>
  <c r="T116" i="72"/>
  <c r="W95" i="72"/>
  <c r="T95" i="72"/>
  <c r="W91" i="72"/>
  <c r="T91" i="72"/>
  <c r="W129" i="72"/>
  <c r="T129" i="72"/>
  <c r="W142" i="72"/>
  <c r="T142" i="72"/>
  <c r="W124" i="72"/>
  <c r="T124" i="72"/>
  <c r="W73" i="72"/>
  <c r="T73" i="72"/>
  <c r="T135" i="72"/>
  <c r="W135" i="72"/>
  <c r="M132" i="72"/>
  <c r="O132" i="72" s="1"/>
  <c r="P132" i="72" s="1"/>
  <c r="W64" i="72"/>
  <c r="T64" i="72"/>
  <c r="W98" i="72"/>
  <c r="T98" i="72"/>
  <c r="T103" i="72"/>
  <c r="W103" i="72"/>
  <c r="W87" i="72"/>
  <c r="T87" i="72"/>
  <c r="V60" i="72"/>
  <c r="F14" i="72"/>
  <c r="T84" i="72"/>
  <c r="W84" i="72"/>
  <c r="W77" i="72"/>
  <c r="T77" i="72"/>
  <c r="W105" i="72"/>
  <c r="T105" i="72"/>
  <c r="W118" i="72"/>
  <c r="T118" i="72"/>
  <c r="T107" i="72"/>
  <c r="W107" i="72"/>
  <c r="T139" i="72"/>
  <c r="W139" i="72"/>
  <c r="W132" i="72"/>
  <c r="T132" i="72"/>
  <c r="W94" i="72"/>
  <c r="T94" i="72"/>
  <c r="W117" i="72"/>
  <c r="W83" i="72"/>
  <c r="T83" i="72"/>
  <c r="M103" i="72"/>
  <c r="O103" i="72" s="1"/>
  <c r="P103" i="72" s="1"/>
  <c r="M82" i="72"/>
  <c r="O82" i="72" s="1"/>
  <c r="P82" i="72" s="1"/>
  <c r="M90" i="72"/>
  <c r="O90" i="72" s="1"/>
  <c r="P90" i="72" s="1"/>
  <c r="M120" i="72"/>
  <c r="O120" i="72" s="1"/>
  <c r="P120" i="72" s="1"/>
  <c r="M116" i="72"/>
  <c r="O116" i="72" s="1"/>
  <c r="P116" i="72" s="1"/>
  <c r="M101" i="72"/>
  <c r="O101" i="72" s="1"/>
  <c r="P101" i="72" s="1"/>
  <c r="M133" i="72"/>
  <c r="O133" i="72" s="1"/>
  <c r="P133" i="72" s="1"/>
  <c r="M122" i="72"/>
  <c r="O122" i="72" s="1"/>
  <c r="P122" i="72" s="1"/>
  <c r="W112" i="72"/>
  <c r="T112" i="72"/>
  <c r="W110" i="72"/>
  <c r="T110" i="72"/>
  <c r="W114" i="72"/>
  <c r="T114" i="72"/>
  <c r="W128" i="72"/>
  <c r="T128" i="72"/>
  <c r="W70" i="72"/>
  <c r="T70" i="72"/>
  <c r="W96" i="72"/>
  <c r="T96" i="72"/>
  <c r="W86" i="72"/>
  <c r="T86" i="72"/>
  <c r="X21" i="72"/>
  <c r="X19" i="72"/>
  <c r="M68" i="72"/>
  <c r="O68" i="72" s="1"/>
  <c r="P68" i="72" s="1"/>
  <c r="M64" i="72"/>
  <c r="O64" i="72" s="1"/>
  <c r="P64" i="72" s="1"/>
  <c r="X20" i="72"/>
  <c r="I141" i="72"/>
  <c r="I137" i="72"/>
  <c r="I133" i="72"/>
  <c r="I129" i="72"/>
  <c r="I125" i="72"/>
  <c r="I121" i="72"/>
  <c r="I117" i="72"/>
  <c r="I113" i="72"/>
  <c r="I109" i="72"/>
  <c r="I105" i="72"/>
  <c r="H141" i="72"/>
  <c r="Q141" i="72" s="1"/>
  <c r="H137" i="72"/>
  <c r="Q137" i="72" s="1"/>
  <c r="H133" i="72"/>
  <c r="Q133" i="72" s="1"/>
  <c r="H129" i="72"/>
  <c r="Q129" i="72" s="1"/>
  <c r="H125" i="72"/>
  <c r="Q125" i="72" s="1"/>
  <c r="H121" i="72"/>
  <c r="Q121" i="72" s="1"/>
  <c r="H117" i="72"/>
  <c r="Q117" i="72" s="1"/>
  <c r="I140" i="72"/>
  <c r="I136" i="72"/>
  <c r="I132" i="72"/>
  <c r="I128" i="72"/>
  <c r="I124" i="72"/>
  <c r="I120" i="72"/>
  <c r="I116" i="72"/>
  <c r="I112" i="72"/>
  <c r="I108" i="72"/>
  <c r="I104" i="72"/>
  <c r="H140" i="72"/>
  <c r="Q140" i="72" s="1"/>
  <c r="H136" i="72"/>
  <c r="Q136" i="72" s="1"/>
  <c r="H132" i="72"/>
  <c r="Q132" i="72" s="1"/>
  <c r="H128" i="72"/>
  <c r="Q128" i="72" s="1"/>
  <c r="H124" i="72"/>
  <c r="Q124" i="72" s="1"/>
  <c r="H120" i="72"/>
  <c r="Q120" i="72" s="1"/>
  <c r="H116" i="72"/>
  <c r="Q116" i="72" s="1"/>
  <c r="I139" i="72"/>
  <c r="I135" i="72"/>
  <c r="I131" i="72"/>
  <c r="I127" i="72"/>
  <c r="I123" i="72"/>
  <c r="I119" i="72"/>
  <c r="I115" i="72"/>
  <c r="I111" i="72"/>
  <c r="I107" i="72"/>
  <c r="I103" i="72"/>
  <c r="H139" i="72"/>
  <c r="Q139" i="72" s="1"/>
  <c r="H135" i="72"/>
  <c r="Q135" i="72" s="1"/>
  <c r="H131" i="72"/>
  <c r="Q131" i="72" s="1"/>
  <c r="H127" i="72"/>
  <c r="Q127" i="72" s="1"/>
  <c r="H123" i="72"/>
  <c r="Q123" i="72" s="1"/>
  <c r="H142" i="72"/>
  <c r="Q142" i="72" s="1"/>
  <c r="H138" i="72"/>
  <c r="Q138" i="72" s="1"/>
  <c r="H134" i="72"/>
  <c r="Q134" i="72" s="1"/>
  <c r="H130" i="72"/>
  <c r="Q130" i="72" s="1"/>
  <c r="H126" i="72"/>
  <c r="Q126" i="72" s="1"/>
  <c r="H122" i="72"/>
  <c r="Q122" i="72" s="1"/>
  <c r="I130" i="72"/>
  <c r="H115" i="72"/>
  <c r="Q115" i="72" s="1"/>
  <c r="H113" i="72"/>
  <c r="Q113" i="72" s="1"/>
  <c r="H111" i="72"/>
  <c r="Q111" i="72" s="1"/>
  <c r="H109" i="72"/>
  <c r="Q109" i="72" s="1"/>
  <c r="I99" i="72"/>
  <c r="I142" i="72"/>
  <c r="I122" i="72"/>
  <c r="H103" i="72"/>
  <c r="Q103" i="72" s="1"/>
  <c r="H99" i="72"/>
  <c r="Q99" i="72" s="1"/>
  <c r="H95" i="72"/>
  <c r="Q95" i="72" s="1"/>
  <c r="H91" i="72"/>
  <c r="Q91" i="72" s="1"/>
  <c r="H87" i="72"/>
  <c r="Q87" i="72" s="1"/>
  <c r="I134" i="72"/>
  <c r="H119" i="72"/>
  <c r="Q119" i="72" s="1"/>
  <c r="I118" i="72"/>
  <c r="I114" i="72"/>
  <c r="I110" i="72"/>
  <c r="I106" i="72"/>
  <c r="I98" i="72"/>
  <c r="I94" i="72"/>
  <c r="I90" i="72"/>
  <c r="I86" i="72"/>
  <c r="I82" i="72"/>
  <c r="I78" i="72"/>
  <c r="I74" i="72"/>
  <c r="H118" i="72"/>
  <c r="Q118" i="72" s="1"/>
  <c r="H114" i="72"/>
  <c r="Q114" i="72" s="1"/>
  <c r="H112" i="72"/>
  <c r="Q112" i="72" s="1"/>
  <c r="H110" i="72"/>
  <c r="Q110" i="72" s="1"/>
  <c r="H108" i="72"/>
  <c r="Q108" i="72" s="1"/>
  <c r="H106" i="72"/>
  <c r="Q106" i="72" s="1"/>
  <c r="H104" i="72"/>
  <c r="Q104" i="72" s="1"/>
  <c r="H98" i="72"/>
  <c r="Q98" i="72" s="1"/>
  <c r="I126" i="72"/>
  <c r="I138" i="72"/>
  <c r="I101" i="72"/>
  <c r="H97" i="72"/>
  <c r="Q97" i="72" s="1"/>
  <c r="H93" i="72"/>
  <c r="Q93" i="72" s="1"/>
  <c r="H89" i="72"/>
  <c r="Q89" i="72" s="1"/>
  <c r="I93" i="72"/>
  <c r="I91" i="72"/>
  <c r="H83" i="72"/>
  <c r="Q83" i="72" s="1"/>
  <c r="H82" i="72"/>
  <c r="Q82" i="72" s="1"/>
  <c r="H81" i="72"/>
  <c r="Q81" i="72" s="1"/>
  <c r="H80" i="72"/>
  <c r="Q80" i="72" s="1"/>
  <c r="H79" i="72"/>
  <c r="Q79" i="72" s="1"/>
  <c r="H78" i="72"/>
  <c r="Q78" i="72" s="1"/>
  <c r="H77" i="72"/>
  <c r="Q77" i="72" s="1"/>
  <c r="H76" i="72"/>
  <c r="Q76" i="72" s="1"/>
  <c r="H75" i="72"/>
  <c r="Q75" i="72" s="1"/>
  <c r="H74" i="72"/>
  <c r="Q74" i="72" s="1"/>
  <c r="I73" i="72"/>
  <c r="I69" i="72"/>
  <c r="I65" i="72"/>
  <c r="I20" i="72"/>
  <c r="J20" i="72" s="1"/>
  <c r="I97" i="72"/>
  <c r="I89" i="72"/>
  <c r="I87" i="72"/>
  <c r="I84" i="72"/>
  <c r="H73" i="72"/>
  <c r="Q73" i="72" s="1"/>
  <c r="H69" i="72"/>
  <c r="Q69" i="72" s="1"/>
  <c r="H65" i="72"/>
  <c r="Q65" i="72" s="1"/>
  <c r="H86" i="72"/>
  <c r="Q86" i="72" s="1"/>
  <c r="H105" i="72"/>
  <c r="Q105" i="72" s="1"/>
  <c r="H84" i="72"/>
  <c r="Q84" i="72" s="1"/>
  <c r="I72" i="72"/>
  <c r="I68" i="72"/>
  <c r="I64" i="72"/>
  <c r="H88" i="72"/>
  <c r="Q88" i="72" s="1"/>
  <c r="I96" i="72"/>
  <c r="I85" i="72"/>
  <c r="H72" i="72"/>
  <c r="Q72" i="72" s="1"/>
  <c r="H68" i="72"/>
  <c r="Q68" i="72" s="1"/>
  <c r="H64" i="72"/>
  <c r="Q64" i="72" s="1"/>
  <c r="H96" i="72"/>
  <c r="Q96" i="72" s="1"/>
  <c r="H94" i="72"/>
  <c r="Q94" i="72" s="1"/>
  <c r="I92" i="72"/>
  <c r="H85" i="72"/>
  <c r="Q85" i="72" s="1"/>
  <c r="I71" i="72"/>
  <c r="I67" i="72"/>
  <c r="I63" i="72"/>
  <c r="H101" i="72"/>
  <c r="Q101" i="72" s="1"/>
  <c r="H92" i="72"/>
  <c r="Q92" i="72" s="1"/>
  <c r="H90" i="72"/>
  <c r="Q90" i="72" s="1"/>
  <c r="I88" i="72"/>
  <c r="H71" i="72"/>
  <c r="Q71" i="72" s="1"/>
  <c r="H67" i="72"/>
  <c r="Q67" i="72" s="1"/>
  <c r="H63" i="72"/>
  <c r="Q63" i="72" s="1"/>
  <c r="H107" i="72"/>
  <c r="Q107" i="72" s="1"/>
  <c r="I102" i="72"/>
  <c r="I100" i="72"/>
  <c r="H102" i="72"/>
  <c r="Q102" i="72" s="1"/>
  <c r="H100" i="72"/>
  <c r="Q100" i="72" s="1"/>
  <c r="I95" i="72"/>
  <c r="I83" i="72"/>
  <c r="I81" i="72"/>
  <c r="I80" i="72"/>
  <c r="I79" i="72"/>
  <c r="I77" i="72"/>
  <c r="I76" i="72"/>
  <c r="I75" i="72"/>
  <c r="H70" i="72"/>
  <c r="Q70" i="72" s="1"/>
  <c r="H66" i="72"/>
  <c r="Q66" i="72" s="1"/>
  <c r="I66" i="72"/>
  <c r="I70" i="72"/>
  <c r="M98" i="72"/>
  <c r="O98" i="72" s="1"/>
  <c r="P98" i="72" s="1"/>
  <c r="M81" i="72"/>
  <c r="O81" i="72" s="1"/>
  <c r="P81" i="72" s="1"/>
  <c r="M70" i="72"/>
  <c r="O70" i="72" s="1"/>
  <c r="P70" i="72" s="1"/>
  <c r="M100" i="72"/>
  <c r="O100" i="72" s="1"/>
  <c r="P100" i="72" s="1"/>
  <c r="M136" i="72"/>
  <c r="O136" i="72" s="1"/>
  <c r="P136" i="72" s="1"/>
  <c r="M129" i="72"/>
  <c r="O129" i="72" s="1"/>
  <c r="P129" i="72" s="1"/>
  <c r="M118" i="72"/>
  <c r="O118" i="72" s="1"/>
  <c r="P118" i="72" s="1"/>
  <c r="M111" i="72"/>
  <c r="O111" i="72" s="1"/>
  <c r="P111" i="72" s="1"/>
  <c r="W11" i="72"/>
  <c r="W81" i="72"/>
  <c r="T81" i="72"/>
  <c r="W109" i="72"/>
  <c r="T109" i="72"/>
  <c r="W122" i="72"/>
  <c r="T122" i="72"/>
  <c r="T111" i="72"/>
  <c r="W111" i="72"/>
  <c r="W104" i="72"/>
  <c r="T104" i="72"/>
  <c r="W136" i="72"/>
  <c r="T136" i="72"/>
  <c r="T71" i="72"/>
  <c r="W71" i="72"/>
  <c r="W66" i="72"/>
  <c r="T66" i="72"/>
  <c r="W92" i="72"/>
  <c r="T92" i="72"/>
  <c r="W125" i="72"/>
  <c r="T125" i="72"/>
  <c r="W82" i="72"/>
  <c r="T82" i="72"/>
  <c r="W10" i="72"/>
  <c r="M65" i="72"/>
  <c r="O65" i="72" s="1"/>
  <c r="P65" i="72" s="1"/>
  <c r="M95" i="72"/>
  <c r="O95" i="72" s="1"/>
  <c r="P95" i="72" s="1"/>
  <c r="M93" i="72"/>
  <c r="O93" i="72" s="1"/>
  <c r="P93" i="72" s="1"/>
  <c r="M76" i="72"/>
  <c r="O76" i="72" s="1"/>
  <c r="P76" i="72" s="1"/>
  <c r="M140" i="72"/>
  <c r="O140" i="72" s="1"/>
  <c r="P140" i="72" s="1"/>
  <c r="M105" i="72"/>
  <c r="O105" i="72" s="1"/>
  <c r="P105" i="72" s="1"/>
  <c r="M137" i="72"/>
  <c r="O137" i="72" s="1"/>
  <c r="P137" i="72" s="1"/>
  <c r="M126" i="72"/>
  <c r="O126" i="72" s="1"/>
  <c r="P126" i="72" s="1"/>
  <c r="M119" i="72"/>
  <c r="O119" i="72" s="1"/>
  <c r="P119" i="72" s="1"/>
  <c r="W75" i="72"/>
  <c r="T85" i="72"/>
  <c r="W85" i="72"/>
  <c r="W113" i="72"/>
  <c r="T113" i="72"/>
  <c r="W126" i="72"/>
  <c r="T126" i="72"/>
  <c r="T115" i="72"/>
  <c r="W115" i="72"/>
  <c r="W108" i="72"/>
  <c r="T108" i="72"/>
  <c r="W140" i="72"/>
  <c r="T140" i="72"/>
  <c r="W90" i="72"/>
  <c r="W72" i="72"/>
  <c r="T72" i="72"/>
  <c r="W101" i="72"/>
  <c r="T101" i="72"/>
  <c r="W137" i="72"/>
  <c r="T137" i="72"/>
  <c r="T67" i="72"/>
  <c r="W67" i="72"/>
  <c r="W78" i="72"/>
  <c r="T78" i="72"/>
  <c r="J18" i="72"/>
  <c r="W65" i="72"/>
  <c r="T85" i="71"/>
  <c r="W85" i="71"/>
  <c r="W78" i="71"/>
  <c r="T78" i="71"/>
  <c r="W137" i="71"/>
  <c r="T137" i="71"/>
  <c r="W130" i="71"/>
  <c r="T130" i="71"/>
  <c r="T119" i="71"/>
  <c r="W119" i="71"/>
  <c r="W140" i="71"/>
  <c r="T140" i="71"/>
  <c r="T89" i="71"/>
  <c r="W89" i="71"/>
  <c r="T82" i="71"/>
  <c r="W82" i="71"/>
  <c r="W134" i="71"/>
  <c r="T134" i="71"/>
  <c r="T123" i="71"/>
  <c r="W123" i="71"/>
  <c r="W129" i="71"/>
  <c r="T129" i="71"/>
  <c r="T93" i="71"/>
  <c r="W93" i="71"/>
  <c r="W106" i="71"/>
  <c r="T106" i="71"/>
  <c r="W65" i="71"/>
  <c r="T65" i="71"/>
  <c r="T76" i="71"/>
  <c r="W76" i="71"/>
  <c r="W109" i="71"/>
  <c r="T109" i="71"/>
  <c r="T97" i="71"/>
  <c r="W97" i="71"/>
  <c r="T90" i="71"/>
  <c r="W90" i="71"/>
  <c r="W110" i="71"/>
  <c r="T110" i="71"/>
  <c r="W142" i="71"/>
  <c r="T142" i="71"/>
  <c r="T131" i="71"/>
  <c r="W131" i="71"/>
  <c r="W95" i="71"/>
  <c r="T95" i="71"/>
  <c r="W70" i="71"/>
  <c r="T70" i="71"/>
  <c r="W105" i="71"/>
  <c r="T105" i="71"/>
  <c r="T83" i="71"/>
  <c r="W83" i="71"/>
  <c r="W117" i="71"/>
  <c r="T117" i="71"/>
  <c r="T94" i="71"/>
  <c r="W94" i="71"/>
  <c r="W103" i="71"/>
  <c r="T103" i="71"/>
  <c r="T135" i="71"/>
  <c r="W135" i="71"/>
  <c r="W121" i="71"/>
  <c r="T121" i="71"/>
  <c r="W80" i="71"/>
  <c r="T80" i="71"/>
  <c r="W114" i="71"/>
  <c r="T114" i="71"/>
  <c r="W64" i="71"/>
  <c r="T64" i="71"/>
  <c r="W84" i="71"/>
  <c r="T84" i="71"/>
  <c r="T98" i="71"/>
  <c r="W98" i="71"/>
  <c r="T107" i="71"/>
  <c r="W107" i="71"/>
  <c r="T63" i="71"/>
  <c r="W63" i="71"/>
  <c r="V60" i="71"/>
  <c r="F14" i="71"/>
  <c r="W88" i="71"/>
  <c r="T88" i="71"/>
  <c r="W120" i="71"/>
  <c r="T120" i="71"/>
  <c r="W108" i="71"/>
  <c r="T108" i="71"/>
  <c r="W125" i="71"/>
  <c r="T125" i="71"/>
  <c r="W122" i="71"/>
  <c r="T122" i="71"/>
  <c r="T111" i="71"/>
  <c r="W111" i="71"/>
  <c r="W132" i="71"/>
  <c r="T132" i="71"/>
  <c r="I141" i="71"/>
  <c r="I137" i="71"/>
  <c r="I133" i="71"/>
  <c r="H141" i="71"/>
  <c r="Q141" i="71" s="1"/>
  <c r="H137" i="71"/>
  <c r="Q137" i="71" s="1"/>
  <c r="H133" i="71"/>
  <c r="Q133" i="71" s="1"/>
  <c r="H129" i="71"/>
  <c r="Q129" i="71" s="1"/>
  <c r="H125" i="71"/>
  <c r="Q125" i="71" s="1"/>
  <c r="H121" i="71"/>
  <c r="Q121" i="71" s="1"/>
  <c r="H117" i="71"/>
  <c r="Q117" i="71" s="1"/>
  <c r="H113" i="71"/>
  <c r="Q113" i="71" s="1"/>
  <c r="H109" i="71"/>
  <c r="Q109" i="71" s="1"/>
  <c r="I140" i="71"/>
  <c r="I136" i="71"/>
  <c r="I132" i="71"/>
  <c r="I128" i="71"/>
  <c r="I124" i="71"/>
  <c r="I120" i="71"/>
  <c r="I116" i="71"/>
  <c r="I112" i="71"/>
  <c r="I108" i="71"/>
  <c r="I104" i="71"/>
  <c r="H140" i="71"/>
  <c r="Q140" i="71" s="1"/>
  <c r="H136" i="71"/>
  <c r="Q136" i="71" s="1"/>
  <c r="I139" i="71"/>
  <c r="I135" i="71"/>
  <c r="I131" i="71"/>
  <c r="I127" i="71"/>
  <c r="I123" i="71"/>
  <c r="I119" i="71"/>
  <c r="I115" i="71"/>
  <c r="I111" i="71"/>
  <c r="I107" i="71"/>
  <c r="I103" i="71"/>
  <c r="H139" i="71"/>
  <c r="Q139" i="71" s="1"/>
  <c r="H135" i="71"/>
  <c r="Q135" i="71" s="1"/>
  <c r="H131" i="71"/>
  <c r="Q131" i="71" s="1"/>
  <c r="H127" i="71"/>
  <c r="Q127" i="71" s="1"/>
  <c r="H123" i="71"/>
  <c r="Q123" i="71" s="1"/>
  <c r="H119" i="71"/>
  <c r="Q119" i="71" s="1"/>
  <c r="H142" i="71"/>
  <c r="Q142" i="71" s="1"/>
  <c r="H138" i="71"/>
  <c r="Q138" i="71" s="1"/>
  <c r="H134" i="71"/>
  <c r="Q134" i="71" s="1"/>
  <c r="H130" i="71"/>
  <c r="Q130" i="71" s="1"/>
  <c r="H126" i="71"/>
  <c r="Q126" i="71" s="1"/>
  <c r="H122" i="71"/>
  <c r="Q122" i="71" s="1"/>
  <c r="H118" i="71"/>
  <c r="Q118" i="71" s="1"/>
  <c r="H114" i="71"/>
  <c r="Q114" i="71" s="1"/>
  <c r="H132" i="71"/>
  <c r="Q132" i="71" s="1"/>
  <c r="H124" i="71"/>
  <c r="Q124" i="71" s="1"/>
  <c r="I122" i="71"/>
  <c r="I121" i="71"/>
  <c r="I110" i="71"/>
  <c r="I106" i="71"/>
  <c r="I102" i="71"/>
  <c r="H100" i="71"/>
  <c r="Q100" i="71" s="1"/>
  <c r="H96" i="71"/>
  <c r="Q96" i="71" s="1"/>
  <c r="H92" i="71"/>
  <c r="Q92" i="71" s="1"/>
  <c r="H88" i="71"/>
  <c r="Q88" i="71" s="1"/>
  <c r="H84" i="71"/>
  <c r="Q84" i="71" s="1"/>
  <c r="H80" i="71"/>
  <c r="Q80" i="71" s="1"/>
  <c r="I113" i="71"/>
  <c r="H110" i="71"/>
  <c r="Q110" i="71" s="1"/>
  <c r="H108" i="71"/>
  <c r="Q108" i="71" s="1"/>
  <c r="H106" i="71"/>
  <c r="Q106" i="71" s="1"/>
  <c r="H102" i="71"/>
  <c r="Q102" i="71" s="1"/>
  <c r="I99" i="71"/>
  <c r="I95" i="71"/>
  <c r="I91" i="71"/>
  <c r="I87" i="71"/>
  <c r="I83" i="71"/>
  <c r="I79" i="71"/>
  <c r="I142" i="71"/>
  <c r="H120" i="71"/>
  <c r="Q120" i="71" s="1"/>
  <c r="I118" i="71"/>
  <c r="I117" i="71"/>
  <c r="H99" i="71"/>
  <c r="Q99" i="71" s="1"/>
  <c r="H95" i="71"/>
  <c r="Q95" i="71" s="1"/>
  <c r="H91" i="71"/>
  <c r="Q91" i="71" s="1"/>
  <c r="H87" i="71"/>
  <c r="Q87" i="71" s="1"/>
  <c r="H83" i="71"/>
  <c r="Q83" i="71" s="1"/>
  <c r="I134" i="71"/>
  <c r="H103" i="71"/>
  <c r="Q103" i="71" s="1"/>
  <c r="I98" i="71"/>
  <c r="I94" i="71"/>
  <c r="I90" i="71"/>
  <c r="I86" i="71"/>
  <c r="I130" i="71"/>
  <c r="I129" i="71"/>
  <c r="H116" i="71"/>
  <c r="Q116" i="71" s="1"/>
  <c r="H112" i="71"/>
  <c r="Q112" i="71" s="1"/>
  <c r="I109" i="71"/>
  <c r="H98" i="71"/>
  <c r="Q98" i="71" s="1"/>
  <c r="H94" i="71"/>
  <c r="Q94" i="71" s="1"/>
  <c r="H107" i="71"/>
  <c r="Q107" i="71" s="1"/>
  <c r="H104" i="71"/>
  <c r="Q104" i="71" s="1"/>
  <c r="I97" i="71"/>
  <c r="I93" i="71"/>
  <c r="I89" i="71"/>
  <c r="I85" i="71"/>
  <c r="I81" i="71"/>
  <c r="I77" i="71"/>
  <c r="I101" i="71"/>
  <c r="H90" i="71"/>
  <c r="Q90" i="71" s="1"/>
  <c r="H89" i="71"/>
  <c r="Q89" i="71" s="1"/>
  <c r="I88" i="71"/>
  <c r="I73" i="71"/>
  <c r="I69" i="71"/>
  <c r="I65" i="71"/>
  <c r="I20" i="71"/>
  <c r="J20" i="71" s="1"/>
  <c r="I126" i="71"/>
  <c r="H101" i="71"/>
  <c r="Q101" i="71" s="1"/>
  <c r="I96" i="71"/>
  <c r="H86" i="71"/>
  <c r="Q86" i="71" s="1"/>
  <c r="I82" i="71"/>
  <c r="I80" i="71"/>
  <c r="H73" i="71"/>
  <c r="Q73" i="71" s="1"/>
  <c r="H69" i="71"/>
  <c r="Q69" i="71" s="1"/>
  <c r="H65" i="71"/>
  <c r="Q65" i="71" s="1"/>
  <c r="H128" i="71"/>
  <c r="Q128" i="71" s="1"/>
  <c r="H115" i="71"/>
  <c r="Q115" i="71" s="1"/>
  <c r="I105" i="71"/>
  <c r="H85" i="71"/>
  <c r="Q85" i="71" s="1"/>
  <c r="H82" i="71"/>
  <c r="Q82" i="71" s="1"/>
  <c r="I72" i="71"/>
  <c r="I68" i="71"/>
  <c r="I64" i="71"/>
  <c r="H105" i="71"/>
  <c r="Q105" i="71" s="1"/>
  <c r="H97" i="71"/>
  <c r="Q97" i="71" s="1"/>
  <c r="I76" i="71"/>
  <c r="H72" i="71"/>
  <c r="Q72" i="71" s="1"/>
  <c r="H68" i="71"/>
  <c r="Q68" i="71" s="1"/>
  <c r="H64" i="71"/>
  <c r="Q64" i="71" s="1"/>
  <c r="I66" i="71"/>
  <c r="H111" i="71"/>
  <c r="Q111" i="71" s="1"/>
  <c r="I84" i="71"/>
  <c r="I78" i="71"/>
  <c r="H77" i="71"/>
  <c r="Q77" i="71" s="1"/>
  <c r="H76" i="71"/>
  <c r="Q76" i="71" s="1"/>
  <c r="I75" i="71"/>
  <c r="I71" i="71"/>
  <c r="I67" i="71"/>
  <c r="I63" i="71"/>
  <c r="I125" i="71"/>
  <c r="H78" i="71"/>
  <c r="Q78" i="71" s="1"/>
  <c r="H75" i="71"/>
  <c r="Q75" i="71" s="1"/>
  <c r="H71" i="71"/>
  <c r="Q71" i="71" s="1"/>
  <c r="H67" i="71"/>
  <c r="Q67" i="71" s="1"/>
  <c r="H63" i="71"/>
  <c r="Q63" i="71" s="1"/>
  <c r="I70" i="71"/>
  <c r="I114" i="71"/>
  <c r="I100" i="71"/>
  <c r="H81" i="71"/>
  <c r="Q81" i="71" s="1"/>
  <c r="I74" i="71"/>
  <c r="I138" i="71"/>
  <c r="H93" i="71"/>
  <c r="Q93" i="71" s="1"/>
  <c r="I92" i="71"/>
  <c r="H79" i="71"/>
  <c r="Q79" i="71" s="1"/>
  <c r="H74" i="71"/>
  <c r="Q74" i="71" s="1"/>
  <c r="H70" i="71"/>
  <c r="Q70" i="71" s="1"/>
  <c r="H66" i="71"/>
  <c r="Q66" i="71" s="1"/>
  <c r="J21" i="71"/>
  <c r="W66" i="71"/>
  <c r="T66" i="71"/>
  <c r="W113" i="71"/>
  <c r="T113" i="71"/>
  <c r="F19" i="71"/>
  <c r="F23" i="71" s="1"/>
  <c r="F24" i="71" s="1"/>
  <c r="W133" i="71"/>
  <c r="T133" i="71"/>
  <c r="W118" i="71"/>
  <c r="T118" i="71"/>
  <c r="T139" i="71"/>
  <c r="W139" i="71"/>
  <c r="W87" i="71"/>
  <c r="T87" i="71"/>
  <c r="W72" i="71"/>
  <c r="T72" i="71"/>
  <c r="E27" i="71"/>
  <c r="W92" i="71"/>
  <c r="T92" i="71"/>
  <c r="W141" i="71"/>
  <c r="T141" i="71"/>
  <c r="W124" i="71"/>
  <c r="T124" i="71"/>
  <c r="W128" i="71"/>
  <c r="T128" i="71"/>
  <c r="W126" i="71"/>
  <c r="T126" i="71"/>
  <c r="T115" i="71"/>
  <c r="W115" i="71"/>
  <c r="W136" i="71"/>
  <c r="T136" i="71"/>
  <c r="T71" i="71"/>
  <c r="W71" i="71"/>
  <c r="J18" i="71"/>
  <c r="W77" i="71"/>
  <c r="T77" i="71"/>
  <c r="W112" i="71"/>
  <c r="T112" i="71"/>
  <c r="W73" i="71"/>
  <c r="T73" i="71"/>
  <c r="W11" i="71"/>
  <c r="W74" i="71"/>
  <c r="T74" i="71"/>
  <c r="W101" i="71"/>
  <c r="T101" i="71"/>
  <c r="W69" i="71"/>
  <c r="T69" i="71"/>
  <c r="W96" i="71"/>
  <c r="T96" i="71"/>
  <c r="T102" i="71"/>
  <c r="W102" i="71"/>
  <c r="W116" i="71"/>
  <c r="T116" i="71"/>
  <c r="W81" i="71"/>
  <c r="T81" i="71"/>
  <c r="W99" i="71"/>
  <c r="T99" i="71"/>
  <c r="W100" i="71"/>
  <c r="T100" i="71"/>
  <c r="W68" i="71"/>
  <c r="T68" i="71"/>
  <c r="W104" i="71"/>
  <c r="T104" i="71"/>
  <c r="T86" i="71"/>
  <c r="W86" i="71"/>
  <c r="W138" i="71"/>
  <c r="T138" i="71"/>
  <c r="T127" i="71"/>
  <c r="W127" i="71"/>
  <c r="T67" i="71"/>
  <c r="W67" i="71"/>
  <c r="W91" i="71"/>
  <c r="T91" i="71"/>
  <c r="W79" i="71"/>
  <c r="T79" i="71"/>
  <c r="W75" i="71"/>
  <c r="G10" i="64"/>
  <c r="R142" i="70"/>
  <c r="B142" i="70" s="1"/>
  <c r="G142" i="70"/>
  <c r="N142" i="70" s="1"/>
  <c r="R141" i="70"/>
  <c r="B141" i="70" s="1"/>
  <c r="G141" i="70"/>
  <c r="N141" i="70" s="1"/>
  <c r="R140" i="70"/>
  <c r="B140" i="70" s="1"/>
  <c r="G140" i="70"/>
  <c r="N140" i="70" s="1"/>
  <c r="R139" i="70"/>
  <c r="B139" i="70" s="1"/>
  <c r="G139" i="70"/>
  <c r="N139" i="70" s="1"/>
  <c r="R138" i="70"/>
  <c r="B138" i="70" s="1"/>
  <c r="G138" i="70"/>
  <c r="N138" i="70" s="1"/>
  <c r="R137" i="70"/>
  <c r="B137" i="70" s="1"/>
  <c r="G137" i="70"/>
  <c r="N137" i="70" s="1"/>
  <c r="R136" i="70"/>
  <c r="B136" i="70" s="1"/>
  <c r="G136" i="70"/>
  <c r="N136" i="70" s="1"/>
  <c r="R135" i="70"/>
  <c r="B135" i="70" s="1"/>
  <c r="G135" i="70"/>
  <c r="N135" i="70" s="1"/>
  <c r="R134" i="70"/>
  <c r="B134" i="70" s="1"/>
  <c r="G134" i="70"/>
  <c r="N134" i="70" s="1"/>
  <c r="R133" i="70"/>
  <c r="B133" i="70" s="1"/>
  <c r="G133" i="70"/>
  <c r="N133" i="70" s="1"/>
  <c r="R132" i="70"/>
  <c r="B132" i="70" s="1"/>
  <c r="N132" i="70"/>
  <c r="G132" i="70"/>
  <c r="R131" i="70"/>
  <c r="B131" i="70" s="1"/>
  <c r="G131" i="70"/>
  <c r="N131" i="70" s="1"/>
  <c r="R130" i="70"/>
  <c r="B130" i="70" s="1"/>
  <c r="G130" i="70"/>
  <c r="N130" i="70" s="1"/>
  <c r="R129" i="70"/>
  <c r="B129" i="70" s="1"/>
  <c r="G129" i="70"/>
  <c r="N129" i="70" s="1"/>
  <c r="R128" i="70"/>
  <c r="B128" i="70" s="1"/>
  <c r="G128" i="70"/>
  <c r="N128" i="70" s="1"/>
  <c r="R127" i="70"/>
  <c r="B127" i="70" s="1"/>
  <c r="G127" i="70"/>
  <c r="N127" i="70" s="1"/>
  <c r="R126" i="70"/>
  <c r="B126" i="70" s="1"/>
  <c r="G126" i="70"/>
  <c r="N126" i="70" s="1"/>
  <c r="R125" i="70"/>
  <c r="B125" i="70" s="1"/>
  <c r="G125" i="70"/>
  <c r="N125" i="70" s="1"/>
  <c r="R124" i="70"/>
  <c r="B124" i="70" s="1"/>
  <c r="N124" i="70"/>
  <c r="G124" i="70"/>
  <c r="R123" i="70"/>
  <c r="B123" i="70" s="1"/>
  <c r="G123" i="70"/>
  <c r="N123" i="70" s="1"/>
  <c r="R122" i="70"/>
  <c r="B122" i="70" s="1"/>
  <c r="G122" i="70"/>
  <c r="N122" i="70" s="1"/>
  <c r="R121" i="70"/>
  <c r="B121" i="70" s="1"/>
  <c r="N121" i="70"/>
  <c r="G121" i="70"/>
  <c r="R120" i="70"/>
  <c r="B120" i="70" s="1"/>
  <c r="G120" i="70"/>
  <c r="N120" i="70" s="1"/>
  <c r="R119" i="70"/>
  <c r="B119" i="70" s="1"/>
  <c r="G119" i="70"/>
  <c r="N119" i="70" s="1"/>
  <c r="R118" i="70"/>
  <c r="B118" i="70" s="1"/>
  <c r="N118" i="70"/>
  <c r="G118" i="70"/>
  <c r="R117" i="70"/>
  <c r="B117" i="70" s="1"/>
  <c r="N117" i="70"/>
  <c r="G117" i="70"/>
  <c r="R116" i="70"/>
  <c r="B116" i="70" s="1"/>
  <c r="N116" i="70"/>
  <c r="G116" i="70"/>
  <c r="R115" i="70"/>
  <c r="B115" i="70" s="1"/>
  <c r="G115" i="70"/>
  <c r="N115" i="70" s="1"/>
  <c r="R114" i="70"/>
  <c r="B114" i="70" s="1"/>
  <c r="N114" i="70"/>
  <c r="G114" i="70"/>
  <c r="R113" i="70"/>
  <c r="B113" i="70" s="1"/>
  <c r="N113" i="70"/>
  <c r="G113" i="70"/>
  <c r="S112" i="70"/>
  <c r="R112" i="70"/>
  <c r="B112" i="70" s="1"/>
  <c r="N112" i="70"/>
  <c r="G112" i="70"/>
  <c r="S111" i="70"/>
  <c r="R111" i="70"/>
  <c r="B111" i="70" s="1"/>
  <c r="G111" i="70"/>
  <c r="N111" i="70" s="1"/>
  <c r="R110" i="70"/>
  <c r="B110" i="70" s="1"/>
  <c r="G110" i="70"/>
  <c r="N110" i="70" s="1"/>
  <c r="S109" i="70"/>
  <c r="T109" i="70" s="1"/>
  <c r="R109" i="70"/>
  <c r="B109" i="70" s="1"/>
  <c r="N109" i="70"/>
  <c r="G109" i="70"/>
  <c r="R108" i="70"/>
  <c r="B108" i="70" s="1"/>
  <c r="N108" i="70"/>
  <c r="G108" i="70"/>
  <c r="R107" i="70"/>
  <c r="B107" i="70" s="1"/>
  <c r="G107" i="70"/>
  <c r="N107" i="70" s="1"/>
  <c r="R106" i="70"/>
  <c r="B106" i="70" s="1"/>
  <c r="G106" i="70"/>
  <c r="N106" i="70" s="1"/>
  <c r="R105" i="70"/>
  <c r="B105" i="70" s="1"/>
  <c r="G105" i="70"/>
  <c r="N105" i="70" s="1"/>
  <c r="R104" i="70"/>
  <c r="B104" i="70" s="1"/>
  <c r="N104" i="70"/>
  <c r="G104" i="70"/>
  <c r="R103" i="70"/>
  <c r="B103" i="70" s="1"/>
  <c r="G103" i="70"/>
  <c r="N103" i="70" s="1"/>
  <c r="R102" i="70"/>
  <c r="B102" i="70" s="1"/>
  <c r="G102" i="70"/>
  <c r="N102" i="70" s="1"/>
  <c r="R101" i="70"/>
  <c r="B101" i="70" s="1"/>
  <c r="G101" i="70"/>
  <c r="N101" i="70" s="1"/>
  <c r="R100" i="70"/>
  <c r="B100" i="70" s="1"/>
  <c r="G100" i="70"/>
  <c r="N100" i="70" s="1"/>
  <c r="R99" i="70"/>
  <c r="B99" i="70" s="1"/>
  <c r="G99" i="70"/>
  <c r="N99" i="70" s="1"/>
  <c r="R98" i="70"/>
  <c r="B98" i="70" s="1"/>
  <c r="G98" i="70"/>
  <c r="N98" i="70" s="1"/>
  <c r="R97" i="70"/>
  <c r="B97" i="70" s="1"/>
  <c r="N97" i="70"/>
  <c r="G97" i="70"/>
  <c r="R96" i="70"/>
  <c r="B96" i="70" s="1"/>
  <c r="N96" i="70"/>
  <c r="G96" i="70"/>
  <c r="R95" i="70"/>
  <c r="B95" i="70" s="1"/>
  <c r="G95" i="70"/>
  <c r="N95" i="70" s="1"/>
  <c r="R94" i="70"/>
  <c r="B94" i="70" s="1"/>
  <c r="G94" i="70"/>
  <c r="N94" i="70" s="1"/>
  <c r="R93" i="70"/>
  <c r="B93" i="70" s="1"/>
  <c r="G93" i="70"/>
  <c r="N93" i="70" s="1"/>
  <c r="R92" i="70"/>
  <c r="B92" i="70" s="1"/>
  <c r="G92" i="70"/>
  <c r="N92" i="70" s="1"/>
  <c r="R91" i="70"/>
  <c r="B91" i="70" s="1"/>
  <c r="G91" i="70"/>
  <c r="N91" i="70" s="1"/>
  <c r="R90" i="70"/>
  <c r="B90" i="70" s="1"/>
  <c r="G90" i="70"/>
  <c r="N90" i="70" s="1"/>
  <c r="U89" i="70"/>
  <c r="V89" i="70" s="1"/>
  <c r="R89" i="70"/>
  <c r="B89" i="70" s="1"/>
  <c r="N89" i="70"/>
  <c r="G89" i="70"/>
  <c r="R88" i="70"/>
  <c r="B88" i="70" s="1"/>
  <c r="G88" i="70"/>
  <c r="N88" i="70" s="1"/>
  <c r="R87" i="70"/>
  <c r="B87" i="70" s="1"/>
  <c r="G87" i="70"/>
  <c r="N87" i="70" s="1"/>
  <c r="R86" i="70"/>
  <c r="B86" i="70" s="1"/>
  <c r="G86" i="70"/>
  <c r="N86" i="70" s="1"/>
  <c r="R85" i="70"/>
  <c r="B85" i="70" s="1"/>
  <c r="N85" i="70"/>
  <c r="G85" i="70"/>
  <c r="R84" i="70"/>
  <c r="B84" i="70" s="1"/>
  <c r="N84" i="70"/>
  <c r="G84" i="70"/>
  <c r="R83" i="70"/>
  <c r="B83" i="70" s="1"/>
  <c r="N83" i="70"/>
  <c r="G83" i="70"/>
  <c r="S82" i="70"/>
  <c r="R82" i="70"/>
  <c r="B82" i="70" s="1"/>
  <c r="N82" i="70"/>
  <c r="G82" i="70"/>
  <c r="R81" i="70"/>
  <c r="B81" i="70" s="1"/>
  <c r="G81" i="70"/>
  <c r="N81" i="70" s="1"/>
  <c r="R80" i="70"/>
  <c r="B80" i="70" s="1"/>
  <c r="G80" i="70"/>
  <c r="N80" i="70" s="1"/>
  <c r="R79" i="70"/>
  <c r="B79" i="70" s="1"/>
  <c r="N79" i="70"/>
  <c r="G79" i="70"/>
  <c r="R78" i="70"/>
  <c r="B78" i="70" s="1"/>
  <c r="G78" i="70"/>
  <c r="N78" i="70" s="1"/>
  <c r="R77" i="70"/>
  <c r="B77" i="70" s="1"/>
  <c r="N77" i="70"/>
  <c r="G77" i="70"/>
  <c r="R76" i="70"/>
  <c r="B76" i="70" s="1"/>
  <c r="G76" i="70"/>
  <c r="N76" i="70" s="1"/>
  <c r="S75" i="70"/>
  <c r="T75" i="70" s="1"/>
  <c r="R75" i="70"/>
  <c r="B75" i="70" s="1"/>
  <c r="G75" i="70"/>
  <c r="N75" i="70" s="1"/>
  <c r="R74" i="70"/>
  <c r="B74" i="70" s="1"/>
  <c r="G74" i="70"/>
  <c r="N74" i="70" s="1"/>
  <c r="R73" i="70"/>
  <c r="B73" i="70" s="1"/>
  <c r="G73" i="70"/>
  <c r="N73" i="70" s="1"/>
  <c r="R72" i="70"/>
  <c r="B72" i="70" s="1"/>
  <c r="N72" i="70"/>
  <c r="G72" i="70"/>
  <c r="S71" i="70"/>
  <c r="R71" i="70"/>
  <c r="B71" i="70" s="1"/>
  <c r="G71" i="70"/>
  <c r="N71" i="70" s="1"/>
  <c r="R70" i="70"/>
  <c r="B70" i="70" s="1"/>
  <c r="G70" i="70"/>
  <c r="N70" i="70" s="1"/>
  <c r="R69" i="70"/>
  <c r="B69" i="70" s="1"/>
  <c r="G69" i="70"/>
  <c r="N69" i="70" s="1"/>
  <c r="R68" i="70"/>
  <c r="B68" i="70" s="1"/>
  <c r="N68" i="70"/>
  <c r="G68" i="70"/>
  <c r="S67" i="70"/>
  <c r="R67" i="70"/>
  <c r="B67" i="70" s="1"/>
  <c r="G67" i="70"/>
  <c r="N67" i="70" s="1"/>
  <c r="R66" i="70"/>
  <c r="B66" i="70" s="1"/>
  <c r="G66" i="70"/>
  <c r="N66" i="70" s="1"/>
  <c r="R65" i="70"/>
  <c r="B65" i="70" s="1"/>
  <c r="G65" i="70"/>
  <c r="R64" i="70"/>
  <c r="B64" i="70" s="1"/>
  <c r="G64" i="70"/>
  <c r="N64" i="70" s="1"/>
  <c r="S63" i="70"/>
  <c r="R63" i="70"/>
  <c r="B63" i="70" s="1"/>
  <c r="G63" i="70"/>
  <c r="N63" i="70" s="1"/>
  <c r="AA62" i="70"/>
  <c r="X62" i="70"/>
  <c r="X26" i="70"/>
  <c r="X25" i="70"/>
  <c r="E23" i="70"/>
  <c r="E24" i="70" s="1"/>
  <c r="E22" i="70"/>
  <c r="E21" i="70"/>
  <c r="J115" i="70" s="1"/>
  <c r="K115" i="70" s="1"/>
  <c r="L115" i="70" s="1"/>
  <c r="E20" i="70"/>
  <c r="E19" i="70"/>
  <c r="I24" i="70" s="1"/>
  <c r="F13" i="70"/>
  <c r="U93" i="70" s="1"/>
  <c r="V93" i="70" s="1"/>
  <c r="D13" i="70"/>
  <c r="S105" i="70" s="1"/>
  <c r="I12" i="70"/>
  <c r="I18" i="70" s="1"/>
  <c r="F12" i="70"/>
  <c r="D12" i="70"/>
  <c r="F11" i="70"/>
  <c r="D11" i="70"/>
  <c r="F10" i="70"/>
  <c r="E10" i="70" s="1"/>
  <c r="D10" i="70"/>
  <c r="F9" i="70"/>
  <c r="Y21" i="70" s="1"/>
  <c r="D9" i="70"/>
  <c r="E8" i="70"/>
  <c r="I11" i="70" s="1"/>
  <c r="F7" i="70"/>
  <c r="D7" i="70"/>
  <c r="C6" i="70"/>
  <c r="R142" i="69"/>
  <c r="B142" i="69" s="1"/>
  <c r="G142" i="69"/>
  <c r="N142" i="69" s="1"/>
  <c r="R141" i="69"/>
  <c r="B141" i="69" s="1"/>
  <c r="G141" i="69"/>
  <c r="N141" i="69" s="1"/>
  <c r="R140" i="69"/>
  <c r="B140" i="69" s="1"/>
  <c r="G140" i="69"/>
  <c r="N140" i="69" s="1"/>
  <c r="R139" i="69"/>
  <c r="B139" i="69" s="1"/>
  <c r="G139" i="69"/>
  <c r="N139" i="69" s="1"/>
  <c r="R138" i="69"/>
  <c r="B138" i="69" s="1"/>
  <c r="G138" i="69"/>
  <c r="N138" i="69" s="1"/>
  <c r="R137" i="69"/>
  <c r="B137" i="69" s="1"/>
  <c r="G137" i="69"/>
  <c r="N137" i="69" s="1"/>
  <c r="R136" i="69"/>
  <c r="B136" i="69" s="1"/>
  <c r="G136" i="69"/>
  <c r="N136" i="69" s="1"/>
  <c r="R135" i="69"/>
  <c r="B135" i="69" s="1"/>
  <c r="G135" i="69"/>
  <c r="N135" i="69" s="1"/>
  <c r="R134" i="69"/>
  <c r="B134" i="69" s="1"/>
  <c r="N134" i="69"/>
  <c r="G134" i="69"/>
  <c r="R133" i="69"/>
  <c r="B133" i="69" s="1"/>
  <c r="G133" i="69"/>
  <c r="N133" i="69" s="1"/>
  <c r="R132" i="69"/>
  <c r="B132" i="69" s="1"/>
  <c r="G132" i="69"/>
  <c r="N132" i="69" s="1"/>
  <c r="R131" i="69"/>
  <c r="B131" i="69" s="1"/>
  <c r="G131" i="69"/>
  <c r="N131" i="69" s="1"/>
  <c r="R130" i="69"/>
  <c r="B130" i="69" s="1"/>
  <c r="N130" i="69"/>
  <c r="G130" i="69"/>
  <c r="R129" i="69"/>
  <c r="B129" i="69" s="1"/>
  <c r="G129" i="69"/>
  <c r="N129" i="69" s="1"/>
  <c r="R128" i="69"/>
  <c r="B128" i="69" s="1"/>
  <c r="G128" i="69"/>
  <c r="N128" i="69" s="1"/>
  <c r="R127" i="69"/>
  <c r="B127" i="69" s="1"/>
  <c r="G127" i="69"/>
  <c r="N127" i="69" s="1"/>
  <c r="R126" i="69"/>
  <c r="B126" i="69" s="1"/>
  <c r="G126" i="69"/>
  <c r="N126" i="69" s="1"/>
  <c r="R125" i="69"/>
  <c r="B125" i="69" s="1"/>
  <c r="G125" i="69"/>
  <c r="N125" i="69" s="1"/>
  <c r="R124" i="69"/>
  <c r="B124" i="69" s="1"/>
  <c r="G124" i="69"/>
  <c r="N124" i="69" s="1"/>
  <c r="R123" i="69"/>
  <c r="B123" i="69" s="1"/>
  <c r="N123" i="69"/>
  <c r="G123" i="69"/>
  <c r="R122" i="69"/>
  <c r="B122" i="69" s="1"/>
  <c r="G122" i="69"/>
  <c r="N122" i="69" s="1"/>
  <c r="R121" i="69"/>
  <c r="B121" i="69" s="1"/>
  <c r="G121" i="69"/>
  <c r="N121" i="69" s="1"/>
  <c r="R120" i="69"/>
  <c r="B120" i="69" s="1"/>
  <c r="G120" i="69"/>
  <c r="N120" i="69" s="1"/>
  <c r="R119" i="69"/>
  <c r="B119" i="69" s="1"/>
  <c r="G119" i="69"/>
  <c r="N119" i="69" s="1"/>
  <c r="R118" i="69"/>
  <c r="B118" i="69" s="1"/>
  <c r="G118" i="69"/>
  <c r="N118" i="69" s="1"/>
  <c r="R117" i="69"/>
  <c r="B117" i="69" s="1"/>
  <c r="G117" i="69"/>
  <c r="N117" i="69" s="1"/>
  <c r="R116" i="69"/>
  <c r="B116" i="69" s="1"/>
  <c r="G116" i="69"/>
  <c r="N116" i="69" s="1"/>
  <c r="R115" i="69"/>
  <c r="B115" i="69" s="1"/>
  <c r="G115" i="69"/>
  <c r="N115" i="69" s="1"/>
  <c r="R114" i="69"/>
  <c r="B114" i="69" s="1"/>
  <c r="G114" i="69"/>
  <c r="N114" i="69" s="1"/>
  <c r="R113" i="69"/>
  <c r="B113" i="69" s="1"/>
  <c r="G113" i="69"/>
  <c r="N113" i="69" s="1"/>
  <c r="R112" i="69"/>
  <c r="B112" i="69" s="1"/>
  <c r="G112" i="69"/>
  <c r="N112" i="69" s="1"/>
  <c r="R111" i="69"/>
  <c r="B111" i="69" s="1"/>
  <c r="N111" i="69"/>
  <c r="G111" i="69"/>
  <c r="R110" i="69"/>
  <c r="B110" i="69" s="1"/>
  <c r="G110" i="69"/>
  <c r="N110" i="69" s="1"/>
  <c r="R109" i="69"/>
  <c r="B109" i="69" s="1"/>
  <c r="G109" i="69"/>
  <c r="N109" i="69" s="1"/>
  <c r="R108" i="69"/>
  <c r="B108" i="69" s="1"/>
  <c r="G108" i="69"/>
  <c r="N108" i="69" s="1"/>
  <c r="R107" i="69"/>
  <c r="B107" i="69" s="1"/>
  <c r="G107" i="69"/>
  <c r="N107" i="69" s="1"/>
  <c r="R106" i="69"/>
  <c r="B106" i="69" s="1"/>
  <c r="N106" i="69"/>
  <c r="G106" i="69"/>
  <c r="R105" i="69"/>
  <c r="B105" i="69" s="1"/>
  <c r="G105" i="69"/>
  <c r="N105" i="69" s="1"/>
  <c r="R104" i="69"/>
  <c r="B104" i="69" s="1"/>
  <c r="G104" i="69"/>
  <c r="N104" i="69" s="1"/>
  <c r="R103" i="69"/>
  <c r="B103" i="69" s="1"/>
  <c r="N103" i="69"/>
  <c r="G103" i="69"/>
  <c r="R102" i="69"/>
  <c r="B102" i="69" s="1"/>
  <c r="G102" i="69"/>
  <c r="N102" i="69" s="1"/>
  <c r="R101" i="69"/>
  <c r="B101" i="69" s="1"/>
  <c r="G101" i="69"/>
  <c r="N101" i="69" s="1"/>
  <c r="R100" i="69"/>
  <c r="B100" i="69" s="1"/>
  <c r="N100" i="69"/>
  <c r="G100" i="69"/>
  <c r="R99" i="69"/>
  <c r="B99" i="69" s="1"/>
  <c r="G99" i="69"/>
  <c r="N99" i="69" s="1"/>
  <c r="R98" i="69"/>
  <c r="B98" i="69" s="1"/>
  <c r="G98" i="69"/>
  <c r="N98" i="69" s="1"/>
  <c r="R97" i="69"/>
  <c r="B97" i="69" s="1"/>
  <c r="G97" i="69"/>
  <c r="N97" i="69" s="1"/>
  <c r="R96" i="69"/>
  <c r="B96" i="69" s="1"/>
  <c r="N96" i="69"/>
  <c r="G96" i="69"/>
  <c r="R95" i="69"/>
  <c r="B95" i="69" s="1"/>
  <c r="G95" i="69"/>
  <c r="N95" i="69" s="1"/>
  <c r="R94" i="69"/>
  <c r="B94" i="69" s="1"/>
  <c r="G94" i="69"/>
  <c r="N94" i="69" s="1"/>
  <c r="R93" i="69"/>
  <c r="B93" i="69" s="1"/>
  <c r="N93" i="69"/>
  <c r="G93" i="69"/>
  <c r="R92" i="69"/>
  <c r="B92" i="69" s="1"/>
  <c r="G92" i="69"/>
  <c r="N92" i="69" s="1"/>
  <c r="R91" i="69"/>
  <c r="B91" i="69" s="1"/>
  <c r="G91" i="69"/>
  <c r="N91" i="69" s="1"/>
  <c r="R90" i="69"/>
  <c r="B90" i="69" s="1"/>
  <c r="N90" i="69"/>
  <c r="G90" i="69"/>
  <c r="R89" i="69"/>
  <c r="B89" i="69" s="1"/>
  <c r="G89" i="69"/>
  <c r="N89" i="69" s="1"/>
  <c r="R88" i="69"/>
  <c r="B88" i="69" s="1"/>
  <c r="N88" i="69"/>
  <c r="G88" i="69"/>
  <c r="R87" i="69"/>
  <c r="B87" i="69" s="1"/>
  <c r="G87" i="69"/>
  <c r="N87" i="69" s="1"/>
  <c r="R86" i="69"/>
  <c r="B86" i="69" s="1"/>
  <c r="N86" i="69"/>
  <c r="G86" i="69"/>
  <c r="R85" i="69"/>
  <c r="B85" i="69" s="1"/>
  <c r="N85" i="69"/>
  <c r="G85" i="69"/>
  <c r="R84" i="69"/>
  <c r="B84" i="69" s="1"/>
  <c r="G84" i="69"/>
  <c r="N84" i="69" s="1"/>
  <c r="R83" i="69"/>
  <c r="B83" i="69" s="1"/>
  <c r="G83" i="69"/>
  <c r="N83" i="69" s="1"/>
  <c r="R82" i="69"/>
  <c r="B82" i="69" s="1"/>
  <c r="G82" i="69"/>
  <c r="N82" i="69" s="1"/>
  <c r="R81" i="69"/>
  <c r="B81" i="69" s="1"/>
  <c r="G81" i="69"/>
  <c r="N81" i="69" s="1"/>
  <c r="R80" i="69"/>
  <c r="B80" i="69" s="1"/>
  <c r="G80" i="69"/>
  <c r="N80" i="69" s="1"/>
  <c r="R79" i="69"/>
  <c r="B79" i="69" s="1"/>
  <c r="G79" i="69"/>
  <c r="N79" i="69" s="1"/>
  <c r="R78" i="69"/>
  <c r="B78" i="69" s="1"/>
  <c r="G78" i="69"/>
  <c r="N78" i="69" s="1"/>
  <c r="R77" i="69"/>
  <c r="B77" i="69" s="1"/>
  <c r="G77" i="69"/>
  <c r="N77" i="69" s="1"/>
  <c r="R76" i="69"/>
  <c r="B76" i="69" s="1"/>
  <c r="G76" i="69"/>
  <c r="N76" i="69" s="1"/>
  <c r="R75" i="69"/>
  <c r="B75" i="69" s="1"/>
  <c r="G75" i="69"/>
  <c r="N75" i="69" s="1"/>
  <c r="R74" i="69"/>
  <c r="B74" i="69" s="1"/>
  <c r="N74" i="69"/>
  <c r="G74" i="69"/>
  <c r="R73" i="69"/>
  <c r="B73" i="69" s="1"/>
  <c r="N73" i="69"/>
  <c r="G73" i="69"/>
  <c r="R72" i="69"/>
  <c r="B72" i="69" s="1"/>
  <c r="G72" i="69"/>
  <c r="N72" i="69" s="1"/>
  <c r="R71" i="69"/>
  <c r="B71" i="69" s="1"/>
  <c r="G71" i="69"/>
  <c r="N71" i="69" s="1"/>
  <c r="R70" i="69"/>
  <c r="B70" i="69" s="1"/>
  <c r="G70" i="69"/>
  <c r="N70" i="69" s="1"/>
  <c r="R69" i="69"/>
  <c r="B69" i="69" s="1"/>
  <c r="G69" i="69"/>
  <c r="N69" i="69" s="1"/>
  <c r="R68" i="69"/>
  <c r="B68" i="69" s="1"/>
  <c r="G68" i="69"/>
  <c r="N68" i="69" s="1"/>
  <c r="R67" i="69"/>
  <c r="B67" i="69" s="1"/>
  <c r="G67" i="69"/>
  <c r="N67" i="69" s="1"/>
  <c r="R66" i="69"/>
  <c r="B66" i="69" s="1"/>
  <c r="G66" i="69"/>
  <c r="N66" i="69" s="1"/>
  <c r="R65" i="69"/>
  <c r="B65" i="69" s="1"/>
  <c r="G65" i="69"/>
  <c r="N65" i="69" s="1"/>
  <c r="R64" i="69"/>
  <c r="B64" i="69" s="1"/>
  <c r="G64" i="69"/>
  <c r="N64" i="69" s="1"/>
  <c r="R63" i="69"/>
  <c r="B63" i="69" s="1"/>
  <c r="G63" i="69"/>
  <c r="AA62" i="69"/>
  <c r="X62" i="69"/>
  <c r="X25" i="69"/>
  <c r="X26" i="69" s="1"/>
  <c r="E23" i="69"/>
  <c r="E24" i="69" s="1"/>
  <c r="E22" i="69"/>
  <c r="E21" i="69"/>
  <c r="E19" i="69"/>
  <c r="F13" i="69"/>
  <c r="F20" i="69" s="1"/>
  <c r="D13" i="69"/>
  <c r="S97" i="69" s="1"/>
  <c r="F12" i="69"/>
  <c r="D12" i="69"/>
  <c r="I11" i="69"/>
  <c r="F11" i="69"/>
  <c r="D11" i="69"/>
  <c r="F10" i="69"/>
  <c r="E10" i="69"/>
  <c r="D10" i="69"/>
  <c r="F9" i="69"/>
  <c r="Y21" i="69" s="1"/>
  <c r="D9" i="69"/>
  <c r="E8" i="69"/>
  <c r="X8" i="69" s="1"/>
  <c r="X39" i="69" s="1"/>
  <c r="X59" i="69" s="1"/>
  <c r="F7" i="69"/>
  <c r="D7" i="69"/>
  <c r="C6" i="69"/>
  <c r="G8" i="64"/>
  <c r="R142" i="68"/>
  <c r="B142" i="68" s="1"/>
  <c r="N142" i="68"/>
  <c r="G142" i="68"/>
  <c r="R141" i="68"/>
  <c r="B141" i="68" s="1"/>
  <c r="G141" i="68"/>
  <c r="N141" i="68" s="1"/>
  <c r="R140" i="68"/>
  <c r="B140" i="68" s="1"/>
  <c r="N140" i="68"/>
  <c r="G140" i="68"/>
  <c r="R139" i="68"/>
  <c r="B139" i="68" s="1"/>
  <c r="G139" i="68"/>
  <c r="N139" i="68" s="1"/>
  <c r="R138" i="68"/>
  <c r="B138" i="68" s="1"/>
  <c r="N138" i="68"/>
  <c r="G138" i="68"/>
  <c r="R137" i="68"/>
  <c r="B137" i="68" s="1"/>
  <c r="G137" i="68"/>
  <c r="N137" i="68" s="1"/>
  <c r="R136" i="68"/>
  <c r="B136" i="68" s="1"/>
  <c r="N136" i="68"/>
  <c r="G136" i="68"/>
  <c r="R135" i="68"/>
  <c r="B135" i="68" s="1"/>
  <c r="N135" i="68"/>
  <c r="G135" i="68"/>
  <c r="R134" i="68"/>
  <c r="B134" i="68" s="1"/>
  <c r="G134" i="68"/>
  <c r="N134" i="68" s="1"/>
  <c r="R133" i="68"/>
  <c r="B133" i="68" s="1"/>
  <c r="N133" i="68"/>
  <c r="G133" i="68"/>
  <c r="R132" i="68"/>
  <c r="B132" i="68" s="1"/>
  <c r="G132" i="68"/>
  <c r="N132" i="68" s="1"/>
  <c r="R131" i="68"/>
  <c r="B131" i="68" s="1"/>
  <c r="N131" i="68"/>
  <c r="G131" i="68"/>
  <c r="R130" i="68"/>
  <c r="B130" i="68" s="1"/>
  <c r="N130" i="68"/>
  <c r="G130" i="68"/>
  <c r="R129" i="68"/>
  <c r="B129" i="68" s="1"/>
  <c r="G129" i="68"/>
  <c r="N129" i="68" s="1"/>
  <c r="R128" i="68"/>
  <c r="B128" i="68" s="1"/>
  <c r="N128" i="68"/>
  <c r="G128" i="68"/>
  <c r="R127" i="68"/>
  <c r="B127" i="68" s="1"/>
  <c r="G127" i="68"/>
  <c r="N127" i="68" s="1"/>
  <c r="R126" i="68"/>
  <c r="B126" i="68" s="1"/>
  <c r="G126" i="68"/>
  <c r="N126" i="68" s="1"/>
  <c r="R125" i="68"/>
  <c r="B125" i="68" s="1"/>
  <c r="N125" i="68"/>
  <c r="G125" i="68"/>
  <c r="R124" i="68"/>
  <c r="B124" i="68" s="1"/>
  <c r="G124" i="68"/>
  <c r="N124" i="68" s="1"/>
  <c r="R123" i="68"/>
  <c r="B123" i="68" s="1"/>
  <c r="G123" i="68"/>
  <c r="N123" i="68" s="1"/>
  <c r="R122" i="68"/>
  <c r="B122" i="68" s="1"/>
  <c r="G122" i="68"/>
  <c r="N122" i="68" s="1"/>
  <c r="R121" i="68"/>
  <c r="B121" i="68" s="1"/>
  <c r="J121" i="68"/>
  <c r="K121" i="68" s="1"/>
  <c r="L121" i="68" s="1"/>
  <c r="G121" i="68"/>
  <c r="N121" i="68" s="1"/>
  <c r="R120" i="68"/>
  <c r="B120" i="68" s="1"/>
  <c r="G120" i="68"/>
  <c r="N120" i="68" s="1"/>
  <c r="R119" i="68"/>
  <c r="B119" i="68" s="1"/>
  <c r="N119" i="68"/>
  <c r="G119" i="68"/>
  <c r="R118" i="68"/>
  <c r="B118" i="68" s="1"/>
  <c r="G118" i="68"/>
  <c r="N118" i="68" s="1"/>
  <c r="R117" i="68"/>
  <c r="B117" i="68" s="1"/>
  <c r="G117" i="68"/>
  <c r="N117" i="68" s="1"/>
  <c r="R116" i="68"/>
  <c r="B116" i="68" s="1"/>
  <c r="G116" i="68"/>
  <c r="N116" i="68" s="1"/>
  <c r="R115" i="68"/>
  <c r="B115" i="68" s="1"/>
  <c r="N115" i="68"/>
  <c r="G115" i="68"/>
  <c r="R114" i="68"/>
  <c r="B114" i="68" s="1"/>
  <c r="G114" i="68"/>
  <c r="N114" i="68" s="1"/>
  <c r="R113" i="68"/>
  <c r="B113" i="68" s="1"/>
  <c r="N113" i="68"/>
  <c r="G113" i="68"/>
  <c r="R112" i="68"/>
  <c r="B112" i="68" s="1"/>
  <c r="G112" i="68"/>
  <c r="N112" i="68" s="1"/>
  <c r="R111" i="68"/>
  <c r="B111" i="68" s="1"/>
  <c r="N111" i="68"/>
  <c r="G111" i="68"/>
  <c r="R110" i="68"/>
  <c r="B110" i="68" s="1"/>
  <c r="G110" i="68"/>
  <c r="N110" i="68" s="1"/>
  <c r="R109" i="68"/>
  <c r="B109" i="68" s="1"/>
  <c r="G109" i="68"/>
  <c r="N109" i="68" s="1"/>
  <c r="R108" i="68"/>
  <c r="B108" i="68" s="1"/>
  <c r="N108" i="68"/>
  <c r="G108" i="68"/>
  <c r="R107" i="68"/>
  <c r="B107" i="68" s="1"/>
  <c r="G107" i="68"/>
  <c r="N107" i="68" s="1"/>
  <c r="R106" i="68"/>
  <c r="B106" i="68" s="1"/>
  <c r="G106" i="68"/>
  <c r="N106" i="68" s="1"/>
  <c r="R105" i="68"/>
  <c r="B105" i="68" s="1"/>
  <c r="N105" i="68"/>
  <c r="G105" i="68"/>
  <c r="R104" i="68"/>
  <c r="B104" i="68" s="1"/>
  <c r="G104" i="68"/>
  <c r="N104" i="68" s="1"/>
  <c r="R103" i="68"/>
  <c r="B103" i="68" s="1"/>
  <c r="N103" i="68"/>
  <c r="G103" i="68"/>
  <c r="R102" i="68"/>
  <c r="B102" i="68" s="1"/>
  <c r="G102" i="68"/>
  <c r="N102" i="68" s="1"/>
  <c r="R101" i="68"/>
  <c r="B101" i="68" s="1"/>
  <c r="N101" i="68"/>
  <c r="G101" i="68"/>
  <c r="R100" i="68"/>
  <c r="B100" i="68" s="1"/>
  <c r="G100" i="68"/>
  <c r="N100" i="68" s="1"/>
  <c r="R99" i="68"/>
  <c r="B99" i="68" s="1"/>
  <c r="G99" i="68"/>
  <c r="N99" i="68" s="1"/>
  <c r="R98" i="68"/>
  <c r="B98" i="68" s="1"/>
  <c r="N98" i="68"/>
  <c r="G98" i="68"/>
  <c r="R97" i="68"/>
  <c r="B97" i="68" s="1"/>
  <c r="G97" i="68"/>
  <c r="N97" i="68" s="1"/>
  <c r="R96" i="68"/>
  <c r="B96" i="68" s="1"/>
  <c r="N96" i="68"/>
  <c r="G96" i="68"/>
  <c r="R95" i="68"/>
  <c r="B95" i="68" s="1"/>
  <c r="G95" i="68"/>
  <c r="N95" i="68" s="1"/>
  <c r="R94" i="68"/>
  <c r="B94" i="68" s="1"/>
  <c r="G94" i="68"/>
  <c r="N94" i="68" s="1"/>
  <c r="R93" i="68"/>
  <c r="B93" i="68" s="1"/>
  <c r="G93" i="68"/>
  <c r="N93" i="68" s="1"/>
  <c r="R92" i="68"/>
  <c r="B92" i="68" s="1"/>
  <c r="N92" i="68"/>
  <c r="G92" i="68"/>
  <c r="R91" i="68"/>
  <c r="B91" i="68" s="1"/>
  <c r="N91" i="68"/>
  <c r="G91" i="68"/>
  <c r="R90" i="68"/>
  <c r="B90" i="68" s="1"/>
  <c r="G90" i="68"/>
  <c r="N90" i="68" s="1"/>
  <c r="R89" i="68"/>
  <c r="B89" i="68" s="1"/>
  <c r="G89" i="68"/>
  <c r="N89" i="68" s="1"/>
  <c r="R88" i="68"/>
  <c r="B88" i="68" s="1"/>
  <c r="N88" i="68"/>
  <c r="G88" i="68"/>
  <c r="R87" i="68"/>
  <c r="B87" i="68" s="1"/>
  <c r="G87" i="68"/>
  <c r="N87" i="68" s="1"/>
  <c r="R86" i="68"/>
  <c r="B86" i="68" s="1"/>
  <c r="N86" i="68"/>
  <c r="G86" i="68"/>
  <c r="R85" i="68"/>
  <c r="B85" i="68" s="1"/>
  <c r="G85" i="68"/>
  <c r="N85" i="68" s="1"/>
  <c r="R84" i="68"/>
  <c r="B84" i="68" s="1"/>
  <c r="G84" i="68"/>
  <c r="N84" i="68" s="1"/>
  <c r="R83" i="68"/>
  <c r="B83" i="68" s="1"/>
  <c r="G83" i="68"/>
  <c r="N83" i="68" s="1"/>
  <c r="R82" i="68"/>
  <c r="B82" i="68" s="1"/>
  <c r="G82" i="68"/>
  <c r="N82" i="68" s="1"/>
  <c r="R81" i="68"/>
  <c r="B81" i="68" s="1"/>
  <c r="N81" i="68"/>
  <c r="G81" i="68"/>
  <c r="R80" i="68"/>
  <c r="B80" i="68" s="1"/>
  <c r="G80" i="68"/>
  <c r="N80" i="68" s="1"/>
  <c r="R79" i="68"/>
  <c r="B79" i="68" s="1"/>
  <c r="G79" i="68"/>
  <c r="N79" i="68" s="1"/>
  <c r="R78" i="68"/>
  <c r="B78" i="68" s="1"/>
  <c r="G78" i="68"/>
  <c r="N78" i="68" s="1"/>
  <c r="R77" i="68"/>
  <c r="B77" i="68" s="1"/>
  <c r="N77" i="68"/>
  <c r="G77" i="68"/>
  <c r="R76" i="68"/>
  <c r="B76" i="68" s="1"/>
  <c r="G76" i="68"/>
  <c r="N76" i="68" s="1"/>
  <c r="R75" i="68"/>
  <c r="B75" i="68" s="1"/>
  <c r="N75" i="68"/>
  <c r="G75" i="68"/>
  <c r="R74" i="68"/>
  <c r="B74" i="68" s="1"/>
  <c r="G74" i="68"/>
  <c r="N74" i="68" s="1"/>
  <c r="R73" i="68"/>
  <c r="B73" i="68" s="1"/>
  <c r="N73" i="68"/>
  <c r="G73" i="68"/>
  <c r="R72" i="68"/>
  <c r="B72" i="68" s="1"/>
  <c r="G72" i="68"/>
  <c r="N72" i="68" s="1"/>
  <c r="R71" i="68"/>
  <c r="B71" i="68" s="1"/>
  <c r="N71" i="68"/>
  <c r="G71" i="68"/>
  <c r="R70" i="68"/>
  <c r="B70" i="68" s="1"/>
  <c r="G70" i="68"/>
  <c r="N70" i="68" s="1"/>
  <c r="R69" i="68"/>
  <c r="B69" i="68" s="1"/>
  <c r="G69" i="68"/>
  <c r="N69" i="68" s="1"/>
  <c r="R68" i="68"/>
  <c r="B68" i="68" s="1"/>
  <c r="G68" i="68"/>
  <c r="N68" i="68" s="1"/>
  <c r="R67" i="68"/>
  <c r="B67" i="68" s="1"/>
  <c r="N67" i="68"/>
  <c r="G67" i="68"/>
  <c r="R66" i="68"/>
  <c r="B66" i="68" s="1"/>
  <c r="G66" i="68"/>
  <c r="N66" i="68" s="1"/>
  <c r="R65" i="68"/>
  <c r="B65" i="68" s="1"/>
  <c r="N65" i="68"/>
  <c r="G65" i="68"/>
  <c r="X29" i="68" s="1"/>
  <c r="Y29" i="68" s="1"/>
  <c r="R64" i="68"/>
  <c r="B64" i="68" s="1"/>
  <c r="G64" i="68"/>
  <c r="N64" i="68" s="1"/>
  <c r="R63" i="68"/>
  <c r="B63" i="68" s="1"/>
  <c r="N63" i="68"/>
  <c r="G63" i="68"/>
  <c r="AA62" i="68"/>
  <c r="X62" i="68"/>
  <c r="X26" i="68"/>
  <c r="X25" i="68"/>
  <c r="E23" i="68"/>
  <c r="E24" i="68" s="1"/>
  <c r="E22" i="68"/>
  <c r="E21" i="68"/>
  <c r="J85" i="68" s="1"/>
  <c r="K85" i="68" s="1"/>
  <c r="L85" i="68" s="1"/>
  <c r="E19" i="68"/>
  <c r="F13" i="68"/>
  <c r="F20" i="68" s="1"/>
  <c r="D13" i="68"/>
  <c r="S81" i="68" s="1"/>
  <c r="F12" i="68"/>
  <c r="D12" i="68"/>
  <c r="I11" i="68"/>
  <c r="F11" i="68"/>
  <c r="D11" i="68"/>
  <c r="E11" i="68" s="1"/>
  <c r="Y20" i="68" s="1"/>
  <c r="F10" i="68"/>
  <c r="D10" i="68"/>
  <c r="E10" i="68" s="1"/>
  <c r="F9" i="68"/>
  <c r="Y21" i="68" s="1"/>
  <c r="D9" i="68"/>
  <c r="E8" i="68"/>
  <c r="X8" i="68" s="1"/>
  <c r="X39" i="68" s="1"/>
  <c r="X59" i="68" s="1"/>
  <c r="F7" i="68"/>
  <c r="D7" i="68"/>
  <c r="C6" i="68"/>
  <c r="G7" i="64"/>
  <c r="R142" i="66"/>
  <c r="B142" i="66" s="1"/>
  <c r="N142" i="66"/>
  <c r="G142" i="66"/>
  <c r="R141" i="66"/>
  <c r="B141" i="66" s="1"/>
  <c r="G141" i="66"/>
  <c r="N141" i="66" s="1"/>
  <c r="R140" i="66"/>
  <c r="B140" i="66" s="1"/>
  <c r="G140" i="66"/>
  <c r="N140" i="66" s="1"/>
  <c r="R139" i="66"/>
  <c r="B139" i="66" s="1"/>
  <c r="G139" i="66"/>
  <c r="N139" i="66" s="1"/>
  <c r="R138" i="66"/>
  <c r="B138" i="66" s="1"/>
  <c r="N138" i="66"/>
  <c r="G138" i="66"/>
  <c r="R137" i="66"/>
  <c r="B137" i="66" s="1"/>
  <c r="G137" i="66"/>
  <c r="N137" i="66" s="1"/>
  <c r="R136" i="66"/>
  <c r="B136" i="66" s="1"/>
  <c r="N136" i="66"/>
  <c r="G136" i="66"/>
  <c r="R135" i="66"/>
  <c r="B135" i="66" s="1"/>
  <c r="G135" i="66"/>
  <c r="N135" i="66" s="1"/>
  <c r="R134" i="66"/>
  <c r="B134" i="66" s="1"/>
  <c r="G134" i="66"/>
  <c r="N134" i="66" s="1"/>
  <c r="R133" i="66"/>
  <c r="B133" i="66" s="1"/>
  <c r="N133" i="66"/>
  <c r="G133" i="66"/>
  <c r="R132" i="66"/>
  <c r="B132" i="66" s="1"/>
  <c r="G132" i="66"/>
  <c r="N132" i="66" s="1"/>
  <c r="R131" i="66"/>
  <c r="B131" i="66" s="1"/>
  <c r="G131" i="66"/>
  <c r="N131" i="66" s="1"/>
  <c r="R130" i="66"/>
  <c r="B130" i="66" s="1"/>
  <c r="N130" i="66"/>
  <c r="G130" i="66"/>
  <c r="R129" i="66"/>
  <c r="B129" i="66" s="1"/>
  <c r="G129" i="66"/>
  <c r="N129" i="66" s="1"/>
  <c r="R128" i="66"/>
  <c r="B128" i="66" s="1"/>
  <c r="N128" i="66"/>
  <c r="G128" i="66"/>
  <c r="R127" i="66"/>
  <c r="B127" i="66" s="1"/>
  <c r="G127" i="66"/>
  <c r="N127" i="66" s="1"/>
  <c r="R126" i="66"/>
  <c r="B126" i="66" s="1"/>
  <c r="G126" i="66"/>
  <c r="N126" i="66" s="1"/>
  <c r="R125" i="66"/>
  <c r="B125" i="66" s="1"/>
  <c r="N125" i="66"/>
  <c r="G125" i="66"/>
  <c r="R124" i="66"/>
  <c r="B124" i="66" s="1"/>
  <c r="G124" i="66"/>
  <c r="N124" i="66" s="1"/>
  <c r="R123" i="66"/>
  <c r="B123" i="66" s="1"/>
  <c r="G123" i="66"/>
  <c r="N123" i="66" s="1"/>
  <c r="R122" i="66"/>
  <c r="B122" i="66" s="1"/>
  <c r="N122" i="66"/>
  <c r="G122" i="66"/>
  <c r="R121" i="66"/>
  <c r="B121" i="66" s="1"/>
  <c r="G121" i="66"/>
  <c r="N121" i="66" s="1"/>
  <c r="R120" i="66"/>
  <c r="B120" i="66" s="1"/>
  <c r="G120" i="66"/>
  <c r="N120" i="66" s="1"/>
  <c r="R119" i="66"/>
  <c r="B119" i="66" s="1"/>
  <c r="G119" i="66"/>
  <c r="N119" i="66" s="1"/>
  <c r="R118" i="66"/>
  <c r="B118" i="66" s="1"/>
  <c r="G118" i="66"/>
  <c r="N118" i="66" s="1"/>
  <c r="R117" i="66"/>
  <c r="B117" i="66" s="1"/>
  <c r="G117" i="66"/>
  <c r="N117" i="66" s="1"/>
  <c r="R116" i="66"/>
  <c r="B116" i="66" s="1"/>
  <c r="N116" i="66"/>
  <c r="G116" i="66"/>
  <c r="R115" i="66"/>
  <c r="B115" i="66" s="1"/>
  <c r="G115" i="66"/>
  <c r="N115" i="66" s="1"/>
  <c r="R114" i="66"/>
  <c r="B114" i="66" s="1"/>
  <c r="G114" i="66"/>
  <c r="N114" i="66" s="1"/>
  <c r="R113" i="66"/>
  <c r="B113" i="66" s="1"/>
  <c r="N113" i="66"/>
  <c r="G113" i="66"/>
  <c r="R112" i="66"/>
  <c r="B112" i="66" s="1"/>
  <c r="G112" i="66"/>
  <c r="N112" i="66" s="1"/>
  <c r="R111" i="66"/>
  <c r="B111" i="66" s="1"/>
  <c r="G111" i="66"/>
  <c r="N111" i="66" s="1"/>
  <c r="R110" i="66"/>
  <c r="B110" i="66" s="1"/>
  <c r="N110" i="66"/>
  <c r="G110" i="66"/>
  <c r="R109" i="66"/>
  <c r="B109" i="66" s="1"/>
  <c r="G109" i="66"/>
  <c r="N109" i="66" s="1"/>
  <c r="R108" i="66"/>
  <c r="B108" i="66" s="1"/>
  <c r="N108" i="66"/>
  <c r="G108" i="66"/>
  <c r="R107" i="66"/>
  <c r="B107" i="66" s="1"/>
  <c r="G107" i="66"/>
  <c r="N107" i="66" s="1"/>
  <c r="R106" i="66"/>
  <c r="B106" i="66" s="1"/>
  <c r="G106" i="66"/>
  <c r="N106" i="66" s="1"/>
  <c r="R105" i="66"/>
  <c r="B105" i="66" s="1"/>
  <c r="N105" i="66"/>
  <c r="G105" i="66"/>
  <c r="R104" i="66"/>
  <c r="B104" i="66" s="1"/>
  <c r="G104" i="66"/>
  <c r="N104" i="66" s="1"/>
  <c r="R103" i="66"/>
  <c r="B103" i="66" s="1"/>
  <c r="G103" i="66"/>
  <c r="N103" i="66" s="1"/>
  <c r="R102" i="66"/>
  <c r="B102" i="66" s="1"/>
  <c r="N102" i="66"/>
  <c r="G102" i="66"/>
  <c r="R101" i="66"/>
  <c r="B101" i="66" s="1"/>
  <c r="G101" i="66"/>
  <c r="N101" i="66" s="1"/>
  <c r="R100" i="66"/>
  <c r="B100" i="66" s="1"/>
  <c r="G100" i="66"/>
  <c r="N100" i="66" s="1"/>
  <c r="R99" i="66"/>
  <c r="B99" i="66" s="1"/>
  <c r="N99" i="66"/>
  <c r="G99" i="66"/>
  <c r="R98" i="66"/>
  <c r="B98" i="66" s="1"/>
  <c r="G98" i="66"/>
  <c r="N98" i="66" s="1"/>
  <c r="R97" i="66"/>
  <c r="B97" i="66" s="1"/>
  <c r="G97" i="66"/>
  <c r="N97" i="66" s="1"/>
  <c r="R96" i="66"/>
  <c r="B96" i="66" s="1"/>
  <c r="N96" i="66"/>
  <c r="G96" i="66"/>
  <c r="R95" i="66"/>
  <c r="B95" i="66" s="1"/>
  <c r="G95" i="66"/>
  <c r="N95" i="66" s="1"/>
  <c r="R94" i="66"/>
  <c r="B94" i="66" s="1"/>
  <c r="N94" i="66"/>
  <c r="G94" i="66"/>
  <c r="R93" i="66"/>
  <c r="B93" i="66" s="1"/>
  <c r="N93" i="66"/>
  <c r="G93" i="66"/>
  <c r="R92" i="66"/>
  <c r="B92" i="66" s="1"/>
  <c r="G92" i="66"/>
  <c r="N92" i="66" s="1"/>
  <c r="R91" i="66"/>
  <c r="B91" i="66" s="1"/>
  <c r="G91" i="66"/>
  <c r="N91" i="66" s="1"/>
  <c r="R90" i="66"/>
  <c r="B90" i="66" s="1"/>
  <c r="G90" i="66"/>
  <c r="N90" i="66" s="1"/>
  <c r="R89" i="66"/>
  <c r="B89" i="66" s="1"/>
  <c r="N89" i="66"/>
  <c r="G89" i="66"/>
  <c r="R88" i="66"/>
  <c r="B88" i="66" s="1"/>
  <c r="N88" i="66"/>
  <c r="G88" i="66"/>
  <c r="R87" i="66"/>
  <c r="B87" i="66" s="1"/>
  <c r="J87" i="66"/>
  <c r="K87" i="66" s="1"/>
  <c r="L87" i="66" s="1"/>
  <c r="G87" i="66"/>
  <c r="N87" i="66" s="1"/>
  <c r="R86" i="66"/>
  <c r="B86" i="66" s="1"/>
  <c r="G86" i="66"/>
  <c r="N86" i="66" s="1"/>
  <c r="R85" i="66"/>
  <c r="B85" i="66" s="1"/>
  <c r="G85" i="66"/>
  <c r="N85" i="66" s="1"/>
  <c r="R84" i="66"/>
  <c r="B84" i="66" s="1"/>
  <c r="N84" i="66"/>
  <c r="G84" i="66"/>
  <c r="R83" i="66"/>
  <c r="B83" i="66" s="1"/>
  <c r="G83" i="66"/>
  <c r="N83" i="66" s="1"/>
  <c r="R82" i="66"/>
  <c r="B82" i="66" s="1"/>
  <c r="N82" i="66"/>
  <c r="G82" i="66"/>
  <c r="R81" i="66"/>
  <c r="B81" i="66" s="1"/>
  <c r="G81" i="66"/>
  <c r="N81" i="66" s="1"/>
  <c r="R80" i="66"/>
  <c r="B80" i="66" s="1"/>
  <c r="G80" i="66"/>
  <c r="N80" i="66" s="1"/>
  <c r="R79" i="66"/>
  <c r="B79" i="66" s="1"/>
  <c r="N79" i="66"/>
  <c r="G79" i="66"/>
  <c r="T78" i="66"/>
  <c r="S78" i="66"/>
  <c r="R78" i="66"/>
  <c r="B78" i="66" s="1"/>
  <c r="G78" i="66"/>
  <c r="N78" i="66" s="1"/>
  <c r="R77" i="66"/>
  <c r="B77" i="66" s="1"/>
  <c r="G77" i="66"/>
  <c r="N77" i="66" s="1"/>
  <c r="R76" i="66"/>
  <c r="B76" i="66" s="1"/>
  <c r="G76" i="66"/>
  <c r="N76" i="66" s="1"/>
  <c r="R75" i="66"/>
  <c r="B75" i="66" s="1"/>
  <c r="G75" i="66"/>
  <c r="N75" i="66" s="1"/>
  <c r="T74" i="66"/>
  <c r="S74" i="66"/>
  <c r="R74" i="66"/>
  <c r="B74" i="66" s="1"/>
  <c r="G74" i="66"/>
  <c r="N74" i="66" s="1"/>
  <c r="R73" i="66"/>
  <c r="B73" i="66" s="1"/>
  <c r="N73" i="66"/>
  <c r="G73" i="66"/>
  <c r="R72" i="66"/>
  <c r="B72" i="66" s="1"/>
  <c r="G72" i="66"/>
  <c r="N72" i="66" s="1"/>
  <c r="R71" i="66"/>
  <c r="B71" i="66" s="1"/>
  <c r="G71" i="66"/>
  <c r="N71" i="66" s="1"/>
  <c r="S70" i="66"/>
  <c r="T70" i="66" s="1"/>
  <c r="R70" i="66"/>
  <c r="B70" i="66" s="1"/>
  <c r="G70" i="66"/>
  <c r="N70" i="66" s="1"/>
  <c r="R69" i="66"/>
  <c r="B69" i="66" s="1"/>
  <c r="N69" i="66"/>
  <c r="G69" i="66"/>
  <c r="R68" i="66"/>
  <c r="B68" i="66" s="1"/>
  <c r="G68" i="66"/>
  <c r="N68" i="66" s="1"/>
  <c r="S67" i="66"/>
  <c r="R67" i="66"/>
  <c r="B67" i="66" s="1"/>
  <c r="G67" i="66"/>
  <c r="N67" i="66" s="1"/>
  <c r="S66" i="66"/>
  <c r="T66" i="66" s="1"/>
  <c r="R66" i="66"/>
  <c r="B66" i="66" s="1"/>
  <c r="G66" i="66"/>
  <c r="N66" i="66" s="1"/>
  <c r="S65" i="66"/>
  <c r="T65" i="66" s="1"/>
  <c r="R65" i="66"/>
  <c r="B65" i="66" s="1"/>
  <c r="G65" i="66"/>
  <c r="N65" i="66" s="1"/>
  <c r="R64" i="66"/>
  <c r="B64" i="66" s="1"/>
  <c r="N64" i="66"/>
  <c r="G64" i="66"/>
  <c r="S63" i="66"/>
  <c r="R63" i="66"/>
  <c r="B63" i="66" s="1"/>
  <c r="G63" i="66"/>
  <c r="E18" i="66" s="1"/>
  <c r="J18" i="66" s="1"/>
  <c r="AA62" i="66"/>
  <c r="X62" i="66"/>
  <c r="X25" i="66"/>
  <c r="X26" i="66" s="1"/>
  <c r="E23" i="66"/>
  <c r="E24" i="66" s="1"/>
  <c r="E22" i="66"/>
  <c r="E21" i="66"/>
  <c r="J79" i="66" s="1"/>
  <c r="K79" i="66" s="1"/>
  <c r="L79" i="66" s="1"/>
  <c r="E19" i="66"/>
  <c r="I24" i="66" s="1"/>
  <c r="F13" i="66"/>
  <c r="U77" i="66" s="1"/>
  <c r="V77" i="66" s="1"/>
  <c r="D13" i="66"/>
  <c r="I12" i="66"/>
  <c r="I18" i="66" s="1"/>
  <c r="F12" i="66"/>
  <c r="D12" i="66"/>
  <c r="I11" i="66"/>
  <c r="F11" i="66"/>
  <c r="D11" i="66"/>
  <c r="F10" i="66"/>
  <c r="E10" i="66"/>
  <c r="Y19" i="66" s="1"/>
  <c r="D10" i="66"/>
  <c r="F9" i="66"/>
  <c r="Y21" i="66" s="1"/>
  <c r="D9" i="66"/>
  <c r="E8" i="66"/>
  <c r="X8" i="66" s="1"/>
  <c r="X39" i="66" s="1"/>
  <c r="X59" i="66" s="1"/>
  <c r="F7" i="66"/>
  <c r="D7" i="66"/>
  <c r="C6" i="66"/>
  <c r="G6" i="64"/>
  <c r="R142" i="65"/>
  <c r="B142" i="65" s="1"/>
  <c r="G142" i="65"/>
  <c r="N142" i="65" s="1"/>
  <c r="R141" i="65"/>
  <c r="B141" i="65" s="1"/>
  <c r="N141" i="65"/>
  <c r="G141" i="65"/>
  <c r="R140" i="65"/>
  <c r="B140" i="65" s="1"/>
  <c r="N140" i="65"/>
  <c r="G140" i="65"/>
  <c r="R139" i="65"/>
  <c r="B139" i="65" s="1"/>
  <c r="G139" i="65"/>
  <c r="N139" i="65" s="1"/>
  <c r="R138" i="65"/>
  <c r="B138" i="65" s="1"/>
  <c r="N138" i="65"/>
  <c r="G138" i="65"/>
  <c r="R137" i="65"/>
  <c r="B137" i="65" s="1"/>
  <c r="N137" i="65"/>
  <c r="G137" i="65"/>
  <c r="R136" i="65"/>
  <c r="B136" i="65" s="1"/>
  <c r="G136" i="65"/>
  <c r="N136" i="65" s="1"/>
  <c r="R135" i="65"/>
  <c r="B135" i="65" s="1"/>
  <c r="G135" i="65"/>
  <c r="N135" i="65" s="1"/>
  <c r="R134" i="65"/>
  <c r="B134" i="65" s="1"/>
  <c r="N134" i="65"/>
  <c r="G134" i="65"/>
  <c r="R133" i="65"/>
  <c r="B133" i="65" s="1"/>
  <c r="G133" i="65"/>
  <c r="N133" i="65" s="1"/>
  <c r="R132" i="65"/>
  <c r="B132" i="65" s="1"/>
  <c r="G132" i="65"/>
  <c r="N132" i="65" s="1"/>
  <c r="R131" i="65"/>
  <c r="B131" i="65" s="1"/>
  <c r="G131" i="65"/>
  <c r="N131" i="65" s="1"/>
  <c r="R130" i="65"/>
  <c r="B130" i="65" s="1"/>
  <c r="G130" i="65"/>
  <c r="N130" i="65" s="1"/>
  <c r="R129" i="65"/>
  <c r="B129" i="65" s="1"/>
  <c r="G129" i="65"/>
  <c r="N129" i="65" s="1"/>
  <c r="R128" i="65"/>
  <c r="B128" i="65" s="1"/>
  <c r="G128" i="65"/>
  <c r="N128" i="65" s="1"/>
  <c r="R127" i="65"/>
  <c r="B127" i="65" s="1"/>
  <c r="G127" i="65"/>
  <c r="N127" i="65" s="1"/>
  <c r="R126" i="65"/>
  <c r="B126" i="65" s="1"/>
  <c r="G126" i="65"/>
  <c r="N126" i="65" s="1"/>
  <c r="R125" i="65"/>
  <c r="B125" i="65" s="1"/>
  <c r="G125" i="65"/>
  <c r="N125" i="65" s="1"/>
  <c r="R124" i="65"/>
  <c r="B124" i="65" s="1"/>
  <c r="G124" i="65"/>
  <c r="N124" i="65" s="1"/>
  <c r="R123" i="65"/>
  <c r="B123" i="65" s="1"/>
  <c r="G123" i="65"/>
  <c r="N123" i="65" s="1"/>
  <c r="R122" i="65"/>
  <c r="B122" i="65" s="1"/>
  <c r="G122" i="65"/>
  <c r="N122" i="65" s="1"/>
  <c r="R121" i="65"/>
  <c r="B121" i="65" s="1"/>
  <c r="G121" i="65"/>
  <c r="N121" i="65" s="1"/>
  <c r="R120" i="65"/>
  <c r="B120" i="65" s="1"/>
  <c r="N120" i="65"/>
  <c r="G120" i="65"/>
  <c r="R119" i="65"/>
  <c r="B119" i="65" s="1"/>
  <c r="G119" i="65"/>
  <c r="N119" i="65" s="1"/>
  <c r="R118" i="65"/>
  <c r="B118" i="65" s="1"/>
  <c r="G118" i="65"/>
  <c r="N118" i="65" s="1"/>
  <c r="R117" i="65"/>
  <c r="B117" i="65" s="1"/>
  <c r="N117" i="65"/>
  <c r="G117" i="65"/>
  <c r="R116" i="65"/>
  <c r="B116" i="65" s="1"/>
  <c r="N116" i="65"/>
  <c r="G116" i="65"/>
  <c r="R115" i="65"/>
  <c r="B115" i="65" s="1"/>
  <c r="G115" i="65"/>
  <c r="N115" i="65" s="1"/>
  <c r="R114" i="65"/>
  <c r="B114" i="65" s="1"/>
  <c r="N114" i="65"/>
  <c r="G114" i="65"/>
  <c r="R113" i="65"/>
  <c r="B113" i="65" s="1"/>
  <c r="N113" i="65"/>
  <c r="G113" i="65"/>
  <c r="R112" i="65"/>
  <c r="B112" i="65" s="1"/>
  <c r="N112" i="65"/>
  <c r="G112" i="65"/>
  <c r="R111" i="65"/>
  <c r="B111" i="65" s="1"/>
  <c r="N111" i="65"/>
  <c r="G111" i="65"/>
  <c r="R110" i="65"/>
  <c r="B110" i="65" s="1"/>
  <c r="G110" i="65"/>
  <c r="N110" i="65" s="1"/>
  <c r="R109" i="65"/>
  <c r="B109" i="65" s="1"/>
  <c r="G109" i="65"/>
  <c r="N109" i="65" s="1"/>
  <c r="R108" i="65"/>
  <c r="B108" i="65" s="1"/>
  <c r="G108" i="65"/>
  <c r="N108" i="65" s="1"/>
  <c r="R107" i="65"/>
  <c r="B107" i="65" s="1"/>
  <c r="G107" i="65"/>
  <c r="N107" i="65" s="1"/>
  <c r="R106" i="65"/>
  <c r="B106" i="65" s="1"/>
  <c r="N106" i="65"/>
  <c r="G106" i="65"/>
  <c r="R105" i="65"/>
  <c r="B105" i="65" s="1"/>
  <c r="N105" i="65"/>
  <c r="G105" i="65"/>
  <c r="R104" i="65"/>
  <c r="B104" i="65" s="1"/>
  <c r="G104" i="65"/>
  <c r="N104" i="65" s="1"/>
  <c r="R103" i="65"/>
  <c r="B103" i="65" s="1"/>
  <c r="G103" i="65"/>
  <c r="N103" i="65" s="1"/>
  <c r="R102" i="65"/>
  <c r="B102" i="65" s="1"/>
  <c r="G102" i="65"/>
  <c r="N102" i="65" s="1"/>
  <c r="R101" i="65"/>
  <c r="B101" i="65" s="1"/>
  <c r="N101" i="65"/>
  <c r="G101" i="65"/>
  <c r="R100" i="65"/>
  <c r="B100" i="65" s="1"/>
  <c r="G100" i="65"/>
  <c r="N100" i="65" s="1"/>
  <c r="R99" i="65"/>
  <c r="B99" i="65" s="1"/>
  <c r="G99" i="65"/>
  <c r="N99" i="65" s="1"/>
  <c r="R98" i="65"/>
  <c r="B98" i="65" s="1"/>
  <c r="G98" i="65"/>
  <c r="N98" i="65" s="1"/>
  <c r="R97" i="65"/>
  <c r="B97" i="65" s="1"/>
  <c r="G97" i="65"/>
  <c r="N97" i="65" s="1"/>
  <c r="R96" i="65"/>
  <c r="B96" i="65" s="1"/>
  <c r="G96" i="65"/>
  <c r="N96" i="65" s="1"/>
  <c r="R95" i="65"/>
  <c r="B95" i="65" s="1"/>
  <c r="G95" i="65"/>
  <c r="N95" i="65" s="1"/>
  <c r="R94" i="65"/>
  <c r="B94" i="65" s="1"/>
  <c r="G94" i="65"/>
  <c r="N94" i="65" s="1"/>
  <c r="R93" i="65"/>
  <c r="B93" i="65" s="1"/>
  <c r="G93" i="65"/>
  <c r="N93" i="65" s="1"/>
  <c r="R92" i="65"/>
  <c r="B92" i="65" s="1"/>
  <c r="N92" i="65"/>
  <c r="G92" i="65"/>
  <c r="S91" i="65"/>
  <c r="R91" i="65"/>
  <c r="B91" i="65" s="1"/>
  <c r="G91" i="65"/>
  <c r="N91" i="65" s="1"/>
  <c r="R90" i="65"/>
  <c r="B90" i="65" s="1"/>
  <c r="N90" i="65"/>
  <c r="G90" i="65"/>
  <c r="S89" i="65"/>
  <c r="R89" i="65"/>
  <c r="B89" i="65" s="1"/>
  <c r="G89" i="65"/>
  <c r="N89" i="65" s="1"/>
  <c r="R88" i="65"/>
  <c r="B88" i="65" s="1"/>
  <c r="G88" i="65"/>
  <c r="N88" i="65" s="1"/>
  <c r="U87" i="65"/>
  <c r="V87" i="65" s="1"/>
  <c r="R87" i="65"/>
  <c r="B87" i="65" s="1"/>
  <c r="G87" i="65"/>
  <c r="N87" i="65" s="1"/>
  <c r="R86" i="65"/>
  <c r="B86" i="65" s="1"/>
  <c r="N86" i="65"/>
  <c r="G86" i="65"/>
  <c r="R85" i="65"/>
  <c r="B85" i="65" s="1"/>
  <c r="G85" i="65"/>
  <c r="N85" i="65" s="1"/>
  <c r="R84" i="65"/>
  <c r="B84" i="65" s="1"/>
  <c r="N84" i="65"/>
  <c r="G84" i="65"/>
  <c r="R83" i="65"/>
  <c r="B83" i="65" s="1"/>
  <c r="N83" i="65"/>
  <c r="G83" i="65"/>
  <c r="R82" i="65"/>
  <c r="B82" i="65" s="1"/>
  <c r="N82" i="65"/>
  <c r="G82" i="65"/>
  <c r="R81" i="65"/>
  <c r="B81" i="65" s="1"/>
  <c r="N81" i="65"/>
  <c r="G81" i="65"/>
  <c r="R80" i="65"/>
  <c r="B80" i="65" s="1"/>
  <c r="G80" i="65"/>
  <c r="N80" i="65" s="1"/>
  <c r="R79" i="65"/>
  <c r="B79" i="65" s="1"/>
  <c r="G79" i="65"/>
  <c r="N79" i="65" s="1"/>
  <c r="R78" i="65"/>
  <c r="B78" i="65" s="1"/>
  <c r="G78" i="65"/>
  <c r="N78" i="65" s="1"/>
  <c r="R77" i="65"/>
  <c r="B77" i="65" s="1"/>
  <c r="G77" i="65"/>
  <c r="N77" i="65" s="1"/>
  <c r="R76" i="65"/>
  <c r="B76" i="65" s="1"/>
  <c r="N76" i="65"/>
  <c r="G76" i="65"/>
  <c r="R75" i="65"/>
  <c r="B75" i="65" s="1"/>
  <c r="N75" i="65"/>
  <c r="G75" i="65"/>
  <c r="R74" i="65"/>
  <c r="B74" i="65" s="1"/>
  <c r="N74" i="65"/>
  <c r="G74" i="65"/>
  <c r="R73" i="65"/>
  <c r="B73" i="65" s="1"/>
  <c r="G73" i="65"/>
  <c r="N73" i="65" s="1"/>
  <c r="R72" i="65"/>
  <c r="B72" i="65" s="1"/>
  <c r="N72" i="65"/>
  <c r="G72" i="65"/>
  <c r="S71" i="65"/>
  <c r="R71" i="65"/>
  <c r="B71" i="65" s="1"/>
  <c r="G71" i="65"/>
  <c r="N71" i="65" s="1"/>
  <c r="U70" i="65"/>
  <c r="V70" i="65" s="1"/>
  <c r="R70" i="65"/>
  <c r="B70" i="65" s="1"/>
  <c r="G70" i="65"/>
  <c r="N70" i="65" s="1"/>
  <c r="R69" i="65"/>
  <c r="B69" i="65" s="1"/>
  <c r="G69" i="65"/>
  <c r="N69" i="65" s="1"/>
  <c r="U68" i="65"/>
  <c r="V68" i="65" s="1"/>
  <c r="R68" i="65"/>
  <c r="B68" i="65" s="1"/>
  <c r="N68" i="65"/>
  <c r="G68" i="65"/>
  <c r="S67" i="65"/>
  <c r="R67" i="65"/>
  <c r="B67" i="65" s="1"/>
  <c r="G67" i="65"/>
  <c r="N67" i="65" s="1"/>
  <c r="R66" i="65"/>
  <c r="B66" i="65" s="1"/>
  <c r="G66" i="65"/>
  <c r="N66" i="65" s="1"/>
  <c r="R65" i="65"/>
  <c r="B65" i="65" s="1"/>
  <c r="G65" i="65"/>
  <c r="N65" i="65" s="1"/>
  <c r="R64" i="65"/>
  <c r="B64" i="65" s="1"/>
  <c r="G64" i="65"/>
  <c r="N64" i="65" s="1"/>
  <c r="S63" i="65"/>
  <c r="R63" i="65"/>
  <c r="B63" i="65" s="1"/>
  <c r="G63" i="65"/>
  <c r="N63" i="65" s="1"/>
  <c r="AA62" i="65"/>
  <c r="X62" i="65"/>
  <c r="X25" i="65"/>
  <c r="X26" i="65" s="1"/>
  <c r="I24" i="65"/>
  <c r="E23" i="65"/>
  <c r="E24" i="65" s="1"/>
  <c r="E22" i="65"/>
  <c r="E21" i="65"/>
  <c r="J96" i="65" s="1"/>
  <c r="K96" i="65" s="1"/>
  <c r="L96" i="65" s="1"/>
  <c r="E19" i="65"/>
  <c r="F13" i="65"/>
  <c r="U86" i="65" s="1"/>
  <c r="V86" i="65" s="1"/>
  <c r="D13" i="65"/>
  <c r="S129" i="65" s="1"/>
  <c r="I12" i="65"/>
  <c r="I18" i="65" s="1"/>
  <c r="F12" i="65"/>
  <c r="D12" i="65"/>
  <c r="E25" i="65" s="1"/>
  <c r="I11" i="65"/>
  <c r="F11" i="65"/>
  <c r="D11" i="65"/>
  <c r="E11" i="65" s="1"/>
  <c r="F10" i="65"/>
  <c r="D10" i="65"/>
  <c r="F9" i="65"/>
  <c r="Y21" i="65" s="1"/>
  <c r="D9" i="65"/>
  <c r="E8" i="65"/>
  <c r="X8" i="65" s="1"/>
  <c r="X39" i="65" s="1"/>
  <c r="X59" i="65" s="1"/>
  <c r="F7" i="65"/>
  <c r="D7" i="65"/>
  <c r="C6" i="65"/>
  <c r="G5" i="64"/>
  <c r="G4" i="64"/>
  <c r="R142" i="63"/>
  <c r="B142" i="63" s="1"/>
  <c r="G142" i="63"/>
  <c r="N142" i="63" s="1"/>
  <c r="R141" i="63"/>
  <c r="B141" i="63" s="1"/>
  <c r="G141" i="63"/>
  <c r="N141" i="63" s="1"/>
  <c r="R140" i="63"/>
  <c r="B140" i="63" s="1"/>
  <c r="G140" i="63"/>
  <c r="N140" i="63" s="1"/>
  <c r="R139" i="63"/>
  <c r="B139" i="63" s="1"/>
  <c r="G139" i="63"/>
  <c r="N139" i="63" s="1"/>
  <c r="R138" i="63"/>
  <c r="B138" i="63" s="1"/>
  <c r="G138" i="63"/>
  <c r="N138" i="63" s="1"/>
  <c r="R137" i="63"/>
  <c r="B137" i="63" s="1"/>
  <c r="G137" i="63"/>
  <c r="N137" i="63" s="1"/>
  <c r="R136" i="63"/>
  <c r="B136" i="63" s="1"/>
  <c r="G136" i="63"/>
  <c r="N136" i="63" s="1"/>
  <c r="R135" i="63"/>
  <c r="B135" i="63" s="1"/>
  <c r="G135" i="63"/>
  <c r="N135" i="63" s="1"/>
  <c r="R134" i="63"/>
  <c r="B134" i="63" s="1"/>
  <c r="G134" i="63"/>
  <c r="N134" i="63" s="1"/>
  <c r="R133" i="63"/>
  <c r="B133" i="63" s="1"/>
  <c r="G133" i="63"/>
  <c r="N133" i="63" s="1"/>
  <c r="R132" i="63"/>
  <c r="B132" i="63" s="1"/>
  <c r="N132" i="63"/>
  <c r="G132" i="63"/>
  <c r="R131" i="63"/>
  <c r="B131" i="63" s="1"/>
  <c r="G131" i="63"/>
  <c r="N131" i="63" s="1"/>
  <c r="R130" i="63"/>
  <c r="B130" i="63" s="1"/>
  <c r="G130" i="63"/>
  <c r="N130" i="63" s="1"/>
  <c r="R129" i="63"/>
  <c r="B129" i="63" s="1"/>
  <c r="G129" i="63"/>
  <c r="N129" i="63" s="1"/>
  <c r="R128" i="63"/>
  <c r="B128" i="63" s="1"/>
  <c r="G128" i="63"/>
  <c r="N128" i="63" s="1"/>
  <c r="R127" i="63"/>
  <c r="B127" i="63" s="1"/>
  <c r="G127" i="63"/>
  <c r="N127" i="63" s="1"/>
  <c r="R126" i="63"/>
  <c r="B126" i="63" s="1"/>
  <c r="G126" i="63"/>
  <c r="N126" i="63" s="1"/>
  <c r="R125" i="63"/>
  <c r="B125" i="63" s="1"/>
  <c r="G125" i="63"/>
  <c r="N125" i="63" s="1"/>
  <c r="R124" i="63"/>
  <c r="B124" i="63" s="1"/>
  <c r="G124" i="63"/>
  <c r="N124" i="63" s="1"/>
  <c r="R123" i="63"/>
  <c r="B123" i="63" s="1"/>
  <c r="G123" i="63"/>
  <c r="N123" i="63" s="1"/>
  <c r="R122" i="63"/>
  <c r="B122" i="63" s="1"/>
  <c r="G122" i="63"/>
  <c r="N122" i="63" s="1"/>
  <c r="R121" i="63"/>
  <c r="B121" i="63" s="1"/>
  <c r="G121" i="63"/>
  <c r="N121" i="63" s="1"/>
  <c r="R120" i="63"/>
  <c r="B120" i="63" s="1"/>
  <c r="G120" i="63"/>
  <c r="N120" i="63" s="1"/>
  <c r="R119" i="63"/>
  <c r="B119" i="63" s="1"/>
  <c r="G119" i="63"/>
  <c r="N119" i="63" s="1"/>
  <c r="R118" i="63"/>
  <c r="B118" i="63" s="1"/>
  <c r="G118" i="63"/>
  <c r="N118" i="63" s="1"/>
  <c r="R117" i="63"/>
  <c r="B117" i="63" s="1"/>
  <c r="G117" i="63"/>
  <c r="N117" i="63" s="1"/>
  <c r="R116" i="63"/>
  <c r="B116" i="63" s="1"/>
  <c r="G116" i="63"/>
  <c r="N116" i="63" s="1"/>
  <c r="R115" i="63"/>
  <c r="B115" i="63" s="1"/>
  <c r="G115" i="63"/>
  <c r="N115" i="63" s="1"/>
  <c r="R114" i="63"/>
  <c r="B114" i="63" s="1"/>
  <c r="G114" i="63"/>
  <c r="N114" i="63" s="1"/>
  <c r="R113" i="63"/>
  <c r="B113" i="63" s="1"/>
  <c r="G113" i="63"/>
  <c r="N113" i="63" s="1"/>
  <c r="R112" i="63"/>
  <c r="B112" i="63" s="1"/>
  <c r="G112" i="63"/>
  <c r="N112" i="63" s="1"/>
  <c r="R111" i="63"/>
  <c r="B111" i="63" s="1"/>
  <c r="G111" i="63"/>
  <c r="N111" i="63" s="1"/>
  <c r="R110" i="63"/>
  <c r="B110" i="63" s="1"/>
  <c r="G110" i="63"/>
  <c r="N110" i="63" s="1"/>
  <c r="R109" i="63"/>
  <c r="B109" i="63" s="1"/>
  <c r="G109" i="63"/>
  <c r="N109" i="63" s="1"/>
  <c r="R108" i="63"/>
  <c r="B108" i="63" s="1"/>
  <c r="G108" i="63"/>
  <c r="N108" i="63" s="1"/>
  <c r="R107" i="63"/>
  <c r="B107" i="63" s="1"/>
  <c r="G107" i="63"/>
  <c r="N107" i="63" s="1"/>
  <c r="R106" i="63"/>
  <c r="B106" i="63" s="1"/>
  <c r="G106" i="63"/>
  <c r="N106" i="63" s="1"/>
  <c r="R105" i="63"/>
  <c r="B105" i="63" s="1"/>
  <c r="G105" i="63"/>
  <c r="N105" i="63" s="1"/>
  <c r="R104" i="63"/>
  <c r="B104" i="63" s="1"/>
  <c r="G104" i="63"/>
  <c r="N104" i="63" s="1"/>
  <c r="R103" i="63"/>
  <c r="B103" i="63" s="1"/>
  <c r="G103" i="63"/>
  <c r="N103" i="63" s="1"/>
  <c r="R102" i="63"/>
  <c r="B102" i="63" s="1"/>
  <c r="G102" i="63"/>
  <c r="N102" i="63" s="1"/>
  <c r="R101" i="63"/>
  <c r="B101" i="63" s="1"/>
  <c r="G101" i="63"/>
  <c r="N101" i="63" s="1"/>
  <c r="R100" i="63"/>
  <c r="B100" i="63" s="1"/>
  <c r="G100" i="63"/>
  <c r="N100" i="63" s="1"/>
  <c r="R99" i="63"/>
  <c r="B99" i="63" s="1"/>
  <c r="G99" i="63"/>
  <c r="N99" i="63" s="1"/>
  <c r="R98" i="63"/>
  <c r="B98" i="63" s="1"/>
  <c r="G98" i="63"/>
  <c r="N98" i="63" s="1"/>
  <c r="R97" i="63"/>
  <c r="B97" i="63" s="1"/>
  <c r="G97" i="63"/>
  <c r="N97" i="63" s="1"/>
  <c r="R96" i="63"/>
  <c r="B96" i="63" s="1"/>
  <c r="G96" i="63"/>
  <c r="N96" i="63" s="1"/>
  <c r="R95" i="63"/>
  <c r="B95" i="63" s="1"/>
  <c r="G95" i="63"/>
  <c r="N95" i="63" s="1"/>
  <c r="R94" i="63"/>
  <c r="B94" i="63" s="1"/>
  <c r="G94" i="63"/>
  <c r="N94" i="63" s="1"/>
  <c r="R93" i="63"/>
  <c r="B93" i="63" s="1"/>
  <c r="G93" i="63"/>
  <c r="N93" i="63" s="1"/>
  <c r="R92" i="63"/>
  <c r="B92" i="63" s="1"/>
  <c r="G92" i="63"/>
  <c r="N92" i="63" s="1"/>
  <c r="R91" i="63"/>
  <c r="B91" i="63" s="1"/>
  <c r="G91" i="63"/>
  <c r="N91" i="63" s="1"/>
  <c r="R90" i="63"/>
  <c r="B90" i="63" s="1"/>
  <c r="G90" i="63"/>
  <c r="N90" i="63" s="1"/>
  <c r="R89" i="63"/>
  <c r="B89" i="63" s="1"/>
  <c r="G89" i="63"/>
  <c r="N89" i="63" s="1"/>
  <c r="R88" i="63"/>
  <c r="B88" i="63" s="1"/>
  <c r="G88" i="63"/>
  <c r="N88" i="63" s="1"/>
  <c r="R87" i="63"/>
  <c r="B87" i="63" s="1"/>
  <c r="G87" i="63"/>
  <c r="N87" i="63" s="1"/>
  <c r="R86" i="63"/>
  <c r="B86" i="63" s="1"/>
  <c r="G86" i="63"/>
  <c r="N86" i="63" s="1"/>
  <c r="R85" i="63"/>
  <c r="B85" i="63" s="1"/>
  <c r="G85" i="63"/>
  <c r="N85" i="63" s="1"/>
  <c r="R84" i="63"/>
  <c r="B84" i="63" s="1"/>
  <c r="G84" i="63"/>
  <c r="N84" i="63" s="1"/>
  <c r="R83" i="63"/>
  <c r="B83" i="63" s="1"/>
  <c r="G83" i="63"/>
  <c r="N83" i="63" s="1"/>
  <c r="R82" i="63"/>
  <c r="B82" i="63" s="1"/>
  <c r="G82" i="63"/>
  <c r="N82" i="63" s="1"/>
  <c r="R81" i="63"/>
  <c r="B81" i="63" s="1"/>
  <c r="G81" i="63"/>
  <c r="N81" i="63" s="1"/>
  <c r="R80" i="63"/>
  <c r="B80" i="63" s="1"/>
  <c r="G80" i="63"/>
  <c r="N80" i="63" s="1"/>
  <c r="R79" i="63"/>
  <c r="B79" i="63" s="1"/>
  <c r="G79" i="63"/>
  <c r="N79" i="63" s="1"/>
  <c r="R78" i="63"/>
  <c r="B78" i="63" s="1"/>
  <c r="G78" i="63"/>
  <c r="N78" i="63" s="1"/>
  <c r="R77" i="63"/>
  <c r="B77" i="63" s="1"/>
  <c r="G77" i="63"/>
  <c r="N77" i="63" s="1"/>
  <c r="R76" i="63"/>
  <c r="B76" i="63" s="1"/>
  <c r="G76" i="63"/>
  <c r="N76" i="63" s="1"/>
  <c r="R75" i="63"/>
  <c r="B75" i="63" s="1"/>
  <c r="G75" i="63"/>
  <c r="N75" i="63" s="1"/>
  <c r="R74" i="63"/>
  <c r="B74" i="63" s="1"/>
  <c r="G74" i="63"/>
  <c r="N74" i="63" s="1"/>
  <c r="R73" i="63"/>
  <c r="B73" i="63" s="1"/>
  <c r="G73" i="63"/>
  <c r="N73" i="63" s="1"/>
  <c r="U72" i="63"/>
  <c r="V72" i="63" s="1"/>
  <c r="R72" i="63"/>
  <c r="B72" i="63" s="1"/>
  <c r="G72" i="63"/>
  <c r="N72" i="63" s="1"/>
  <c r="R71" i="63"/>
  <c r="B71" i="63" s="1"/>
  <c r="G71" i="63"/>
  <c r="N71" i="63" s="1"/>
  <c r="R70" i="63"/>
  <c r="B70" i="63" s="1"/>
  <c r="G70" i="63"/>
  <c r="N70" i="63" s="1"/>
  <c r="R69" i="63"/>
  <c r="B69" i="63" s="1"/>
  <c r="G69" i="63"/>
  <c r="N69" i="63" s="1"/>
  <c r="R68" i="63"/>
  <c r="B68" i="63" s="1"/>
  <c r="G68" i="63"/>
  <c r="N68" i="63" s="1"/>
  <c r="R67" i="63"/>
  <c r="B67" i="63" s="1"/>
  <c r="G67" i="63"/>
  <c r="N67" i="63" s="1"/>
  <c r="R66" i="63"/>
  <c r="B66" i="63" s="1"/>
  <c r="G66" i="63"/>
  <c r="N66" i="63" s="1"/>
  <c r="R65" i="63"/>
  <c r="B65" i="63" s="1"/>
  <c r="G65" i="63"/>
  <c r="N65" i="63" s="1"/>
  <c r="R64" i="63"/>
  <c r="B64" i="63" s="1"/>
  <c r="G64" i="63"/>
  <c r="N64" i="63" s="1"/>
  <c r="R63" i="63"/>
  <c r="B63" i="63" s="1"/>
  <c r="G63" i="63"/>
  <c r="N63" i="63" s="1"/>
  <c r="AA62" i="63"/>
  <c r="X62" i="63"/>
  <c r="X25" i="63"/>
  <c r="X26" i="63" s="1"/>
  <c r="E23" i="63"/>
  <c r="E24" i="63" s="1"/>
  <c r="E22" i="63"/>
  <c r="E21" i="63"/>
  <c r="J73" i="63" s="1"/>
  <c r="K73" i="63" s="1"/>
  <c r="L73" i="63" s="1"/>
  <c r="E19" i="63"/>
  <c r="F13" i="63"/>
  <c r="U64" i="63" s="1"/>
  <c r="V64" i="63" s="1"/>
  <c r="D13" i="63"/>
  <c r="S69" i="63" s="1"/>
  <c r="F12" i="63"/>
  <c r="D12" i="63"/>
  <c r="E25" i="63" s="1"/>
  <c r="F11" i="63"/>
  <c r="D11" i="63"/>
  <c r="F10" i="63"/>
  <c r="E10" i="63" s="1"/>
  <c r="D10" i="63"/>
  <c r="F9" i="63"/>
  <c r="D9" i="63"/>
  <c r="E8" i="63"/>
  <c r="I12" i="63" s="1"/>
  <c r="I18" i="63" s="1"/>
  <c r="F7" i="63"/>
  <c r="D7" i="63"/>
  <c r="C6" i="63"/>
  <c r="G99" i="34"/>
  <c r="N99" i="34" s="1"/>
  <c r="G100" i="34"/>
  <c r="N100" i="34" s="1"/>
  <c r="G101" i="34"/>
  <c r="N101" i="34" s="1"/>
  <c r="G102" i="34"/>
  <c r="G103" i="34"/>
  <c r="G104" i="34"/>
  <c r="N104" i="34" s="1"/>
  <c r="G105" i="34"/>
  <c r="N105" i="34" s="1"/>
  <c r="G106" i="34"/>
  <c r="N106" i="34" s="1"/>
  <c r="G107" i="34"/>
  <c r="N107" i="34" s="1"/>
  <c r="G108" i="34"/>
  <c r="G109" i="34"/>
  <c r="G110" i="34"/>
  <c r="G111" i="34"/>
  <c r="G112" i="34"/>
  <c r="N112" i="34" s="1"/>
  <c r="G113" i="34"/>
  <c r="N113" i="34" s="1"/>
  <c r="G114" i="34"/>
  <c r="N114" i="34" s="1"/>
  <c r="G115" i="34"/>
  <c r="G116" i="34"/>
  <c r="N116" i="34" s="1"/>
  <c r="G117" i="34"/>
  <c r="N117" i="34" s="1"/>
  <c r="G118" i="34"/>
  <c r="G119" i="34"/>
  <c r="G120" i="34"/>
  <c r="N120" i="34" s="1"/>
  <c r="G121" i="34"/>
  <c r="N121" i="34" s="1"/>
  <c r="G122" i="34"/>
  <c r="N122" i="34" s="1"/>
  <c r="G123" i="34"/>
  <c r="N123" i="34" s="1"/>
  <c r="G124" i="34"/>
  <c r="G125" i="34"/>
  <c r="N125" i="34" s="1"/>
  <c r="G126" i="34"/>
  <c r="G127" i="34"/>
  <c r="G128" i="34"/>
  <c r="N128" i="34" s="1"/>
  <c r="G129" i="34"/>
  <c r="N129" i="34" s="1"/>
  <c r="G130" i="34"/>
  <c r="N130" i="34" s="1"/>
  <c r="G131" i="34"/>
  <c r="N131" i="34" s="1"/>
  <c r="G132" i="34"/>
  <c r="N132" i="34" s="1"/>
  <c r="G133" i="34"/>
  <c r="N133" i="34" s="1"/>
  <c r="G134" i="34"/>
  <c r="G135" i="34"/>
  <c r="G136" i="34"/>
  <c r="N136" i="34" s="1"/>
  <c r="G137" i="34"/>
  <c r="N137" i="34" s="1"/>
  <c r="G138" i="34"/>
  <c r="N138" i="34" s="1"/>
  <c r="G139" i="34"/>
  <c r="N139" i="34" s="1"/>
  <c r="G140" i="34"/>
  <c r="G141" i="34"/>
  <c r="N141" i="34" s="1"/>
  <c r="G142" i="34"/>
  <c r="N102" i="34"/>
  <c r="N103" i="34"/>
  <c r="N108" i="34"/>
  <c r="N109" i="34"/>
  <c r="N110" i="34"/>
  <c r="N111" i="34"/>
  <c r="N115" i="34"/>
  <c r="N118" i="34"/>
  <c r="N119" i="34"/>
  <c r="N124" i="34"/>
  <c r="N126" i="34"/>
  <c r="N127" i="34"/>
  <c r="N134" i="34"/>
  <c r="N135" i="34"/>
  <c r="N140" i="34"/>
  <c r="N142" i="34"/>
  <c r="R99" i="34"/>
  <c r="B99" i="34" s="1"/>
  <c r="R100" i="34"/>
  <c r="B100" i="34" s="1"/>
  <c r="R101" i="34"/>
  <c r="B101" i="34" s="1"/>
  <c r="R102" i="34"/>
  <c r="B102" i="34" s="1"/>
  <c r="R103" i="34"/>
  <c r="B103" i="34" s="1"/>
  <c r="R104" i="34"/>
  <c r="B104" i="34" s="1"/>
  <c r="R105" i="34"/>
  <c r="B105" i="34" s="1"/>
  <c r="R106" i="34"/>
  <c r="B106" i="34" s="1"/>
  <c r="R107" i="34"/>
  <c r="B107" i="34" s="1"/>
  <c r="R108" i="34"/>
  <c r="B108" i="34" s="1"/>
  <c r="R109" i="34"/>
  <c r="B109" i="34" s="1"/>
  <c r="R110" i="34"/>
  <c r="B110" i="34" s="1"/>
  <c r="R111" i="34"/>
  <c r="B111" i="34" s="1"/>
  <c r="R112" i="34"/>
  <c r="B112" i="34" s="1"/>
  <c r="R113" i="34"/>
  <c r="B113" i="34" s="1"/>
  <c r="R114" i="34"/>
  <c r="B114" i="34" s="1"/>
  <c r="R115" i="34"/>
  <c r="B115" i="34" s="1"/>
  <c r="R116" i="34"/>
  <c r="B116" i="34" s="1"/>
  <c r="R117" i="34"/>
  <c r="B117" i="34" s="1"/>
  <c r="R118" i="34"/>
  <c r="B118" i="34" s="1"/>
  <c r="R119" i="34"/>
  <c r="B119" i="34" s="1"/>
  <c r="R120" i="34"/>
  <c r="B120" i="34" s="1"/>
  <c r="R121" i="34"/>
  <c r="B121" i="34" s="1"/>
  <c r="R122" i="34"/>
  <c r="B122" i="34" s="1"/>
  <c r="R123" i="34"/>
  <c r="B123" i="34" s="1"/>
  <c r="R124" i="34"/>
  <c r="B124" i="34" s="1"/>
  <c r="R125" i="34"/>
  <c r="B125" i="34" s="1"/>
  <c r="R126" i="34"/>
  <c r="B126" i="34" s="1"/>
  <c r="R127" i="34"/>
  <c r="B127" i="34" s="1"/>
  <c r="R128" i="34"/>
  <c r="B128" i="34" s="1"/>
  <c r="R129" i="34"/>
  <c r="B129" i="34" s="1"/>
  <c r="R130" i="34"/>
  <c r="B130" i="34" s="1"/>
  <c r="R131" i="34"/>
  <c r="B131" i="34" s="1"/>
  <c r="R132" i="34"/>
  <c r="B132" i="34" s="1"/>
  <c r="R133" i="34"/>
  <c r="B133" i="34" s="1"/>
  <c r="R134" i="34"/>
  <c r="B134" i="34" s="1"/>
  <c r="R135" i="34"/>
  <c r="B135" i="34" s="1"/>
  <c r="R136" i="34"/>
  <c r="B136" i="34" s="1"/>
  <c r="R137" i="34"/>
  <c r="B137" i="34" s="1"/>
  <c r="R138" i="34"/>
  <c r="B138" i="34" s="1"/>
  <c r="R139" i="34"/>
  <c r="B139" i="34" s="1"/>
  <c r="R140" i="34"/>
  <c r="B140" i="34" s="1"/>
  <c r="R141" i="34"/>
  <c r="B141" i="34" s="1"/>
  <c r="R142" i="34"/>
  <c r="B142" i="34" s="1"/>
  <c r="E27" i="77" l="1"/>
  <c r="T60" i="77"/>
  <c r="D14" i="77"/>
  <c r="W60" i="77"/>
  <c r="W59" i="77" s="1"/>
  <c r="F17" i="77"/>
  <c r="I25" i="77"/>
  <c r="F18" i="77"/>
  <c r="F16" i="77" s="1"/>
  <c r="M94" i="76"/>
  <c r="O94" i="76" s="1"/>
  <c r="P94" i="76" s="1"/>
  <c r="M71" i="76"/>
  <c r="O71" i="76" s="1"/>
  <c r="P71" i="76" s="1"/>
  <c r="M101" i="76"/>
  <c r="O101" i="76" s="1"/>
  <c r="P101" i="76" s="1"/>
  <c r="M108" i="76"/>
  <c r="O108" i="76" s="1"/>
  <c r="P108" i="76" s="1"/>
  <c r="M105" i="76"/>
  <c r="O105" i="76" s="1"/>
  <c r="P105" i="76" s="1"/>
  <c r="M118" i="76"/>
  <c r="O118" i="76" s="1"/>
  <c r="P118" i="76" s="1"/>
  <c r="M127" i="76"/>
  <c r="O127" i="76" s="1"/>
  <c r="P127" i="76" s="1"/>
  <c r="M66" i="76"/>
  <c r="O66" i="76" s="1"/>
  <c r="P66" i="76" s="1"/>
  <c r="M100" i="76"/>
  <c r="O100" i="76" s="1"/>
  <c r="P100" i="76" s="1"/>
  <c r="M65" i="76"/>
  <c r="O65" i="76" s="1"/>
  <c r="P65" i="76" s="1"/>
  <c r="M116" i="76"/>
  <c r="O116" i="76" s="1"/>
  <c r="P116" i="76" s="1"/>
  <c r="M117" i="76"/>
  <c r="O117" i="76" s="1"/>
  <c r="P117" i="76" s="1"/>
  <c r="M122" i="76"/>
  <c r="O122" i="76" s="1"/>
  <c r="P122" i="76" s="1"/>
  <c r="M131" i="76"/>
  <c r="O131" i="76" s="1"/>
  <c r="P131" i="76" s="1"/>
  <c r="M128" i="76"/>
  <c r="O128" i="76" s="1"/>
  <c r="P128" i="76" s="1"/>
  <c r="M64" i="76"/>
  <c r="O64" i="76" s="1"/>
  <c r="P64" i="76" s="1"/>
  <c r="M86" i="76"/>
  <c r="O86" i="76" s="1"/>
  <c r="P86" i="76" s="1"/>
  <c r="M73" i="76"/>
  <c r="O73" i="76" s="1"/>
  <c r="P73" i="76" s="1"/>
  <c r="M129" i="76"/>
  <c r="O129" i="76" s="1"/>
  <c r="P129" i="76" s="1"/>
  <c r="M138" i="76"/>
  <c r="O138" i="76" s="1"/>
  <c r="P138" i="76" s="1"/>
  <c r="M80" i="76"/>
  <c r="O80" i="76" s="1"/>
  <c r="P80" i="76" s="1"/>
  <c r="M68" i="76"/>
  <c r="O68" i="76" s="1"/>
  <c r="P68" i="76" s="1"/>
  <c r="M83" i="76"/>
  <c r="O83" i="76" s="1"/>
  <c r="P83" i="76" s="1"/>
  <c r="M85" i="76"/>
  <c r="O85" i="76" s="1"/>
  <c r="P85" i="76" s="1"/>
  <c r="M133" i="76"/>
  <c r="O133" i="76" s="1"/>
  <c r="P133" i="76" s="1"/>
  <c r="M142" i="76"/>
  <c r="O142" i="76" s="1"/>
  <c r="P142" i="76" s="1"/>
  <c r="M96" i="76"/>
  <c r="O96" i="76" s="1"/>
  <c r="P96" i="76" s="1"/>
  <c r="M74" i="76"/>
  <c r="O74" i="76" s="1"/>
  <c r="P74" i="76" s="1"/>
  <c r="M87" i="76"/>
  <c r="O87" i="76" s="1"/>
  <c r="P87" i="76" s="1"/>
  <c r="M89" i="76"/>
  <c r="O89" i="76" s="1"/>
  <c r="P89" i="76" s="1"/>
  <c r="M137" i="76"/>
  <c r="O137" i="76" s="1"/>
  <c r="P137" i="76" s="1"/>
  <c r="M107" i="76"/>
  <c r="O107" i="76" s="1"/>
  <c r="P107" i="76" s="1"/>
  <c r="M92" i="76"/>
  <c r="O92" i="76" s="1"/>
  <c r="P92" i="76" s="1"/>
  <c r="M67" i="76"/>
  <c r="O67" i="76" s="1"/>
  <c r="P67" i="76" s="1"/>
  <c r="M82" i="76"/>
  <c r="O82" i="76" s="1"/>
  <c r="P82" i="76" s="1"/>
  <c r="M104" i="76"/>
  <c r="O104" i="76" s="1"/>
  <c r="P104" i="76" s="1"/>
  <c r="M120" i="76"/>
  <c r="O120" i="76" s="1"/>
  <c r="P120" i="76" s="1"/>
  <c r="M110" i="76"/>
  <c r="O110" i="76" s="1"/>
  <c r="P110" i="76" s="1"/>
  <c r="M115" i="76"/>
  <c r="O115" i="76" s="1"/>
  <c r="P115" i="76" s="1"/>
  <c r="W60" i="76"/>
  <c r="W59" i="76" s="1"/>
  <c r="D14" i="76"/>
  <c r="M136" i="76"/>
  <c r="O136" i="76" s="1"/>
  <c r="P136" i="76" s="1"/>
  <c r="M76" i="76"/>
  <c r="O76" i="76" s="1"/>
  <c r="P76" i="76" s="1"/>
  <c r="M99" i="76"/>
  <c r="O99" i="76" s="1"/>
  <c r="P99" i="76" s="1"/>
  <c r="M81" i="76"/>
  <c r="O81" i="76" s="1"/>
  <c r="P81" i="76" s="1"/>
  <c r="M113" i="76"/>
  <c r="O113" i="76" s="1"/>
  <c r="P113" i="76" s="1"/>
  <c r="M102" i="76"/>
  <c r="O102" i="76" s="1"/>
  <c r="P102" i="76" s="1"/>
  <c r="M134" i="76"/>
  <c r="O134" i="76" s="1"/>
  <c r="P134" i="76" s="1"/>
  <c r="M123" i="76"/>
  <c r="O123" i="76" s="1"/>
  <c r="P123" i="76" s="1"/>
  <c r="M70" i="76"/>
  <c r="O70" i="76" s="1"/>
  <c r="P70" i="76" s="1"/>
  <c r="M132" i="76"/>
  <c r="O132" i="76" s="1"/>
  <c r="P132" i="76" s="1"/>
  <c r="M78" i="76"/>
  <c r="O78" i="76" s="1"/>
  <c r="P78" i="76" s="1"/>
  <c r="M79" i="76"/>
  <c r="O79" i="76" s="1"/>
  <c r="P79" i="76" s="1"/>
  <c r="M112" i="76"/>
  <c r="O112" i="76" s="1"/>
  <c r="P112" i="76" s="1"/>
  <c r="M93" i="76"/>
  <c r="O93" i="76" s="1"/>
  <c r="P93" i="76" s="1"/>
  <c r="M125" i="76"/>
  <c r="O125" i="76" s="1"/>
  <c r="P125" i="76" s="1"/>
  <c r="M114" i="76"/>
  <c r="O114" i="76" s="1"/>
  <c r="P114" i="76" s="1"/>
  <c r="M103" i="76"/>
  <c r="O103" i="76" s="1"/>
  <c r="P103" i="76" s="1"/>
  <c r="I25" i="76"/>
  <c r="F18" i="76"/>
  <c r="F16" i="76" s="1"/>
  <c r="F17" i="76"/>
  <c r="X19" i="76"/>
  <c r="X21" i="76"/>
  <c r="X20" i="76"/>
  <c r="M90" i="76"/>
  <c r="O90" i="76" s="1"/>
  <c r="P90" i="76" s="1"/>
  <c r="M63" i="76"/>
  <c r="O63" i="76" s="1"/>
  <c r="P63" i="76" s="1"/>
  <c r="M72" i="76"/>
  <c r="O72" i="76" s="1"/>
  <c r="P72" i="76" s="1"/>
  <c r="M69" i="76"/>
  <c r="O69" i="76" s="1"/>
  <c r="P69" i="76" s="1"/>
  <c r="M95" i="76"/>
  <c r="O95" i="76" s="1"/>
  <c r="P95" i="76" s="1"/>
  <c r="M77" i="76"/>
  <c r="O77" i="76" s="1"/>
  <c r="P77" i="76" s="1"/>
  <c r="M109" i="76"/>
  <c r="O109" i="76" s="1"/>
  <c r="P109" i="76" s="1"/>
  <c r="M141" i="76"/>
  <c r="O141" i="76" s="1"/>
  <c r="P141" i="76" s="1"/>
  <c r="M130" i="76"/>
  <c r="O130" i="76" s="1"/>
  <c r="P130" i="76" s="1"/>
  <c r="M119" i="76"/>
  <c r="O119" i="76" s="1"/>
  <c r="P119" i="76" s="1"/>
  <c r="E27" i="74"/>
  <c r="I25" i="74"/>
  <c r="F18" i="74"/>
  <c r="F16" i="74" s="1"/>
  <c r="F17" i="74"/>
  <c r="D14" i="74"/>
  <c r="T60" i="74"/>
  <c r="W60" i="74"/>
  <c r="W59" i="74" s="1"/>
  <c r="E27" i="72"/>
  <c r="I25" i="72"/>
  <c r="F18" i="72"/>
  <c r="F16" i="72" s="1"/>
  <c r="F17" i="72"/>
  <c r="W60" i="72"/>
  <c r="W59" i="72" s="1"/>
  <c r="T60" i="72"/>
  <c r="D14" i="72"/>
  <c r="I25" i="71"/>
  <c r="F18" i="71"/>
  <c r="F16" i="71" s="1"/>
  <c r="F17" i="71"/>
  <c r="W60" i="71"/>
  <c r="W59" i="71" s="1"/>
  <c r="T60" i="71"/>
  <c r="D14" i="71"/>
  <c r="Y19" i="70"/>
  <c r="W10" i="70"/>
  <c r="U65" i="70"/>
  <c r="V65" i="70" s="1"/>
  <c r="U70" i="70"/>
  <c r="V70" i="70" s="1"/>
  <c r="J87" i="70"/>
  <c r="K87" i="70" s="1"/>
  <c r="L87" i="70" s="1"/>
  <c r="J104" i="70"/>
  <c r="K104" i="70" s="1"/>
  <c r="L104" i="70" s="1"/>
  <c r="E18" i="70"/>
  <c r="E11" i="70"/>
  <c r="U64" i="70"/>
  <c r="V64" i="70" s="1"/>
  <c r="U66" i="70"/>
  <c r="V66" i="70" s="1"/>
  <c r="U74" i="70"/>
  <c r="V74" i="70" s="1"/>
  <c r="U87" i="70"/>
  <c r="V87" i="70" s="1"/>
  <c r="G9" i="64"/>
  <c r="Y20" i="70"/>
  <c r="W11" i="70"/>
  <c r="I141" i="70"/>
  <c r="I137" i="70"/>
  <c r="I133" i="70"/>
  <c r="I129" i="70"/>
  <c r="I125" i="70"/>
  <c r="I121" i="70"/>
  <c r="I117" i="70"/>
  <c r="H141" i="70"/>
  <c r="Q141" i="70" s="1"/>
  <c r="H137" i="70"/>
  <c r="Q137" i="70" s="1"/>
  <c r="H133" i="70"/>
  <c r="Q133" i="70" s="1"/>
  <c r="H129" i="70"/>
  <c r="Q129" i="70" s="1"/>
  <c r="H125" i="70"/>
  <c r="Q125" i="70" s="1"/>
  <c r="H121" i="70"/>
  <c r="Q121" i="70" s="1"/>
  <c r="I140" i="70"/>
  <c r="I136" i="70"/>
  <c r="I132" i="70"/>
  <c r="I128" i="70"/>
  <c r="I124" i="70"/>
  <c r="I120" i="70"/>
  <c r="I116" i="70"/>
  <c r="H140" i="70"/>
  <c r="Q140" i="70" s="1"/>
  <c r="H136" i="70"/>
  <c r="Q136" i="70" s="1"/>
  <c r="H132" i="70"/>
  <c r="Q132" i="70" s="1"/>
  <c r="H128" i="70"/>
  <c r="Q128" i="70" s="1"/>
  <c r="H124" i="70"/>
  <c r="Q124" i="70" s="1"/>
  <c r="H120" i="70"/>
  <c r="Q120" i="70" s="1"/>
  <c r="I139" i="70"/>
  <c r="I135" i="70"/>
  <c r="I131" i="70"/>
  <c r="I127" i="70"/>
  <c r="I123" i="70"/>
  <c r="I119" i="70"/>
  <c r="I115" i="70"/>
  <c r="I111" i="70"/>
  <c r="I107" i="70"/>
  <c r="I103" i="70"/>
  <c r="H139" i="70"/>
  <c r="Q139" i="70" s="1"/>
  <c r="H135" i="70"/>
  <c r="Q135" i="70" s="1"/>
  <c r="H131" i="70"/>
  <c r="Q131" i="70" s="1"/>
  <c r="H127" i="70"/>
  <c r="Q127" i="70" s="1"/>
  <c r="H123" i="70"/>
  <c r="Q123" i="70" s="1"/>
  <c r="H119" i="70"/>
  <c r="Q119" i="70" s="1"/>
  <c r="H142" i="70"/>
  <c r="Q142" i="70" s="1"/>
  <c r="H138" i="70"/>
  <c r="Q138" i="70" s="1"/>
  <c r="H134" i="70"/>
  <c r="Q134" i="70" s="1"/>
  <c r="H130" i="70"/>
  <c r="Q130" i="70" s="1"/>
  <c r="H126" i="70"/>
  <c r="Q126" i="70" s="1"/>
  <c r="H122" i="70"/>
  <c r="Q122" i="70" s="1"/>
  <c r="H118" i="70"/>
  <c r="Q118" i="70" s="1"/>
  <c r="I134" i="70"/>
  <c r="I114" i="70"/>
  <c r="H116" i="70"/>
  <c r="Q116" i="70" s="1"/>
  <c r="H114" i="70"/>
  <c r="Q114" i="70" s="1"/>
  <c r="I142" i="70"/>
  <c r="I122" i="70"/>
  <c r="I98" i="70"/>
  <c r="I94" i="70"/>
  <c r="I90" i="70"/>
  <c r="I86" i="70"/>
  <c r="I82" i="70"/>
  <c r="I78" i="70"/>
  <c r="I130" i="70"/>
  <c r="H98" i="70"/>
  <c r="Q98" i="70" s="1"/>
  <c r="H94" i="70"/>
  <c r="Q94" i="70" s="1"/>
  <c r="H90" i="70"/>
  <c r="Q90" i="70" s="1"/>
  <c r="H86" i="70"/>
  <c r="Q86" i="70" s="1"/>
  <c r="H82" i="70"/>
  <c r="Q82" i="70" s="1"/>
  <c r="I138" i="70"/>
  <c r="H115" i="70"/>
  <c r="Q115" i="70" s="1"/>
  <c r="I113" i="70"/>
  <c r="I126" i="70"/>
  <c r="H113" i="70"/>
  <c r="Q113" i="70" s="1"/>
  <c r="H112" i="70"/>
  <c r="Q112" i="70" s="1"/>
  <c r="H111" i="70"/>
  <c r="Q111" i="70" s="1"/>
  <c r="H110" i="70"/>
  <c r="Q110" i="70" s="1"/>
  <c r="H109" i="70"/>
  <c r="Q109" i="70" s="1"/>
  <c r="H108" i="70"/>
  <c r="Q108" i="70" s="1"/>
  <c r="H107" i="70"/>
  <c r="Q107" i="70" s="1"/>
  <c r="H106" i="70"/>
  <c r="Q106" i="70" s="1"/>
  <c r="H105" i="70"/>
  <c r="Q105" i="70" s="1"/>
  <c r="H104" i="70"/>
  <c r="Q104" i="70" s="1"/>
  <c r="H103" i="70"/>
  <c r="Q103" i="70" s="1"/>
  <c r="H102" i="70"/>
  <c r="Q102" i="70" s="1"/>
  <c r="H101" i="70"/>
  <c r="Q101" i="70" s="1"/>
  <c r="I100" i="70"/>
  <c r="I96" i="70"/>
  <c r="I92" i="70"/>
  <c r="I88" i="70"/>
  <c r="I84" i="70"/>
  <c r="I80" i="70"/>
  <c r="I76" i="70"/>
  <c r="H117" i="70"/>
  <c r="Q117" i="70" s="1"/>
  <c r="H87" i="70"/>
  <c r="Q87" i="70" s="1"/>
  <c r="H85" i="70"/>
  <c r="Q85" i="70" s="1"/>
  <c r="I83" i="70"/>
  <c r="H80" i="70"/>
  <c r="Q80" i="70" s="1"/>
  <c r="H76" i="70"/>
  <c r="Q76" i="70" s="1"/>
  <c r="I75" i="70"/>
  <c r="I71" i="70"/>
  <c r="I67" i="70"/>
  <c r="I63" i="70"/>
  <c r="I68" i="70"/>
  <c r="H100" i="70"/>
  <c r="Q100" i="70" s="1"/>
  <c r="H96" i="70"/>
  <c r="Q96" i="70" s="1"/>
  <c r="H83" i="70"/>
  <c r="Q83" i="70" s="1"/>
  <c r="I81" i="70"/>
  <c r="I77" i="70"/>
  <c r="H75" i="70"/>
  <c r="Q75" i="70" s="1"/>
  <c r="H71" i="70"/>
  <c r="Q71" i="70" s="1"/>
  <c r="H67" i="70"/>
  <c r="Q67" i="70" s="1"/>
  <c r="H63" i="70"/>
  <c r="Q63" i="70" s="1"/>
  <c r="I108" i="70"/>
  <c r="I110" i="70"/>
  <c r="H92" i="70"/>
  <c r="Q92" i="70" s="1"/>
  <c r="H81" i="70"/>
  <c r="Q81" i="70" s="1"/>
  <c r="H77" i="70"/>
  <c r="Q77" i="70" s="1"/>
  <c r="I74" i="70"/>
  <c r="I70" i="70"/>
  <c r="I66" i="70"/>
  <c r="I112" i="70"/>
  <c r="I106" i="70"/>
  <c r="H88" i="70"/>
  <c r="Q88" i="70" s="1"/>
  <c r="H74" i="70"/>
  <c r="Q74" i="70" s="1"/>
  <c r="H70" i="70"/>
  <c r="Q70" i="70" s="1"/>
  <c r="H66" i="70"/>
  <c r="Q66" i="70" s="1"/>
  <c r="H79" i="70"/>
  <c r="Q79" i="70" s="1"/>
  <c r="I118" i="70"/>
  <c r="I109" i="70"/>
  <c r="I102" i="70"/>
  <c r="I99" i="70"/>
  <c r="I97" i="70"/>
  <c r="H84" i="70"/>
  <c r="Q84" i="70" s="1"/>
  <c r="H78" i="70"/>
  <c r="Q78" i="70" s="1"/>
  <c r="I73" i="70"/>
  <c r="I69" i="70"/>
  <c r="I65" i="70"/>
  <c r="I105" i="70"/>
  <c r="H99" i="70"/>
  <c r="Q99" i="70" s="1"/>
  <c r="H97" i="70"/>
  <c r="Q97" i="70" s="1"/>
  <c r="I95" i="70"/>
  <c r="I93" i="70"/>
  <c r="I79" i="70"/>
  <c r="H73" i="70"/>
  <c r="Q73" i="70" s="1"/>
  <c r="H69" i="70"/>
  <c r="Q69" i="70" s="1"/>
  <c r="H65" i="70"/>
  <c r="Q65" i="70" s="1"/>
  <c r="I101" i="70"/>
  <c r="H95" i="70"/>
  <c r="Q95" i="70" s="1"/>
  <c r="H93" i="70"/>
  <c r="Q93" i="70" s="1"/>
  <c r="I72" i="70"/>
  <c r="I104" i="70"/>
  <c r="H91" i="70"/>
  <c r="Q91" i="70" s="1"/>
  <c r="H89" i="70"/>
  <c r="Q89" i="70" s="1"/>
  <c r="I87" i="70"/>
  <c r="I85" i="70"/>
  <c r="H72" i="70"/>
  <c r="Q72" i="70" s="1"/>
  <c r="H68" i="70"/>
  <c r="Q68" i="70" s="1"/>
  <c r="H64" i="70"/>
  <c r="Q64" i="70" s="1"/>
  <c r="I91" i="70"/>
  <c r="I89" i="70"/>
  <c r="T63" i="70"/>
  <c r="X30" i="70"/>
  <c r="Y30" i="70" s="1"/>
  <c r="N65" i="70"/>
  <c r="E16" i="70" s="1"/>
  <c r="I64" i="70"/>
  <c r="T105" i="70"/>
  <c r="J18" i="70"/>
  <c r="I21" i="70"/>
  <c r="J21" i="70" s="1"/>
  <c r="X29" i="70"/>
  <c r="Y29" i="70" s="1"/>
  <c r="J63" i="70"/>
  <c r="K63" i="70" s="1"/>
  <c r="L63" i="70" s="1"/>
  <c r="J67" i="70"/>
  <c r="K67" i="70" s="1"/>
  <c r="L67" i="70" s="1"/>
  <c r="J71" i="70"/>
  <c r="K71" i="70" s="1"/>
  <c r="L71" i="70" s="1"/>
  <c r="J75" i="70"/>
  <c r="K75" i="70" s="1"/>
  <c r="L75" i="70" s="1"/>
  <c r="J76" i="70"/>
  <c r="K76" i="70" s="1"/>
  <c r="L76" i="70" s="1"/>
  <c r="J80" i="70"/>
  <c r="K80" i="70" s="1"/>
  <c r="L80" i="70" s="1"/>
  <c r="J83" i="70"/>
  <c r="K83" i="70" s="1"/>
  <c r="L83" i="70" s="1"/>
  <c r="U83" i="70"/>
  <c r="V83" i="70" s="1"/>
  <c r="U85" i="70"/>
  <c r="V85" i="70" s="1"/>
  <c r="J114" i="70"/>
  <c r="K114" i="70" s="1"/>
  <c r="L114" i="70" s="1"/>
  <c r="S140" i="70"/>
  <c r="S136" i="70"/>
  <c r="S132" i="70"/>
  <c r="S128" i="70"/>
  <c r="S124" i="70"/>
  <c r="S120" i="70"/>
  <c r="S116" i="70"/>
  <c r="S139" i="70"/>
  <c r="S135" i="70"/>
  <c r="S131" i="70"/>
  <c r="S127" i="70"/>
  <c r="S123" i="70"/>
  <c r="S119" i="70"/>
  <c r="S115" i="70"/>
  <c r="S142" i="70"/>
  <c r="S138" i="70"/>
  <c r="S134" i="70"/>
  <c r="S130" i="70"/>
  <c r="S126" i="70"/>
  <c r="S122" i="70"/>
  <c r="S118" i="70"/>
  <c r="S114" i="70"/>
  <c r="S110" i="70"/>
  <c r="S106" i="70"/>
  <c r="S102" i="70"/>
  <c r="S125" i="70"/>
  <c r="S133" i="70"/>
  <c r="S117" i="70"/>
  <c r="S97" i="70"/>
  <c r="S93" i="70"/>
  <c r="S89" i="70"/>
  <c r="S85" i="70"/>
  <c r="S81" i="70"/>
  <c r="S77" i="70"/>
  <c r="S141" i="70"/>
  <c r="S121" i="70"/>
  <c r="S129" i="70"/>
  <c r="S113" i="70"/>
  <c r="S99" i="70"/>
  <c r="S95" i="70"/>
  <c r="S91" i="70"/>
  <c r="S87" i="70"/>
  <c r="S83" i="70"/>
  <c r="S79" i="70"/>
  <c r="F20" i="70"/>
  <c r="E25" i="70"/>
  <c r="E26" i="70" s="1"/>
  <c r="J64" i="70"/>
  <c r="K64" i="70" s="1"/>
  <c r="L64" i="70" s="1"/>
  <c r="T67" i="70"/>
  <c r="J68" i="70"/>
  <c r="K68" i="70" s="1"/>
  <c r="L68" i="70" s="1"/>
  <c r="T71" i="70"/>
  <c r="J72" i="70"/>
  <c r="K72" i="70" s="1"/>
  <c r="L72" i="70" s="1"/>
  <c r="T82" i="70"/>
  <c r="S84" i="70"/>
  <c r="S86" i="70"/>
  <c r="J91" i="70"/>
  <c r="K91" i="70" s="1"/>
  <c r="L91" i="70" s="1"/>
  <c r="U91" i="70"/>
  <c r="V91" i="70" s="1"/>
  <c r="J101" i="70"/>
  <c r="K101" i="70" s="1"/>
  <c r="L101" i="70" s="1"/>
  <c r="J108" i="70"/>
  <c r="K108" i="70" s="1"/>
  <c r="L108" i="70" s="1"/>
  <c r="T111" i="70"/>
  <c r="S137" i="70"/>
  <c r="X8" i="70"/>
  <c r="X39" i="70" s="1"/>
  <c r="X59" i="70" s="1"/>
  <c r="U139" i="70"/>
  <c r="V139" i="70" s="1"/>
  <c r="U135" i="70"/>
  <c r="V135" i="70" s="1"/>
  <c r="U131" i="70"/>
  <c r="V131" i="70" s="1"/>
  <c r="U127" i="70"/>
  <c r="V127" i="70" s="1"/>
  <c r="U123" i="70"/>
  <c r="V123" i="70" s="1"/>
  <c r="U119" i="70"/>
  <c r="V119" i="70" s="1"/>
  <c r="U115" i="70"/>
  <c r="V115" i="70" s="1"/>
  <c r="U142" i="70"/>
  <c r="V142" i="70" s="1"/>
  <c r="U138" i="70"/>
  <c r="V138" i="70" s="1"/>
  <c r="U134" i="70"/>
  <c r="V134" i="70" s="1"/>
  <c r="U130" i="70"/>
  <c r="V130" i="70" s="1"/>
  <c r="U126" i="70"/>
  <c r="V126" i="70" s="1"/>
  <c r="U122" i="70"/>
  <c r="V122" i="70" s="1"/>
  <c r="U118" i="70"/>
  <c r="V118" i="70" s="1"/>
  <c r="U114" i="70"/>
  <c r="V114" i="70" s="1"/>
  <c r="U141" i="70"/>
  <c r="V141" i="70" s="1"/>
  <c r="U137" i="70"/>
  <c r="V137" i="70" s="1"/>
  <c r="U133" i="70"/>
  <c r="V133" i="70" s="1"/>
  <c r="U129" i="70"/>
  <c r="V129" i="70" s="1"/>
  <c r="U125" i="70"/>
  <c r="V125" i="70" s="1"/>
  <c r="U121" i="70"/>
  <c r="V121" i="70" s="1"/>
  <c r="U117" i="70"/>
  <c r="V117" i="70" s="1"/>
  <c r="U113" i="70"/>
  <c r="V113" i="70" s="1"/>
  <c r="U109" i="70"/>
  <c r="V109" i="70" s="1"/>
  <c r="U105" i="70"/>
  <c r="V105" i="70" s="1"/>
  <c r="U101" i="70"/>
  <c r="V101" i="70" s="1"/>
  <c r="U140" i="70"/>
  <c r="V140" i="70" s="1"/>
  <c r="U128" i="70"/>
  <c r="V128" i="70" s="1"/>
  <c r="U120" i="70"/>
  <c r="V120" i="70" s="1"/>
  <c r="U112" i="70"/>
  <c r="V112" i="70" s="1"/>
  <c r="U108" i="70"/>
  <c r="V108" i="70" s="1"/>
  <c r="U104" i="70"/>
  <c r="V104" i="70" s="1"/>
  <c r="U100" i="70"/>
  <c r="V100" i="70" s="1"/>
  <c r="U96" i="70"/>
  <c r="V96" i="70" s="1"/>
  <c r="U92" i="70"/>
  <c r="V92" i="70" s="1"/>
  <c r="U88" i="70"/>
  <c r="V88" i="70" s="1"/>
  <c r="U84" i="70"/>
  <c r="V84" i="70" s="1"/>
  <c r="U80" i="70"/>
  <c r="V80" i="70" s="1"/>
  <c r="U76" i="70"/>
  <c r="V76" i="70" s="1"/>
  <c r="U136" i="70"/>
  <c r="V136" i="70" s="1"/>
  <c r="U116" i="70"/>
  <c r="V116" i="70" s="1"/>
  <c r="U111" i="70"/>
  <c r="V111" i="70" s="1"/>
  <c r="U110" i="70"/>
  <c r="V110" i="70" s="1"/>
  <c r="U107" i="70"/>
  <c r="V107" i="70" s="1"/>
  <c r="U106" i="70"/>
  <c r="V106" i="70" s="1"/>
  <c r="U103" i="70"/>
  <c r="V103" i="70" s="1"/>
  <c r="U102" i="70"/>
  <c r="V102" i="70" s="1"/>
  <c r="U124" i="70"/>
  <c r="V124" i="70" s="1"/>
  <c r="U132" i="70"/>
  <c r="V132" i="70" s="1"/>
  <c r="U98" i="70"/>
  <c r="V98" i="70" s="1"/>
  <c r="U94" i="70"/>
  <c r="V94" i="70" s="1"/>
  <c r="U90" i="70"/>
  <c r="V90" i="70" s="1"/>
  <c r="U86" i="70"/>
  <c r="V86" i="70" s="1"/>
  <c r="U82" i="70"/>
  <c r="V82" i="70" s="1"/>
  <c r="U78" i="70"/>
  <c r="V78" i="70" s="1"/>
  <c r="U63" i="70"/>
  <c r="V63" i="70" s="1"/>
  <c r="S64" i="70"/>
  <c r="U67" i="70"/>
  <c r="V67" i="70" s="1"/>
  <c r="S68" i="70"/>
  <c r="U71" i="70"/>
  <c r="V71" i="70" s="1"/>
  <c r="S72" i="70"/>
  <c r="U75" i="70"/>
  <c r="V75" i="70" s="1"/>
  <c r="S78" i="70"/>
  <c r="J79" i="70"/>
  <c r="K79" i="70" s="1"/>
  <c r="L79" i="70" s="1"/>
  <c r="U79" i="70"/>
  <c r="V79" i="70" s="1"/>
  <c r="J82" i="70"/>
  <c r="K82" i="70" s="1"/>
  <c r="L82" i="70" s="1"/>
  <c r="S88" i="70"/>
  <c r="S90" i="70"/>
  <c r="J95" i="70"/>
  <c r="K95" i="70" s="1"/>
  <c r="L95" i="70" s="1"/>
  <c r="U95" i="70"/>
  <c r="V95" i="70" s="1"/>
  <c r="U97" i="70"/>
  <c r="V97" i="70" s="1"/>
  <c r="U99" i="70"/>
  <c r="V99" i="70" s="1"/>
  <c r="S103" i="70"/>
  <c r="J105" i="70"/>
  <c r="K105" i="70" s="1"/>
  <c r="L105" i="70" s="1"/>
  <c r="J113" i="70"/>
  <c r="K113" i="70" s="1"/>
  <c r="L113" i="70" s="1"/>
  <c r="J65" i="70"/>
  <c r="K65" i="70" s="1"/>
  <c r="L65" i="70" s="1"/>
  <c r="J69" i="70"/>
  <c r="K69" i="70" s="1"/>
  <c r="L69" i="70" s="1"/>
  <c r="J73" i="70"/>
  <c r="K73" i="70" s="1"/>
  <c r="L73" i="70" s="1"/>
  <c r="J78" i="70"/>
  <c r="K78" i="70" s="1"/>
  <c r="L78" i="70" s="1"/>
  <c r="J84" i="70"/>
  <c r="K84" i="70" s="1"/>
  <c r="L84" i="70" s="1"/>
  <c r="J86" i="70"/>
  <c r="K86" i="70" s="1"/>
  <c r="L86" i="70" s="1"/>
  <c r="S92" i="70"/>
  <c r="S94" i="70"/>
  <c r="J99" i="70"/>
  <c r="K99" i="70" s="1"/>
  <c r="L99" i="70" s="1"/>
  <c r="J102" i="70"/>
  <c r="K102" i="70" s="1"/>
  <c r="L102" i="70" s="1"/>
  <c r="S107" i="70"/>
  <c r="J109" i="70"/>
  <c r="K109" i="70" s="1"/>
  <c r="L109" i="70" s="1"/>
  <c r="S65" i="70"/>
  <c r="U68" i="70"/>
  <c r="V68" i="70" s="1"/>
  <c r="S69" i="70"/>
  <c r="U72" i="70"/>
  <c r="V72" i="70" s="1"/>
  <c r="S73" i="70"/>
  <c r="J88" i="70"/>
  <c r="K88" i="70" s="1"/>
  <c r="L88" i="70" s="1"/>
  <c r="J90" i="70"/>
  <c r="K90" i="70" s="1"/>
  <c r="L90" i="70" s="1"/>
  <c r="S96" i="70"/>
  <c r="S98" i="70"/>
  <c r="S100" i="70"/>
  <c r="J103" i="70"/>
  <c r="K103" i="70" s="1"/>
  <c r="L103" i="70" s="1"/>
  <c r="J106" i="70"/>
  <c r="K106" i="70" s="1"/>
  <c r="L106" i="70" s="1"/>
  <c r="J111" i="70"/>
  <c r="K111" i="70" s="1"/>
  <c r="L111" i="70" s="1"/>
  <c r="J112" i="70"/>
  <c r="K112" i="70" s="1"/>
  <c r="L112" i="70" s="1"/>
  <c r="J66" i="70"/>
  <c r="K66" i="70" s="1"/>
  <c r="L66" i="70" s="1"/>
  <c r="J70" i="70"/>
  <c r="K70" i="70" s="1"/>
  <c r="L70" i="70" s="1"/>
  <c r="J74" i="70"/>
  <c r="K74" i="70" s="1"/>
  <c r="L74" i="70" s="1"/>
  <c r="J92" i="70"/>
  <c r="K92" i="70" s="1"/>
  <c r="L92" i="70" s="1"/>
  <c r="J94" i="70"/>
  <c r="K94" i="70" s="1"/>
  <c r="L94" i="70" s="1"/>
  <c r="S104" i="70"/>
  <c r="J107" i="70"/>
  <c r="K107" i="70" s="1"/>
  <c r="L107" i="70" s="1"/>
  <c r="J110" i="70"/>
  <c r="K110" i="70" s="1"/>
  <c r="L110" i="70" s="1"/>
  <c r="W112" i="70"/>
  <c r="T112" i="70"/>
  <c r="J140" i="70"/>
  <c r="K140" i="70" s="1"/>
  <c r="L140" i="70" s="1"/>
  <c r="J136" i="70"/>
  <c r="K136" i="70" s="1"/>
  <c r="L136" i="70" s="1"/>
  <c r="J132" i="70"/>
  <c r="K132" i="70" s="1"/>
  <c r="L132" i="70" s="1"/>
  <c r="J128" i="70"/>
  <c r="K128" i="70" s="1"/>
  <c r="L128" i="70" s="1"/>
  <c r="J124" i="70"/>
  <c r="K124" i="70" s="1"/>
  <c r="L124" i="70" s="1"/>
  <c r="J120" i="70"/>
  <c r="K120" i="70" s="1"/>
  <c r="L120" i="70" s="1"/>
  <c r="J139" i="70"/>
  <c r="K139" i="70" s="1"/>
  <c r="L139" i="70" s="1"/>
  <c r="J135" i="70"/>
  <c r="K135" i="70" s="1"/>
  <c r="L135" i="70" s="1"/>
  <c r="J131" i="70"/>
  <c r="K131" i="70" s="1"/>
  <c r="L131" i="70" s="1"/>
  <c r="J127" i="70"/>
  <c r="K127" i="70" s="1"/>
  <c r="L127" i="70" s="1"/>
  <c r="J123" i="70"/>
  <c r="K123" i="70" s="1"/>
  <c r="L123" i="70" s="1"/>
  <c r="J119" i="70"/>
  <c r="K119" i="70" s="1"/>
  <c r="L119" i="70" s="1"/>
  <c r="J142" i="70"/>
  <c r="K142" i="70" s="1"/>
  <c r="L142" i="70" s="1"/>
  <c r="J138" i="70"/>
  <c r="K138" i="70" s="1"/>
  <c r="L138" i="70" s="1"/>
  <c r="J134" i="70"/>
  <c r="K134" i="70" s="1"/>
  <c r="L134" i="70" s="1"/>
  <c r="J130" i="70"/>
  <c r="K130" i="70" s="1"/>
  <c r="L130" i="70" s="1"/>
  <c r="J126" i="70"/>
  <c r="K126" i="70" s="1"/>
  <c r="L126" i="70" s="1"/>
  <c r="J122" i="70"/>
  <c r="K122" i="70" s="1"/>
  <c r="L122" i="70" s="1"/>
  <c r="J141" i="70"/>
  <c r="K141" i="70" s="1"/>
  <c r="L141" i="70" s="1"/>
  <c r="J137" i="70"/>
  <c r="K137" i="70" s="1"/>
  <c r="L137" i="70" s="1"/>
  <c r="J133" i="70"/>
  <c r="K133" i="70" s="1"/>
  <c r="L133" i="70" s="1"/>
  <c r="J129" i="70"/>
  <c r="K129" i="70" s="1"/>
  <c r="L129" i="70" s="1"/>
  <c r="J125" i="70"/>
  <c r="K125" i="70" s="1"/>
  <c r="L125" i="70" s="1"/>
  <c r="J121" i="70"/>
  <c r="K121" i="70" s="1"/>
  <c r="L121" i="70" s="1"/>
  <c r="J117" i="70"/>
  <c r="K117" i="70" s="1"/>
  <c r="L117" i="70" s="1"/>
  <c r="J116" i="70"/>
  <c r="K116" i="70" s="1"/>
  <c r="L116" i="70" s="1"/>
  <c r="J97" i="70"/>
  <c r="K97" i="70" s="1"/>
  <c r="L97" i="70" s="1"/>
  <c r="J93" i="70"/>
  <c r="K93" i="70" s="1"/>
  <c r="L93" i="70" s="1"/>
  <c r="J89" i="70"/>
  <c r="K89" i="70" s="1"/>
  <c r="L89" i="70" s="1"/>
  <c r="J85" i="70"/>
  <c r="K85" i="70" s="1"/>
  <c r="L85" i="70" s="1"/>
  <c r="J118" i="70"/>
  <c r="K118" i="70" s="1"/>
  <c r="L118" i="70" s="1"/>
  <c r="S66" i="70"/>
  <c r="U69" i="70"/>
  <c r="V69" i="70" s="1"/>
  <c r="S70" i="70"/>
  <c r="U73" i="70"/>
  <c r="V73" i="70" s="1"/>
  <c r="S74" i="70"/>
  <c r="S76" i="70"/>
  <c r="J77" i="70"/>
  <c r="K77" i="70" s="1"/>
  <c r="L77" i="70" s="1"/>
  <c r="U77" i="70"/>
  <c r="V77" i="70" s="1"/>
  <c r="S80" i="70"/>
  <c r="J81" i="70"/>
  <c r="K81" i="70" s="1"/>
  <c r="L81" i="70" s="1"/>
  <c r="U81" i="70"/>
  <c r="V81" i="70" s="1"/>
  <c r="J96" i="70"/>
  <c r="K96" i="70" s="1"/>
  <c r="L96" i="70" s="1"/>
  <c r="J98" i="70"/>
  <c r="K98" i="70" s="1"/>
  <c r="L98" i="70" s="1"/>
  <c r="J100" i="70"/>
  <c r="K100" i="70" s="1"/>
  <c r="L100" i="70" s="1"/>
  <c r="S101" i="70"/>
  <c r="S108" i="70"/>
  <c r="E25" i="69"/>
  <c r="E26" i="69" s="1"/>
  <c r="U64" i="69"/>
  <c r="V64" i="69" s="1"/>
  <c r="X30" i="69"/>
  <c r="Y30" i="69" s="1"/>
  <c r="U68" i="69"/>
  <c r="V68" i="69" s="1"/>
  <c r="E11" i="69"/>
  <c r="Y20" i="69" s="1"/>
  <c r="J99" i="69"/>
  <c r="K99" i="69" s="1"/>
  <c r="L99" i="69" s="1"/>
  <c r="T97" i="69"/>
  <c r="N63" i="69"/>
  <c r="E16" i="69" s="1"/>
  <c r="J65" i="69"/>
  <c r="K65" i="69" s="1"/>
  <c r="L65" i="69" s="1"/>
  <c r="J69" i="69"/>
  <c r="K69" i="69" s="1"/>
  <c r="L69" i="69" s="1"/>
  <c r="S69" i="69"/>
  <c r="J70" i="69"/>
  <c r="K70" i="69" s="1"/>
  <c r="L70" i="69" s="1"/>
  <c r="S70" i="69"/>
  <c r="J71" i="69"/>
  <c r="K71" i="69" s="1"/>
  <c r="L71" i="69" s="1"/>
  <c r="J75" i="69"/>
  <c r="K75" i="69" s="1"/>
  <c r="L75" i="69" s="1"/>
  <c r="J79" i="69"/>
  <c r="K79" i="69" s="1"/>
  <c r="L79" i="69" s="1"/>
  <c r="S81" i="69"/>
  <c r="S85" i="69"/>
  <c r="J90" i="69"/>
  <c r="K90" i="69" s="1"/>
  <c r="L90" i="69" s="1"/>
  <c r="J91" i="69"/>
  <c r="K91" i="69" s="1"/>
  <c r="L91" i="69" s="1"/>
  <c r="J103" i="69"/>
  <c r="K103" i="69" s="1"/>
  <c r="L103" i="69" s="1"/>
  <c r="S106" i="69"/>
  <c r="S65" i="69"/>
  <c r="S74" i="69"/>
  <c r="S78" i="69"/>
  <c r="J94" i="69"/>
  <c r="K94" i="69" s="1"/>
  <c r="L94" i="69" s="1"/>
  <c r="J95" i="69"/>
  <c r="K95" i="69" s="1"/>
  <c r="L95" i="69" s="1"/>
  <c r="U106" i="69"/>
  <c r="V106" i="69" s="1"/>
  <c r="J66" i="69"/>
  <c r="K66" i="69" s="1"/>
  <c r="L66" i="69" s="1"/>
  <c r="U69" i="69"/>
  <c r="V69" i="69" s="1"/>
  <c r="S73" i="69"/>
  <c r="J74" i="69"/>
  <c r="K74" i="69" s="1"/>
  <c r="L74" i="69" s="1"/>
  <c r="S77" i="69"/>
  <c r="J78" i="69"/>
  <c r="K78" i="69" s="1"/>
  <c r="L78" i="69" s="1"/>
  <c r="U81" i="69"/>
  <c r="V81" i="69" s="1"/>
  <c r="U85" i="69"/>
  <c r="V85" i="69" s="1"/>
  <c r="J98" i="69"/>
  <c r="K98" i="69" s="1"/>
  <c r="L98" i="69" s="1"/>
  <c r="U110" i="69"/>
  <c r="V110" i="69" s="1"/>
  <c r="J140" i="69"/>
  <c r="K140" i="69" s="1"/>
  <c r="L140" i="69" s="1"/>
  <c r="J136" i="69"/>
  <c r="K136" i="69" s="1"/>
  <c r="L136" i="69" s="1"/>
  <c r="J132" i="69"/>
  <c r="K132" i="69" s="1"/>
  <c r="L132" i="69" s="1"/>
  <c r="J128" i="69"/>
  <c r="K128" i="69" s="1"/>
  <c r="L128" i="69" s="1"/>
  <c r="J124" i="69"/>
  <c r="K124" i="69" s="1"/>
  <c r="L124" i="69" s="1"/>
  <c r="J120" i="69"/>
  <c r="K120" i="69" s="1"/>
  <c r="L120" i="69" s="1"/>
  <c r="J116" i="69"/>
  <c r="K116" i="69" s="1"/>
  <c r="L116" i="69" s="1"/>
  <c r="J112" i="69"/>
  <c r="K112" i="69" s="1"/>
  <c r="L112" i="69" s="1"/>
  <c r="J139" i="69"/>
  <c r="K139" i="69" s="1"/>
  <c r="L139" i="69" s="1"/>
  <c r="J135" i="69"/>
  <c r="K135" i="69" s="1"/>
  <c r="L135" i="69" s="1"/>
  <c r="J131" i="69"/>
  <c r="K131" i="69" s="1"/>
  <c r="L131" i="69" s="1"/>
  <c r="J127" i="69"/>
  <c r="K127" i="69" s="1"/>
  <c r="L127" i="69" s="1"/>
  <c r="J123" i="69"/>
  <c r="K123" i="69" s="1"/>
  <c r="L123" i="69" s="1"/>
  <c r="J119" i="69"/>
  <c r="K119" i="69" s="1"/>
  <c r="L119" i="69" s="1"/>
  <c r="J115" i="69"/>
  <c r="K115" i="69" s="1"/>
  <c r="L115" i="69" s="1"/>
  <c r="J111" i="69"/>
  <c r="K111" i="69" s="1"/>
  <c r="L111" i="69" s="1"/>
  <c r="J142" i="69"/>
  <c r="K142" i="69" s="1"/>
  <c r="L142" i="69" s="1"/>
  <c r="J138" i="69"/>
  <c r="K138" i="69" s="1"/>
  <c r="L138" i="69" s="1"/>
  <c r="J134" i="69"/>
  <c r="K134" i="69" s="1"/>
  <c r="L134" i="69" s="1"/>
  <c r="J130" i="69"/>
  <c r="K130" i="69" s="1"/>
  <c r="L130" i="69" s="1"/>
  <c r="J126" i="69"/>
  <c r="K126" i="69" s="1"/>
  <c r="L126" i="69" s="1"/>
  <c r="J122" i="69"/>
  <c r="K122" i="69" s="1"/>
  <c r="L122" i="69" s="1"/>
  <c r="J118" i="69"/>
  <c r="K118" i="69" s="1"/>
  <c r="L118" i="69" s="1"/>
  <c r="J114" i="69"/>
  <c r="K114" i="69" s="1"/>
  <c r="L114" i="69" s="1"/>
  <c r="J141" i="69"/>
  <c r="K141" i="69" s="1"/>
  <c r="L141" i="69" s="1"/>
  <c r="J137" i="69"/>
  <c r="K137" i="69" s="1"/>
  <c r="L137" i="69" s="1"/>
  <c r="J133" i="69"/>
  <c r="K133" i="69" s="1"/>
  <c r="L133" i="69" s="1"/>
  <c r="J129" i="69"/>
  <c r="K129" i="69" s="1"/>
  <c r="L129" i="69" s="1"/>
  <c r="J125" i="69"/>
  <c r="K125" i="69" s="1"/>
  <c r="L125" i="69" s="1"/>
  <c r="J121" i="69"/>
  <c r="K121" i="69" s="1"/>
  <c r="L121" i="69" s="1"/>
  <c r="J108" i="69"/>
  <c r="K108" i="69" s="1"/>
  <c r="L108" i="69" s="1"/>
  <c r="J104" i="69"/>
  <c r="K104" i="69" s="1"/>
  <c r="L104" i="69" s="1"/>
  <c r="J97" i="69"/>
  <c r="K97" i="69" s="1"/>
  <c r="L97" i="69" s="1"/>
  <c r="J93" i="69"/>
  <c r="K93" i="69" s="1"/>
  <c r="L93" i="69" s="1"/>
  <c r="J89" i="69"/>
  <c r="K89" i="69" s="1"/>
  <c r="L89" i="69" s="1"/>
  <c r="J85" i="69"/>
  <c r="K85" i="69" s="1"/>
  <c r="L85" i="69" s="1"/>
  <c r="J81" i="69"/>
  <c r="K81" i="69" s="1"/>
  <c r="L81" i="69" s="1"/>
  <c r="J117" i="69"/>
  <c r="K117" i="69" s="1"/>
  <c r="L117" i="69" s="1"/>
  <c r="J100" i="69"/>
  <c r="K100" i="69" s="1"/>
  <c r="L100" i="69" s="1"/>
  <c r="J96" i="69"/>
  <c r="K96" i="69" s="1"/>
  <c r="L96" i="69" s="1"/>
  <c r="J92" i="69"/>
  <c r="K92" i="69" s="1"/>
  <c r="L92" i="69" s="1"/>
  <c r="J88" i="69"/>
  <c r="K88" i="69" s="1"/>
  <c r="L88" i="69" s="1"/>
  <c r="J113" i="69"/>
  <c r="K113" i="69" s="1"/>
  <c r="L113" i="69" s="1"/>
  <c r="J109" i="69"/>
  <c r="K109" i="69" s="1"/>
  <c r="L109" i="69" s="1"/>
  <c r="J105" i="69"/>
  <c r="K105" i="69" s="1"/>
  <c r="L105" i="69" s="1"/>
  <c r="J101" i="69"/>
  <c r="K101" i="69" s="1"/>
  <c r="L101" i="69" s="1"/>
  <c r="J110" i="69"/>
  <c r="K110" i="69" s="1"/>
  <c r="L110" i="69" s="1"/>
  <c r="J106" i="69"/>
  <c r="K106" i="69" s="1"/>
  <c r="L106" i="69" s="1"/>
  <c r="J102" i="69"/>
  <c r="K102" i="69" s="1"/>
  <c r="L102" i="69" s="1"/>
  <c r="U65" i="69"/>
  <c r="V65" i="69" s="1"/>
  <c r="S66" i="69"/>
  <c r="J73" i="69"/>
  <c r="K73" i="69" s="1"/>
  <c r="L73" i="69" s="1"/>
  <c r="J77" i="69"/>
  <c r="K77" i="69" s="1"/>
  <c r="L77" i="69" s="1"/>
  <c r="J83" i="69"/>
  <c r="K83" i="69" s="1"/>
  <c r="L83" i="69" s="1"/>
  <c r="J87" i="69"/>
  <c r="K87" i="69" s="1"/>
  <c r="L87" i="69" s="1"/>
  <c r="U88" i="69"/>
  <c r="V88" i="69" s="1"/>
  <c r="S89" i="69"/>
  <c r="S102" i="69"/>
  <c r="Y19" i="69"/>
  <c r="I21" i="69"/>
  <c r="J21" i="69" s="1"/>
  <c r="X29" i="69"/>
  <c r="Y29" i="69" s="1"/>
  <c r="J63" i="69"/>
  <c r="K63" i="69" s="1"/>
  <c r="L63" i="69" s="1"/>
  <c r="J67" i="69"/>
  <c r="K67" i="69" s="1"/>
  <c r="L67" i="69" s="1"/>
  <c r="U73" i="69"/>
  <c r="V73" i="69" s="1"/>
  <c r="U77" i="69"/>
  <c r="V77" i="69" s="1"/>
  <c r="U80" i="69"/>
  <c r="V80" i="69" s="1"/>
  <c r="U84" i="69"/>
  <c r="V84" i="69" s="1"/>
  <c r="U92" i="69"/>
  <c r="V92" i="69" s="1"/>
  <c r="S93" i="69"/>
  <c r="U102" i="69"/>
  <c r="V102" i="69" s="1"/>
  <c r="S103" i="69"/>
  <c r="J107" i="69"/>
  <c r="K107" i="69" s="1"/>
  <c r="L107" i="69" s="1"/>
  <c r="S114" i="69"/>
  <c r="S118" i="69"/>
  <c r="I12" i="69"/>
  <c r="I18" i="69" s="1"/>
  <c r="E18" i="69"/>
  <c r="E20" i="69"/>
  <c r="W10" i="69" s="1"/>
  <c r="I24" i="69"/>
  <c r="S63" i="69"/>
  <c r="U66" i="69"/>
  <c r="V66" i="69" s="1"/>
  <c r="S67" i="69"/>
  <c r="J72" i="69"/>
  <c r="K72" i="69" s="1"/>
  <c r="L72" i="69" s="1"/>
  <c r="U72" i="69"/>
  <c r="V72" i="69" s="1"/>
  <c r="J76" i="69"/>
  <c r="K76" i="69" s="1"/>
  <c r="L76" i="69" s="1"/>
  <c r="U76" i="69"/>
  <c r="V76" i="69" s="1"/>
  <c r="J80" i="69"/>
  <c r="K80" i="69" s="1"/>
  <c r="L80" i="69" s="1"/>
  <c r="S82" i="69"/>
  <c r="S86" i="69"/>
  <c r="U96" i="69"/>
  <c r="V96" i="69" s="1"/>
  <c r="S140" i="69"/>
  <c r="S136" i="69"/>
  <c r="S132" i="69"/>
  <c r="S128" i="69"/>
  <c r="S124" i="69"/>
  <c r="S120" i="69"/>
  <c r="S116" i="69"/>
  <c r="S112" i="69"/>
  <c r="S108" i="69"/>
  <c r="S104" i="69"/>
  <c r="S100" i="69"/>
  <c r="S139" i="69"/>
  <c r="S135" i="69"/>
  <c r="S131" i="69"/>
  <c r="S127" i="69"/>
  <c r="S123" i="69"/>
  <c r="S142" i="69"/>
  <c r="S141" i="69"/>
  <c r="S137" i="69"/>
  <c r="S133" i="69"/>
  <c r="S129" i="69"/>
  <c r="S125" i="69"/>
  <c r="S121" i="69"/>
  <c r="S117" i="69"/>
  <c r="S113" i="69"/>
  <c r="S109" i="69"/>
  <c r="S105" i="69"/>
  <c r="S101" i="69"/>
  <c r="S110" i="69"/>
  <c r="S107" i="69"/>
  <c r="S138" i="69"/>
  <c r="S130" i="69"/>
  <c r="S122" i="69"/>
  <c r="S96" i="69"/>
  <c r="S92" i="69"/>
  <c r="S88" i="69"/>
  <c r="S84" i="69"/>
  <c r="S80" i="69"/>
  <c r="S76" i="69"/>
  <c r="S72" i="69"/>
  <c r="S111" i="69"/>
  <c r="S119" i="69"/>
  <c r="S99" i="69"/>
  <c r="S95" i="69"/>
  <c r="S91" i="69"/>
  <c r="S87" i="69"/>
  <c r="S83" i="69"/>
  <c r="S79" i="69"/>
  <c r="S75" i="69"/>
  <c r="S71" i="69"/>
  <c r="S134" i="69"/>
  <c r="S126" i="69"/>
  <c r="S115" i="69"/>
  <c r="S98" i="69"/>
  <c r="S94" i="69"/>
  <c r="S90" i="69"/>
  <c r="J64" i="69"/>
  <c r="K64" i="69" s="1"/>
  <c r="L64" i="69" s="1"/>
  <c r="J68" i="69"/>
  <c r="K68" i="69" s="1"/>
  <c r="L68" i="69" s="1"/>
  <c r="J84" i="69"/>
  <c r="K84" i="69" s="1"/>
  <c r="L84" i="69" s="1"/>
  <c r="U139" i="69"/>
  <c r="V139" i="69" s="1"/>
  <c r="U135" i="69"/>
  <c r="V135" i="69" s="1"/>
  <c r="U131" i="69"/>
  <c r="V131" i="69" s="1"/>
  <c r="U127" i="69"/>
  <c r="V127" i="69" s="1"/>
  <c r="U123" i="69"/>
  <c r="V123" i="69" s="1"/>
  <c r="U119" i="69"/>
  <c r="V119" i="69" s="1"/>
  <c r="U115" i="69"/>
  <c r="V115" i="69" s="1"/>
  <c r="U111" i="69"/>
  <c r="V111" i="69" s="1"/>
  <c r="U107" i="69"/>
  <c r="V107" i="69" s="1"/>
  <c r="U103" i="69"/>
  <c r="V103" i="69" s="1"/>
  <c r="U142" i="69"/>
  <c r="V142" i="69" s="1"/>
  <c r="U138" i="69"/>
  <c r="V138" i="69" s="1"/>
  <c r="U134" i="69"/>
  <c r="V134" i="69" s="1"/>
  <c r="U130" i="69"/>
  <c r="V130" i="69" s="1"/>
  <c r="U126" i="69"/>
  <c r="V126" i="69" s="1"/>
  <c r="U122" i="69"/>
  <c r="V122" i="69" s="1"/>
  <c r="U140" i="69"/>
  <c r="V140" i="69" s="1"/>
  <c r="U136" i="69"/>
  <c r="V136" i="69" s="1"/>
  <c r="U132" i="69"/>
  <c r="V132" i="69" s="1"/>
  <c r="U128" i="69"/>
  <c r="V128" i="69" s="1"/>
  <c r="U124" i="69"/>
  <c r="V124" i="69" s="1"/>
  <c r="U120" i="69"/>
  <c r="V120" i="69" s="1"/>
  <c r="U116" i="69"/>
  <c r="V116" i="69" s="1"/>
  <c r="U112" i="69"/>
  <c r="V112" i="69" s="1"/>
  <c r="U108" i="69"/>
  <c r="V108" i="69" s="1"/>
  <c r="U104" i="69"/>
  <c r="V104" i="69" s="1"/>
  <c r="U100" i="69"/>
  <c r="V100" i="69" s="1"/>
  <c r="U137" i="69"/>
  <c r="V137" i="69" s="1"/>
  <c r="U129" i="69"/>
  <c r="V129" i="69" s="1"/>
  <c r="U121" i="69"/>
  <c r="V121" i="69" s="1"/>
  <c r="U113" i="69"/>
  <c r="V113" i="69" s="1"/>
  <c r="U99" i="69"/>
  <c r="V99" i="69" s="1"/>
  <c r="U95" i="69"/>
  <c r="V95" i="69" s="1"/>
  <c r="U91" i="69"/>
  <c r="V91" i="69" s="1"/>
  <c r="U87" i="69"/>
  <c r="V87" i="69" s="1"/>
  <c r="U83" i="69"/>
  <c r="V83" i="69" s="1"/>
  <c r="U79" i="69"/>
  <c r="V79" i="69" s="1"/>
  <c r="U75" i="69"/>
  <c r="V75" i="69" s="1"/>
  <c r="U71" i="69"/>
  <c r="V71" i="69" s="1"/>
  <c r="U141" i="69"/>
  <c r="V141" i="69" s="1"/>
  <c r="U133" i="69"/>
  <c r="V133" i="69" s="1"/>
  <c r="U125" i="69"/>
  <c r="V125" i="69" s="1"/>
  <c r="U118" i="69"/>
  <c r="V118" i="69" s="1"/>
  <c r="U109" i="69"/>
  <c r="V109" i="69" s="1"/>
  <c r="U105" i="69"/>
  <c r="V105" i="69" s="1"/>
  <c r="U101" i="69"/>
  <c r="V101" i="69" s="1"/>
  <c r="U98" i="69"/>
  <c r="V98" i="69" s="1"/>
  <c r="U94" i="69"/>
  <c r="V94" i="69" s="1"/>
  <c r="U90" i="69"/>
  <c r="V90" i="69" s="1"/>
  <c r="U86" i="69"/>
  <c r="V86" i="69" s="1"/>
  <c r="U82" i="69"/>
  <c r="V82" i="69" s="1"/>
  <c r="U78" i="69"/>
  <c r="V78" i="69" s="1"/>
  <c r="U74" i="69"/>
  <c r="V74" i="69" s="1"/>
  <c r="U70" i="69"/>
  <c r="V70" i="69" s="1"/>
  <c r="U117" i="69"/>
  <c r="V117" i="69" s="1"/>
  <c r="U114" i="69"/>
  <c r="V114" i="69" s="1"/>
  <c r="U97" i="69"/>
  <c r="V97" i="69" s="1"/>
  <c r="U93" i="69"/>
  <c r="V93" i="69" s="1"/>
  <c r="U89" i="69"/>
  <c r="V89" i="69" s="1"/>
  <c r="U63" i="69"/>
  <c r="V63" i="69" s="1"/>
  <c r="S64" i="69"/>
  <c r="U67" i="69"/>
  <c r="V67" i="69" s="1"/>
  <c r="S68" i="69"/>
  <c r="J82" i="69"/>
  <c r="K82" i="69" s="1"/>
  <c r="L82" i="69" s="1"/>
  <c r="J86" i="69"/>
  <c r="K86" i="69" s="1"/>
  <c r="L86" i="69" s="1"/>
  <c r="E16" i="68"/>
  <c r="J93" i="68"/>
  <c r="K93" i="68" s="1"/>
  <c r="L93" i="68" s="1"/>
  <c r="E18" i="68"/>
  <c r="J66" i="68"/>
  <c r="K66" i="68" s="1"/>
  <c r="L66" i="68" s="1"/>
  <c r="J89" i="68"/>
  <c r="K89" i="68" s="1"/>
  <c r="L89" i="68" s="1"/>
  <c r="E26" i="68"/>
  <c r="X19" i="68" s="1"/>
  <c r="U74" i="68"/>
  <c r="V74" i="68" s="1"/>
  <c r="J97" i="68"/>
  <c r="K97" i="68" s="1"/>
  <c r="L97" i="68" s="1"/>
  <c r="E25" i="68"/>
  <c r="J65" i="68"/>
  <c r="K65" i="68" s="1"/>
  <c r="L65" i="68" s="1"/>
  <c r="X30" i="68"/>
  <c r="Y30" i="68" s="1"/>
  <c r="J70" i="68"/>
  <c r="K70" i="68" s="1"/>
  <c r="L70" i="68" s="1"/>
  <c r="Y19" i="68"/>
  <c r="T81" i="68"/>
  <c r="X20" i="68"/>
  <c r="M139" i="68"/>
  <c r="O139" i="68" s="1"/>
  <c r="P139" i="68" s="1"/>
  <c r="M123" i="68"/>
  <c r="O123" i="68" s="1"/>
  <c r="P123" i="68" s="1"/>
  <c r="M119" i="68"/>
  <c r="O119" i="68" s="1"/>
  <c r="P119" i="68" s="1"/>
  <c r="M107" i="68"/>
  <c r="O107" i="68" s="1"/>
  <c r="P107" i="68" s="1"/>
  <c r="M134" i="68"/>
  <c r="O134" i="68" s="1"/>
  <c r="P134" i="68" s="1"/>
  <c r="M130" i="68"/>
  <c r="O130" i="68" s="1"/>
  <c r="P130" i="68" s="1"/>
  <c r="M118" i="68"/>
  <c r="O118" i="68" s="1"/>
  <c r="P118" i="68" s="1"/>
  <c r="M102" i="68"/>
  <c r="O102" i="68" s="1"/>
  <c r="P102" i="68" s="1"/>
  <c r="M141" i="68"/>
  <c r="O141" i="68" s="1"/>
  <c r="P141" i="68" s="1"/>
  <c r="M129" i="68"/>
  <c r="O129" i="68" s="1"/>
  <c r="P129" i="68" s="1"/>
  <c r="M113" i="68"/>
  <c r="O113" i="68" s="1"/>
  <c r="P113" i="68" s="1"/>
  <c r="M109" i="68"/>
  <c r="O109" i="68" s="1"/>
  <c r="P109" i="68" s="1"/>
  <c r="M136" i="68"/>
  <c r="O136" i="68" s="1"/>
  <c r="P136" i="68" s="1"/>
  <c r="M120" i="68"/>
  <c r="O120" i="68" s="1"/>
  <c r="P120" i="68" s="1"/>
  <c r="M116" i="68"/>
  <c r="O116" i="68" s="1"/>
  <c r="P116" i="68" s="1"/>
  <c r="M104" i="68"/>
  <c r="O104" i="68" s="1"/>
  <c r="P104" i="68" s="1"/>
  <c r="M87" i="68"/>
  <c r="O87" i="68" s="1"/>
  <c r="P87" i="68" s="1"/>
  <c r="M83" i="68"/>
  <c r="O83" i="68" s="1"/>
  <c r="P83" i="68" s="1"/>
  <c r="M82" i="68"/>
  <c r="O82" i="68" s="1"/>
  <c r="P82" i="68" s="1"/>
  <c r="M64" i="68"/>
  <c r="O64" i="68" s="1"/>
  <c r="P64" i="68" s="1"/>
  <c r="M81" i="68"/>
  <c r="O81" i="68" s="1"/>
  <c r="P81" i="68" s="1"/>
  <c r="M76" i="68"/>
  <c r="O76" i="68" s="1"/>
  <c r="P76" i="68" s="1"/>
  <c r="M96" i="68"/>
  <c r="O96" i="68" s="1"/>
  <c r="P96" i="68" s="1"/>
  <c r="M92" i="68"/>
  <c r="O92" i="68" s="1"/>
  <c r="P92" i="68" s="1"/>
  <c r="M71" i="68"/>
  <c r="O71" i="68" s="1"/>
  <c r="P71" i="68" s="1"/>
  <c r="M93" i="68"/>
  <c r="O93" i="68" s="1"/>
  <c r="P93" i="68" s="1"/>
  <c r="M89" i="68"/>
  <c r="O89" i="68" s="1"/>
  <c r="P89" i="68" s="1"/>
  <c r="M66" i="68"/>
  <c r="O66" i="68" s="1"/>
  <c r="P66" i="68" s="1"/>
  <c r="M86" i="68"/>
  <c r="O86" i="68" s="1"/>
  <c r="P86" i="68" s="1"/>
  <c r="M69" i="68"/>
  <c r="O69" i="68" s="1"/>
  <c r="P69" i="68" s="1"/>
  <c r="J140" i="68"/>
  <c r="K140" i="68" s="1"/>
  <c r="L140" i="68" s="1"/>
  <c r="J136" i="68"/>
  <c r="K136" i="68" s="1"/>
  <c r="L136" i="68" s="1"/>
  <c r="J132" i="68"/>
  <c r="K132" i="68" s="1"/>
  <c r="L132" i="68" s="1"/>
  <c r="J128" i="68"/>
  <c r="K128" i="68" s="1"/>
  <c r="L128" i="68" s="1"/>
  <c r="J124" i="68"/>
  <c r="K124" i="68" s="1"/>
  <c r="L124" i="68" s="1"/>
  <c r="J120" i="68"/>
  <c r="K120" i="68" s="1"/>
  <c r="L120" i="68" s="1"/>
  <c r="J139" i="68"/>
  <c r="K139" i="68" s="1"/>
  <c r="L139" i="68" s="1"/>
  <c r="J135" i="68"/>
  <c r="K135" i="68" s="1"/>
  <c r="L135" i="68" s="1"/>
  <c r="J131" i="68"/>
  <c r="K131" i="68" s="1"/>
  <c r="L131" i="68" s="1"/>
  <c r="J127" i="68"/>
  <c r="K127" i="68" s="1"/>
  <c r="L127" i="68" s="1"/>
  <c r="J123" i="68"/>
  <c r="K123" i="68" s="1"/>
  <c r="L123" i="68" s="1"/>
  <c r="J119" i="68"/>
  <c r="K119" i="68" s="1"/>
  <c r="L119" i="68" s="1"/>
  <c r="J142" i="68"/>
  <c r="K142" i="68" s="1"/>
  <c r="L142" i="68" s="1"/>
  <c r="J138" i="68"/>
  <c r="K138" i="68" s="1"/>
  <c r="L138" i="68" s="1"/>
  <c r="J134" i="68"/>
  <c r="K134" i="68" s="1"/>
  <c r="L134" i="68" s="1"/>
  <c r="J130" i="68"/>
  <c r="K130" i="68" s="1"/>
  <c r="L130" i="68" s="1"/>
  <c r="J126" i="68"/>
  <c r="K126" i="68" s="1"/>
  <c r="L126" i="68" s="1"/>
  <c r="J137" i="68"/>
  <c r="K137" i="68" s="1"/>
  <c r="L137" i="68" s="1"/>
  <c r="J129" i="68"/>
  <c r="K129" i="68" s="1"/>
  <c r="L129" i="68" s="1"/>
  <c r="J117" i="68"/>
  <c r="K117" i="68" s="1"/>
  <c r="L117" i="68" s="1"/>
  <c r="J141" i="68"/>
  <c r="K141" i="68" s="1"/>
  <c r="L141" i="68" s="1"/>
  <c r="J133" i="68"/>
  <c r="K133" i="68" s="1"/>
  <c r="L133" i="68" s="1"/>
  <c r="J125" i="68"/>
  <c r="K125" i="68" s="1"/>
  <c r="L125" i="68" s="1"/>
  <c r="J122" i="68"/>
  <c r="K122" i="68" s="1"/>
  <c r="L122" i="68" s="1"/>
  <c r="J115" i="68"/>
  <c r="K115" i="68" s="1"/>
  <c r="L115" i="68" s="1"/>
  <c r="J111" i="68"/>
  <c r="K111" i="68" s="1"/>
  <c r="L111" i="68" s="1"/>
  <c r="J107" i="68"/>
  <c r="K107" i="68" s="1"/>
  <c r="L107" i="68" s="1"/>
  <c r="J103" i="68"/>
  <c r="K103" i="68" s="1"/>
  <c r="L103" i="68" s="1"/>
  <c r="J99" i="68"/>
  <c r="K99" i="68" s="1"/>
  <c r="L99" i="68" s="1"/>
  <c r="J95" i="68"/>
  <c r="K95" i="68" s="1"/>
  <c r="L95" i="68" s="1"/>
  <c r="J91" i="68"/>
  <c r="K91" i="68" s="1"/>
  <c r="L91" i="68" s="1"/>
  <c r="J87" i="68"/>
  <c r="K87" i="68" s="1"/>
  <c r="L87" i="68" s="1"/>
  <c r="U65" i="68"/>
  <c r="V65" i="68" s="1"/>
  <c r="S66" i="68"/>
  <c r="U69" i="68"/>
  <c r="V69" i="68" s="1"/>
  <c r="S70" i="68"/>
  <c r="U85" i="68"/>
  <c r="V85" i="68" s="1"/>
  <c r="U89" i="68"/>
  <c r="V89" i="68" s="1"/>
  <c r="U93" i="68"/>
  <c r="V93" i="68" s="1"/>
  <c r="U97" i="68"/>
  <c r="V97" i="68" s="1"/>
  <c r="S100" i="68"/>
  <c r="J102" i="68"/>
  <c r="K102" i="68" s="1"/>
  <c r="L102" i="68" s="1"/>
  <c r="J105" i="68"/>
  <c r="K105" i="68" s="1"/>
  <c r="L105" i="68" s="1"/>
  <c r="I21" i="68"/>
  <c r="J21" i="68" s="1"/>
  <c r="J63" i="68"/>
  <c r="K63" i="68" s="1"/>
  <c r="L63" i="68" s="1"/>
  <c r="J67" i="68"/>
  <c r="K67" i="68" s="1"/>
  <c r="L67" i="68" s="1"/>
  <c r="J71" i="68"/>
  <c r="K71" i="68" s="1"/>
  <c r="L71" i="68" s="1"/>
  <c r="J104" i="68"/>
  <c r="K104" i="68" s="1"/>
  <c r="L104" i="68" s="1"/>
  <c r="J106" i="68"/>
  <c r="K106" i="68" s="1"/>
  <c r="L106" i="68" s="1"/>
  <c r="J109" i="68"/>
  <c r="K109" i="68" s="1"/>
  <c r="L109" i="68" s="1"/>
  <c r="I12" i="68"/>
  <c r="I18" i="68" s="1"/>
  <c r="J18" i="68" s="1"/>
  <c r="E20" i="68"/>
  <c r="I24" i="68"/>
  <c r="S63" i="68"/>
  <c r="U66" i="68"/>
  <c r="V66" i="68" s="1"/>
  <c r="S67" i="68"/>
  <c r="U70" i="68"/>
  <c r="V70" i="68" s="1"/>
  <c r="S71" i="68"/>
  <c r="J73" i="68"/>
  <c r="K73" i="68" s="1"/>
  <c r="L73" i="68" s="1"/>
  <c r="S73" i="68"/>
  <c r="J77" i="68"/>
  <c r="K77" i="68" s="1"/>
  <c r="L77" i="68" s="1"/>
  <c r="S77" i="68"/>
  <c r="J81" i="68"/>
  <c r="K81" i="68" s="1"/>
  <c r="L81" i="68" s="1"/>
  <c r="J84" i="68"/>
  <c r="K84" i="68" s="1"/>
  <c r="L84" i="68" s="1"/>
  <c r="U84" i="68"/>
  <c r="V84" i="68" s="1"/>
  <c r="J88" i="68"/>
  <c r="K88" i="68" s="1"/>
  <c r="L88" i="68" s="1"/>
  <c r="U88" i="68"/>
  <c r="V88" i="68" s="1"/>
  <c r="J92" i="68"/>
  <c r="K92" i="68" s="1"/>
  <c r="L92" i="68" s="1"/>
  <c r="U92" i="68"/>
  <c r="V92" i="68" s="1"/>
  <c r="J96" i="68"/>
  <c r="K96" i="68" s="1"/>
  <c r="L96" i="68" s="1"/>
  <c r="U96" i="68"/>
  <c r="V96" i="68" s="1"/>
  <c r="J100" i="68"/>
  <c r="K100" i="68" s="1"/>
  <c r="L100" i="68" s="1"/>
  <c r="J108" i="68"/>
  <c r="K108" i="68" s="1"/>
  <c r="L108" i="68" s="1"/>
  <c r="J110" i="68"/>
  <c r="K110" i="68" s="1"/>
  <c r="L110" i="68" s="1"/>
  <c r="J113" i="68"/>
  <c r="K113" i="68" s="1"/>
  <c r="L113" i="68" s="1"/>
  <c r="J116" i="68"/>
  <c r="K116" i="68" s="1"/>
  <c r="L116" i="68" s="1"/>
  <c r="S140" i="68"/>
  <c r="S136" i="68"/>
  <c r="S132" i="68"/>
  <c r="S128" i="68"/>
  <c r="S124" i="68"/>
  <c r="S120" i="68"/>
  <c r="S116" i="68"/>
  <c r="S112" i="68"/>
  <c r="S108" i="68"/>
  <c r="S104" i="68"/>
  <c r="S139" i="68"/>
  <c r="S135" i="68"/>
  <c r="S131" i="68"/>
  <c r="S127" i="68"/>
  <c r="S123" i="68"/>
  <c r="S119" i="68"/>
  <c r="S115" i="68"/>
  <c r="S111" i="68"/>
  <c r="S107" i="68"/>
  <c r="S103" i="68"/>
  <c r="S142" i="68"/>
  <c r="S138" i="68"/>
  <c r="S134" i="68"/>
  <c r="S130" i="68"/>
  <c r="S126" i="68"/>
  <c r="S122" i="68"/>
  <c r="S118" i="68"/>
  <c r="S114" i="68"/>
  <c r="S110" i="68"/>
  <c r="S106" i="68"/>
  <c r="S102" i="68"/>
  <c r="S141" i="68"/>
  <c r="S137" i="68"/>
  <c r="S133" i="68"/>
  <c r="S129" i="68"/>
  <c r="S125" i="68"/>
  <c r="S121" i="68"/>
  <c r="S117" i="68"/>
  <c r="S113" i="68"/>
  <c r="S109" i="68"/>
  <c r="S105" i="68"/>
  <c r="S101" i="68"/>
  <c r="S96" i="68"/>
  <c r="S92" i="68"/>
  <c r="S88" i="68"/>
  <c r="S84" i="68"/>
  <c r="S80" i="68"/>
  <c r="S76" i="68"/>
  <c r="S72" i="68"/>
  <c r="J64" i="68"/>
  <c r="K64" i="68" s="1"/>
  <c r="L64" i="68" s="1"/>
  <c r="J68" i="68"/>
  <c r="K68" i="68" s="1"/>
  <c r="L68" i="68" s="1"/>
  <c r="J72" i="68"/>
  <c r="K72" i="68" s="1"/>
  <c r="L72" i="68" s="1"/>
  <c r="J74" i="68"/>
  <c r="K74" i="68" s="1"/>
  <c r="L74" i="68" s="1"/>
  <c r="S74" i="68"/>
  <c r="J75" i="68"/>
  <c r="K75" i="68" s="1"/>
  <c r="L75" i="68" s="1"/>
  <c r="S75" i="68"/>
  <c r="J76" i="68"/>
  <c r="K76" i="68" s="1"/>
  <c r="L76" i="68" s="1"/>
  <c r="J78" i="68"/>
  <c r="K78" i="68" s="1"/>
  <c r="L78" i="68" s="1"/>
  <c r="S78" i="68"/>
  <c r="J79" i="68"/>
  <c r="K79" i="68" s="1"/>
  <c r="L79" i="68" s="1"/>
  <c r="S79" i="68"/>
  <c r="J80" i="68"/>
  <c r="K80" i="68" s="1"/>
  <c r="L80" i="68" s="1"/>
  <c r="J82" i="68"/>
  <c r="K82" i="68" s="1"/>
  <c r="L82" i="68" s="1"/>
  <c r="S82" i="68"/>
  <c r="J83" i="68"/>
  <c r="K83" i="68" s="1"/>
  <c r="L83" i="68" s="1"/>
  <c r="S83" i="68"/>
  <c r="S87" i="68"/>
  <c r="S91" i="68"/>
  <c r="S95" i="68"/>
  <c r="S99" i="68"/>
  <c r="J112" i="68"/>
  <c r="K112" i="68" s="1"/>
  <c r="L112" i="68" s="1"/>
  <c r="J114" i="68"/>
  <c r="K114" i="68" s="1"/>
  <c r="L114" i="68" s="1"/>
  <c r="U139" i="68"/>
  <c r="V139" i="68" s="1"/>
  <c r="U135" i="68"/>
  <c r="V135" i="68" s="1"/>
  <c r="U131" i="68"/>
  <c r="V131" i="68" s="1"/>
  <c r="U127" i="68"/>
  <c r="V127" i="68" s="1"/>
  <c r="U123" i="68"/>
  <c r="V123" i="68" s="1"/>
  <c r="U119" i="68"/>
  <c r="V119" i="68" s="1"/>
  <c r="U115" i="68"/>
  <c r="V115" i="68" s="1"/>
  <c r="U111" i="68"/>
  <c r="V111" i="68" s="1"/>
  <c r="U107" i="68"/>
  <c r="V107" i="68" s="1"/>
  <c r="U103" i="68"/>
  <c r="V103" i="68" s="1"/>
  <c r="U142" i="68"/>
  <c r="V142" i="68" s="1"/>
  <c r="U138" i="68"/>
  <c r="V138" i="68" s="1"/>
  <c r="U134" i="68"/>
  <c r="V134" i="68" s="1"/>
  <c r="U130" i="68"/>
  <c r="V130" i="68" s="1"/>
  <c r="U126" i="68"/>
  <c r="V126" i="68" s="1"/>
  <c r="U122" i="68"/>
  <c r="V122" i="68" s="1"/>
  <c r="U118" i="68"/>
  <c r="V118" i="68" s="1"/>
  <c r="U114" i="68"/>
  <c r="V114" i="68" s="1"/>
  <c r="U110" i="68"/>
  <c r="V110" i="68" s="1"/>
  <c r="U106" i="68"/>
  <c r="V106" i="68" s="1"/>
  <c r="U102" i="68"/>
  <c r="V102" i="68" s="1"/>
  <c r="U141" i="68"/>
  <c r="V141" i="68" s="1"/>
  <c r="U137" i="68"/>
  <c r="V137" i="68" s="1"/>
  <c r="U133" i="68"/>
  <c r="V133" i="68" s="1"/>
  <c r="U129" i="68"/>
  <c r="V129" i="68" s="1"/>
  <c r="U125" i="68"/>
  <c r="V125" i="68" s="1"/>
  <c r="U121" i="68"/>
  <c r="V121" i="68" s="1"/>
  <c r="U117" i="68"/>
  <c r="V117" i="68" s="1"/>
  <c r="U113" i="68"/>
  <c r="V113" i="68" s="1"/>
  <c r="U109" i="68"/>
  <c r="V109" i="68" s="1"/>
  <c r="U105" i="68"/>
  <c r="V105" i="68" s="1"/>
  <c r="U101" i="68"/>
  <c r="V101" i="68" s="1"/>
  <c r="U140" i="68"/>
  <c r="V140" i="68" s="1"/>
  <c r="U136" i="68"/>
  <c r="V136" i="68" s="1"/>
  <c r="U132" i="68"/>
  <c r="V132" i="68" s="1"/>
  <c r="U128" i="68"/>
  <c r="V128" i="68" s="1"/>
  <c r="U124" i="68"/>
  <c r="V124" i="68" s="1"/>
  <c r="U120" i="68"/>
  <c r="V120" i="68" s="1"/>
  <c r="U116" i="68"/>
  <c r="V116" i="68" s="1"/>
  <c r="U112" i="68"/>
  <c r="V112" i="68" s="1"/>
  <c r="U108" i="68"/>
  <c r="V108" i="68" s="1"/>
  <c r="U104" i="68"/>
  <c r="V104" i="68" s="1"/>
  <c r="U100" i="68"/>
  <c r="V100" i="68" s="1"/>
  <c r="U99" i="68"/>
  <c r="V99" i="68" s="1"/>
  <c r="U95" i="68"/>
  <c r="V95" i="68" s="1"/>
  <c r="U91" i="68"/>
  <c r="V91" i="68" s="1"/>
  <c r="U87" i="68"/>
  <c r="V87" i="68" s="1"/>
  <c r="U83" i="68"/>
  <c r="V83" i="68" s="1"/>
  <c r="U79" i="68"/>
  <c r="V79" i="68" s="1"/>
  <c r="U75" i="68"/>
  <c r="V75" i="68" s="1"/>
  <c r="U63" i="68"/>
  <c r="V63" i="68" s="1"/>
  <c r="S64" i="68"/>
  <c r="U67" i="68"/>
  <c r="V67" i="68" s="1"/>
  <c r="S68" i="68"/>
  <c r="U71" i="68"/>
  <c r="V71" i="68" s="1"/>
  <c r="U72" i="68"/>
  <c r="V72" i="68" s="1"/>
  <c r="U73" i="68"/>
  <c r="V73" i="68" s="1"/>
  <c r="U76" i="68"/>
  <c r="V76" i="68" s="1"/>
  <c r="U77" i="68"/>
  <c r="V77" i="68" s="1"/>
  <c r="U80" i="68"/>
  <c r="V80" i="68" s="1"/>
  <c r="U81" i="68"/>
  <c r="V81" i="68" s="1"/>
  <c r="J69" i="68"/>
  <c r="K69" i="68" s="1"/>
  <c r="L69" i="68" s="1"/>
  <c r="U78" i="68"/>
  <c r="V78" i="68" s="1"/>
  <c r="U82" i="68"/>
  <c r="V82" i="68" s="1"/>
  <c r="S86" i="68"/>
  <c r="S90" i="68"/>
  <c r="S94" i="68"/>
  <c r="S98" i="68"/>
  <c r="U64" i="68"/>
  <c r="V64" i="68" s="1"/>
  <c r="S65" i="68"/>
  <c r="U68" i="68"/>
  <c r="V68" i="68" s="1"/>
  <c r="S69" i="68"/>
  <c r="S85" i="68"/>
  <c r="J86" i="68"/>
  <c r="K86" i="68" s="1"/>
  <c r="L86" i="68" s="1"/>
  <c r="U86" i="68"/>
  <c r="V86" i="68" s="1"/>
  <c r="S89" i="68"/>
  <c r="J90" i="68"/>
  <c r="K90" i="68" s="1"/>
  <c r="L90" i="68" s="1"/>
  <c r="U90" i="68"/>
  <c r="V90" i="68" s="1"/>
  <c r="S93" i="68"/>
  <c r="J94" i="68"/>
  <c r="K94" i="68" s="1"/>
  <c r="L94" i="68" s="1"/>
  <c r="U94" i="68"/>
  <c r="V94" i="68" s="1"/>
  <c r="S97" i="68"/>
  <c r="J98" i="68"/>
  <c r="K98" i="68" s="1"/>
  <c r="L98" i="68" s="1"/>
  <c r="U98" i="68"/>
  <c r="V98" i="68" s="1"/>
  <c r="J101" i="68"/>
  <c r="K101" i="68" s="1"/>
  <c r="L101" i="68" s="1"/>
  <c r="J118" i="68"/>
  <c r="K118" i="68" s="1"/>
  <c r="L118" i="68" s="1"/>
  <c r="E11" i="66"/>
  <c r="Y20" i="66" s="1"/>
  <c r="U75" i="66"/>
  <c r="V75" i="66" s="1"/>
  <c r="U64" i="66"/>
  <c r="V64" i="66" s="1"/>
  <c r="J83" i="66"/>
  <c r="K83" i="66" s="1"/>
  <c r="L83" i="66" s="1"/>
  <c r="J95" i="66"/>
  <c r="K95" i="66" s="1"/>
  <c r="L95" i="66" s="1"/>
  <c r="E20" i="66"/>
  <c r="H65" i="66" s="1"/>
  <c r="Q65" i="66" s="1"/>
  <c r="U85" i="66"/>
  <c r="V85" i="66" s="1"/>
  <c r="X29" i="66"/>
  <c r="Y29" i="66" s="1"/>
  <c r="U66" i="66"/>
  <c r="V66" i="66" s="1"/>
  <c r="U71" i="66"/>
  <c r="V71" i="66" s="1"/>
  <c r="U81" i="66"/>
  <c r="V81" i="66" s="1"/>
  <c r="J91" i="66"/>
  <c r="K91" i="66" s="1"/>
  <c r="L91" i="66" s="1"/>
  <c r="U65" i="66"/>
  <c r="U79" i="66"/>
  <c r="V79" i="66" s="1"/>
  <c r="W11" i="66"/>
  <c r="H113" i="66"/>
  <c r="Q113" i="66" s="1"/>
  <c r="I130" i="66"/>
  <c r="S140" i="66"/>
  <c r="S136" i="66"/>
  <c r="S132" i="66"/>
  <c r="S128" i="66"/>
  <c r="S124" i="66"/>
  <c r="S120" i="66"/>
  <c r="S116" i="66"/>
  <c r="S112" i="66"/>
  <c r="S108" i="66"/>
  <c r="S104" i="66"/>
  <c r="S139" i="66"/>
  <c r="S135" i="66"/>
  <c r="S131" i="66"/>
  <c r="S127" i="66"/>
  <c r="S123" i="66"/>
  <c r="S119" i="66"/>
  <c r="S115" i="66"/>
  <c r="S111" i="66"/>
  <c r="S107" i="66"/>
  <c r="S103" i="66"/>
  <c r="S142" i="66"/>
  <c r="S138" i="66"/>
  <c r="S134" i="66"/>
  <c r="S130" i="66"/>
  <c r="S126" i="66"/>
  <c r="S122" i="66"/>
  <c r="S118" i="66"/>
  <c r="S114" i="66"/>
  <c r="S110" i="66"/>
  <c r="S106" i="66"/>
  <c r="S102" i="66"/>
  <c r="S137" i="66"/>
  <c r="S117" i="66"/>
  <c r="S129" i="66"/>
  <c r="S113" i="66"/>
  <c r="S97" i="66"/>
  <c r="S93" i="66"/>
  <c r="S89" i="66"/>
  <c r="S85" i="66"/>
  <c r="S81" i="66"/>
  <c r="S77" i="66"/>
  <c r="S73" i="66"/>
  <c r="S69" i="66"/>
  <c r="S121" i="66"/>
  <c r="S100" i="66"/>
  <c r="S96" i="66"/>
  <c r="S92" i="66"/>
  <c r="S88" i="66"/>
  <c r="S84" i="66"/>
  <c r="S80" i="66"/>
  <c r="S133" i="66"/>
  <c r="S141" i="66"/>
  <c r="S109" i="66"/>
  <c r="S105" i="66"/>
  <c r="S101" i="66"/>
  <c r="S99" i="66"/>
  <c r="S95" i="66"/>
  <c r="S91" i="66"/>
  <c r="S87" i="66"/>
  <c r="S83" i="66"/>
  <c r="S79" i="66"/>
  <c r="S75" i="66"/>
  <c r="S71" i="66"/>
  <c r="F20" i="66"/>
  <c r="E25" i="66"/>
  <c r="X30" i="66"/>
  <c r="Y30" i="66" s="1"/>
  <c r="T63" i="66"/>
  <c r="J64" i="66"/>
  <c r="K64" i="66" s="1"/>
  <c r="L64" i="66" s="1"/>
  <c r="T67" i="66"/>
  <c r="J68" i="66"/>
  <c r="K68" i="66" s="1"/>
  <c r="L68" i="66" s="1"/>
  <c r="S68" i="66"/>
  <c r="J69" i="66"/>
  <c r="K69" i="66" s="1"/>
  <c r="L69" i="66" s="1"/>
  <c r="U69" i="66"/>
  <c r="V69" i="66" s="1"/>
  <c r="H72" i="66"/>
  <c r="Q72" i="66" s="1"/>
  <c r="S72" i="66"/>
  <c r="J73" i="66"/>
  <c r="K73" i="66" s="1"/>
  <c r="L73" i="66" s="1"/>
  <c r="U73" i="66"/>
  <c r="V73" i="66" s="1"/>
  <c r="H76" i="66"/>
  <c r="Q76" i="66" s="1"/>
  <c r="S76" i="66"/>
  <c r="J77" i="66"/>
  <c r="K77" i="66" s="1"/>
  <c r="L77" i="66" s="1"/>
  <c r="S82" i="66"/>
  <c r="S86" i="66"/>
  <c r="S90" i="66"/>
  <c r="S94" i="66"/>
  <c r="S98" i="66"/>
  <c r="J102" i="66"/>
  <c r="K102" i="66" s="1"/>
  <c r="L102" i="66" s="1"/>
  <c r="J111" i="66"/>
  <c r="K111" i="66" s="1"/>
  <c r="L111" i="66" s="1"/>
  <c r="I133" i="66"/>
  <c r="I129" i="66"/>
  <c r="I121" i="66"/>
  <c r="I117" i="66"/>
  <c r="I113" i="66"/>
  <c r="H141" i="66"/>
  <c r="Q141" i="66" s="1"/>
  <c r="H137" i="66"/>
  <c r="Q137" i="66" s="1"/>
  <c r="H129" i="66"/>
  <c r="Q129" i="66" s="1"/>
  <c r="H125" i="66"/>
  <c r="Q125" i="66" s="1"/>
  <c r="H121" i="66"/>
  <c r="Q121" i="66" s="1"/>
  <c r="I136" i="66"/>
  <c r="I132" i="66"/>
  <c r="I124" i="66"/>
  <c r="I120" i="66"/>
  <c r="I116" i="66"/>
  <c r="I104" i="66"/>
  <c r="H140" i="66"/>
  <c r="Q140" i="66" s="1"/>
  <c r="H132" i="66"/>
  <c r="Q132" i="66" s="1"/>
  <c r="H128" i="66"/>
  <c r="Q128" i="66" s="1"/>
  <c r="H124" i="66"/>
  <c r="Q124" i="66" s="1"/>
  <c r="H112" i="66"/>
  <c r="Q112" i="66" s="1"/>
  <c r="I139" i="66"/>
  <c r="I131" i="66"/>
  <c r="I127" i="66"/>
  <c r="I123" i="66"/>
  <c r="I111" i="66"/>
  <c r="I107" i="66"/>
  <c r="H139" i="66"/>
  <c r="Q139" i="66" s="1"/>
  <c r="H135" i="66"/>
  <c r="Q135" i="66" s="1"/>
  <c r="H131" i="66"/>
  <c r="Q131" i="66" s="1"/>
  <c r="H119" i="66"/>
  <c r="Q119" i="66" s="1"/>
  <c r="H115" i="66"/>
  <c r="Q115" i="66" s="1"/>
  <c r="H138" i="66"/>
  <c r="Q138" i="66" s="1"/>
  <c r="H134" i="66"/>
  <c r="Q134" i="66" s="1"/>
  <c r="H130" i="66"/>
  <c r="Q130" i="66" s="1"/>
  <c r="H118" i="66"/>
  <c r="Q118" i="66" s="1"/>
  <c r="H114" i="66"/>
  <c r="Q114" i="66" s="1"/>
  <c r="H111" i="66"/>
  <c r="Q111" i="66" s="1"/>
  <c r="I106" i="66"/>
  <c r="I102" i="66"/>
  <c r="I110" i="66"/>
  <c r="H108" i="66"/>
  <c r="Q108" i="66" s="1"/>
  <c r="H104" i="66"/>
  <c r="Q104" i="66" s="1"/>
  <c r="H102" i="66"/>
  <c r="Q102" i="66" s="1"/>
  <c r="H99" i="66"/>
  <c r="Q99" i="66" s="1"/>
  <c r="I94" i="66"/>
  <c r="I90" i="66"/>
  <c r="I82" i="66"/>
  <c r="I78" i="66"/>
  <c r="I74" i="66"/>
  <c r="I126" i="66"/>
  <c r="I97" i="66"/>
  <c r="I89" i="66"/>
  <c r="I85" i="66"/>
  <c r="I81" i="66"/>
  <c r="H105" i="66"/>
  <c r="Q105" i="66" s="1"/>
  <c r="H103" i="66"/>
  <c r="Q103" i="66" s="1"/>
  <c r="I138" i="66"/>
  <c r="I118" i="66"/>
  <c r="H101" i="66"/>
  <c r="Q101" i="66" s="1"/>
  <c r="I92" i="66"/>
  <c r="I88" i="66"/>
  <c r="I80" i="66"/>
  <c r="I76" i="66"/>
  <c r="I72" i="66"/>
  <c r="I73" i="66"/>
  <c r="I77" i="66"/>
  <c r="U139" i="66"/>
  <c r="V139" i="66" s="1"/>
  <c r="U135" i="66"/>
  <c r="V135" i="66" s="1"/>
  <c r="U131" i="66"/>
  <c r="V131" i="66" s="1"/>
  <c r="U127" i="66"/>
  <c r="V127" i="66" s="1"/>
  <c r="U123" i="66"/>
  <c r="V123" i="66" s="1"/>
  <c r="U119" i="66"/>
  <c r="V119" i="66" s="1"/>
  <c r="U115" i="66"/>
  <c r="V115" i="66" s="1"/>
  <c r="U111" i="66"/>
  <c r="V111" i="66" s="1"/>
  <c r="U107" i="66"/>
  <c r="V107" i="66" s="1"/>
  <c r="U103" i="66"/>
  <c r="V103" i="66" s="1"/>
  <c r="U142" i="66"/>
  <c r="V142" i="66" s="1"/>
  <c r="U138" i="66"/>
  <c r="V138" i="66" s="1"/>
  <c r="U134" i="66"/>
  <c r="V134" i="66" s="1"/>
  <c r="U130" i="66"/>
  <c r="V130" i="66" s="1"/>
  <c r="U126" i="66"/>
  <c r="V126" i="66" s="1"/>
  <c r="U122" i="66"/>
  <c r="V122" i="66" s="1"/>
  <c r="U118" i="66"/>
  <c r="V118" i="66" s="1"/>
  <c r="U114" i="66"/>
  <c r="V114" i="66" s="1"/>
  <c r="U110" i="66"/>
  <c r="V110" i="66" s="1"/>
  <c r="U106" i="66"/>
  <c r="V106" i="66" s="1"/>
  <c r="U102" i="66"/>
  <c r="V102" i="66" s="1"/>
  <c r="U141" i="66"/>
  <c r="V141" i="66" s="1"/>
  <c r="U137" i="66"/>
  <c r="V137" i="66" s="1"/>
  <c r="U133" i="66"/>
  <c r="V133" i="66" s="1"/>
  <c r="U129" i="66"/>
  <c r="V129" i="66" s="1"/>
  <c r="U125" i="66"/>
  <c r="V125" i="66" s="1"/>
  <c r="U121" i="66"/>
  <c r="V121" i="66" s="1"/>
  <c r="U117" i="66"/>
  <c r="V117" i="66" s="1"/>
  <c r="U113" i="66"/>
  <c r="V113" i="66" s="1"/>
  <c r="U109" i="66"/>
  <c r="V109" i="66" s="1"/>
  <c r="U105" i="66"/>
  <c r="V105" i="66" s="1"/>
  <c r="U101" i="66"/>
  <c r="V101" i="66" s="1"/>
  <c r="U128" i="66"/>
  <c r="V128" i="66" s="1"/>
  <c r="U108" i="66"/>
  <c r="V108" i="66" s="1"/>
  <c r="U104" i="66"/>
  <c r="V104" i="66" s="1"/>
  <c r="U140" i="66"/>
  <c r="V140" i="66" s="1"/>
  <c r="U120" i="66"/>
  <c r="V120" i="66" s="1"/>
  <c r="U112" i="66"/>
  <c r="V112" i="66" s="1"/>
  <c r="U100" i="66"/>
  <c r="V100" i="66" s="1"/>
  <c r="U96" i="66"/>
  <c r="V96" i="66" s="1"/>
  <c r="U92" i="66"/>
  <c r="V92" i="66" s="1"/>
  <c r="U88" i="66"/>
  <c r="V88" i="66" s="1"/>
  <c r="U84" i="66"/>
  <c r="V84" i="66" s="1"/>
  <c r="U80" i="66"/>
  <c r="V80" i="66" s="1"/>
  <c r="U76" i="66"/>
  <c r="V76" i="66" s="1"/>
  <c r="U72" i="66"/>
  <c r="V72" i="66" s="1"/>
  <c r="U68" i="66"/>
  <c r="V68" i="66" s="1"/>
  <c r="U132" i="66"/>
  <c r="V132" i="66" s="1"/>
  <c r="U99" i="66"/>
  <c r="V99" i="66" s="1"/>
  <c r="U95" i="66"/>
  <c r="V95" i="66" s="1"/>
  <c r="U91" i="66"/>
  <c r="V91" i="66" s="1"/>
  <c r="U87" i="66"/>
  <c r="V87" i="66" s="1"/>
  <c r="U83" i="66"/>
  <c r="V83" i="66" s="1"/>
  <c r="U124" i="66"/>
  <c r="V124" i="66" s="1"/>
  <c r="U136" i="66"/>
  <c r="V136" i="66" s="1"/>
  <c r="U98" i="66"/>
  <c r="V98" i="66" s="1"/>
  <c r="U94" i="66"/>
  <c r="V94" i="66" s="1"/>
  <c r="U90" i="66"/>
  <c r="V90" i="66" s="1"/>
  <c r="U86" i="66"/>
  <c r="V86" i="66" s="1"/>
  <c r="U82" i="66"/>
  <c r="V82" i="66" s="1"/>
  <c r="U78" i="66"/>
  <c r="U74" i="66"/>
  <c r="U70" i="66"/>
  <c r="U63" i="66"/>
  <c r="V63" i="66" s="1"/>
  <c r="S64" i="66"/>
  <c r="I65" i="66"/>
  <c r="W66" i="66"/>
  <c r="U67" i="66"/>
  <c r="V67" i="66" s="1"/>
  <c r="J72" i="66"/>
  <c r="K72" i="66" s="1"/>
  <c r="L72" i="66" s="1"/>
  <c r="J76" i="66"/>
  <c r="K76" i="66" s="1"/>
  <c r="L76" i="66" s="1"/>
  <c r="J80" i="66"/>
  <c r="K80" i="66" s="1"/>
  <c r="L80" i="66" s="1"/>
  <c r="H84" i="66"/>
  <c r="Q84" i="66" s="1"/>
  <c r="H86" i="66"/>
  <c r="Q86" i="66" s="1"/>
  <c r="H88" i="66"/>
  <c r="Q88" i="66" s="1"/>
  <c r="H94" i="66"/>
  <c r="Q94" i="66" s="1"/>
  <c r="H96" i="66"/>
  <c r="Q96" i="66" s="1"/>
  <c r="I64" i="66"/>
  <c r="N63" i="66"/>
  <c r="E16" i="66" s="1"/>
  <c r="J65" i="66"/>
  <c r="K65" i="66" s="1"/>
  <c r="L65" i="66" s="1"/>
  <c r="H75" i="66"/>
  <c r="Q75" i="66" s="1"/>
  <c r="H79" i="66"/>
  <c r="Q79" i="66" s="1"/>
  <c r="J82" i="66"/>
  <c r="K82" i="66" s="1"/>
  <c r="L82" i="66" s="1"/>
  <c r="J84" i="66"/>
  <c r="K84" i="66" s="1"/>
  <c r="L84" i="66" s="1"/>
  <c r="J86" i="66"/>
  <c r="K86" i="66" s="1"/>
  <c r="L86" i="66" s="1"/>
  <c r="J88" i="66"/>
  <c r="K88" i="66" s="1"/>
  <c r="L88" i="66" s="1"/>
  <c r="J90" i="66"/>
  <c r="K90" i="66" s="1"/>
  <c r="L90" i="66" s="1"/>
  <c r="J92" i="66"/>
  <c r="K92" i="66" s="1"/>
  <c r="L92" i="66" s="1"/>
  <c r="J94" i="66"/>
  <c r="K94" i="66" s="1"/>
  <c r="L94" i="66" s="1"/>
  <c r="J96" i="66"/>
  <c r="K96" i="66" s="1"/>
  <c r="L96" i="66" s="1"/>
  <c r="J98" i="66"/>
  <c r="K98" i="66" s="1"/>
  <c r="L98" i="66" s="1"/>
  <c r="I66" i="66"/>
  <c r="I71" i="66"/>
  <c r="I75" i="66"/>
  <c r="J106" i="66"/>
  <c r="K106" i="66" s="1"/>
  <c r="L106" i="66" s="1"/>
  <c r="H63" i="66"/>
  <c r="Q63" i="66" s="1"/>
  <c r="J66" i="66"/>
  <c r="K66" i="66" s="1"/>
  <c r="L66" i="66" s="1"/>
  <c r="H70" i="66"/>
  <c r="Q70" i="66" s="1"/>
  <c r="J71" i="66"/>
  <c r="K71" i="66" s="1"/>
  <c r="L71" i="66" s="1"/>
  <c r="H74" i="66"/>
  <c r="Q74" i="66" s="1"/>
  <c r="J75" i="66"/>
  <c r="K75" i="66" s="1"/>
  <c r="L75" i="66" s="1"/>
  <c r="H100" i="66"/>
  <c r="Q100" i="66" s="1"/>
  <c r="I114" i="66"/>
  <c r="U116" i="66"/>
  <c r="V116" i="66" s="1"/>
  <c r="J140" i="66"/>
  <c r="K140" i="66" s="1"/>
  <c r="L140" i="66" s="1"/>
  <c r="J136" i="66"/>
  <c r="K136" i="66" s="1"/>
  <c r="L136" i="66" s="1"/>
  <c r="J132" i="66"/>
  <c r="K132" i="66" s="1"/>
  <c r="L132" i="66" s="1"/>
  <c r="J128" i="66"/>
  <c r="K128" i="66" s="1"/>
  <c r="L128" i="66" s="1"/>
  <c r="J124" i="66"/>
  <c r="K124" i="66" s="1"/>
  <c r="L124" i="66" s="1"/>
  <c r="J120" i="66"/>
  <c r="K120" i="66" s="1"/>
  <c r="L120" i="66" s="1"/>
  <c r="J139" i="66"/>
  <c r="K139" i="66" s="1"/>
  <c r="L139" i="66" s="1"/>
  <c r="J135" i="66"/>
  <c r="K135" i="66" s="1"/>
  <c r="L135" i="66" s="1"/>
  <c r="J131" i="66"/>
  <c r="K131" i="66" s="1"/>
  <c r="L131" i="66" s="1"/>
  <c r="J127" i="66"/>
  <c r="K127" i="66" s="1"/>
  <c r="L127" i="66" s="1"/>
  <c r="J123" i="66"/>
  <c r="K123" i="66" s="1"/>
  <c r="L123" i="66" s="1"/>
  <c r="J119" i="66"/>
  <c r="K119" i="66" s="1"/>
  <c r="L119" i="66" s="1"/>
  <c r="J115" i="66"/>
  <c r="K115" i="66" s="1"/>
  <c r="L115" i="66" s="1"/>
  <c r="J142" i="66"/>
  <c r="K142" i="66" s="1"/>
  <c r="L142" i="66" s="1"/>
  <c r="J138" i="66"/>
  <c r="K138" i="66" s="1"/>
  <c r="L138" i="66" s="1"/>
  <c r="J134" i="66"/>
  <c r="K134" i="66" s="1"/>
  <c r="L134" i="66" s="1"/>
  <c r="J130" i="66"/>
  <c r="K130" i="66" s="1"/>
  <c r="L130" i="66" s="1"/>
  <c r="J126" i="66"/>
  <c r="K126" i="66" s="1"/>
  <c r="L126" i="66" s="1"/>
  <c r="J122" i="66"/>
  <c r="K122" i="66" s="1"/>
  <c r="L122" i="66" s="1"/>
  <c r="J118" i="66"/>
  <c r="K118" i="66" s="1"/>
  <c r="L118" i="66" s="1"/>
  <c r="J114" i="66"/>
  <c r="K114" i="66" s="1"/>
  <c r="L114" i="66" s="1"/>
  <c r="J141" i="66"/>
  <c r="K141" i="66" s="1"/>
  <c r="L141" i="66" s="1"/>
  <c r="J137" i="66"/>
  <c r="K137" i="66" s="1"/>
  <c r="L137" i="66" s="1"/>
  <c r="J133" i="66"/>
  <c r="K133" i="66" s="1"/>
  <c r="L133" i="66" s="1"/>
  <c r="J129" i="66"/>
  <c r="K129" i="66" s="1"/>
  <c r="L129" i="66" s="1"/>
  <c r="J125" i="66"/>
  <c r="K125" i="66" s="1"/>
  <c r="L125" i="66" s="1"/>
  <c r="J121" i="66"/>
  <c r="K121" i="66" s="1"/>
  <c r="L121" i="66" s="1"/>
  <c r="J117" i="66"/>
  <c r="K117" i="66" s="1"/>
  <c r="L117" i="66" s="1"/>
  <c r="J113" i="66"/>
  <c r="K113" i="66" s="1"/>
  <c r="L113" i="66" s="1"/>
  <c r="J110" i="66"/>
  <c r="K110" i="66" s="1"/>
  <c r="L110" i="66" s="1"/>
  <c r="J108" i="66"/>
  <c r="K108" i="66" s="1"/>
  <c r="L108" i="66" s="1"/>
  <c r="J104" i="66"/>
  <c r="K104" i="66" s="1"/>
  <c r="L104" i="66" s="1"/>
  <c r="J116" i="66"/>
  <c r="K116" i="66" s="1"/>
  <c r="L116" i="66" s="1"/>
  <c r="J109" i="66"/>
  <c r="K109" i="66" s="1"/>
  <c r="L109" i="66" s="1"/>
  <c r="J107" i="66"/>
  <c r="K107" i="66" s="1"/>
  <c r="L107" i="66" s="1"/>
  <c r="J105" i="66"/>
  <c r="K105" i="66" s="1"/>
  <c r="L105" i="66" s="1"/>
  <c r="J103" i="66"/>
  <c r="K103" i="66" s="1"/>
  <c r="L103" i="66" s="1"/>
  <c r="J101" i="66"/>
  <c r="K101" i="66" s="1"/>
  <c r="L101" i="66" s="1"/>
  <c r="J112" i="66"/>
  <c r="K112" i="66" s="1"/>
  <c r="L112" i="66" s="1"/>
  <c r="I63" i="66"/>
  <c r="I67" i="66"/>
  <c r="J70" i="66"/>
  <c r="K70" i="66" s="1"/>
  <c r="L70" i="66" s="1"/>
  <c r="J74" i="66"/>
  <c r="K74" i="66" s="1"/>
  <c r="L74" i="66" s="1"/>
  <c r="J78" i="66"/>
  <c r="K78" i="66" s="1"/>
  <c r="L78" i="66" s="1"/>
  <c r="H81" i="66"/>
  <c r="Q81" i="66" s="1"/>
  <c r="H83" i="66"/>
  <c r="Q83" i="66" s="1"/>
  <c r="H85" i="66"/>
  <c r="Q85" i="66" s="1"/>
  <c r="H87" i="66"/>
  <c r="Q87" i="66" s="1"/>
  <c r="H89" i="66"/>
  <c r="Q89" i="66" s="1"/>
  <c r="U89" i="66"/>
  <c r="V89" i="66" s="1"/>
  <c r="H91" i="66"/>
  <c r="Q91" i="66" s="1"/>
  <c r="H93" i="66"/>
  <c r="Q93" i="66" s="1"/>
  <c r="U93" i="66"/>
  <c r="V93" i="66" s="1"/>
  <c r="H95" i="66"/>
  <c r="Q95" i="66" s="1"/>
  <c r="H97" i="66"/>
  <c r="Q97" i="66" s="1"/>
  <c r="U97" i="66"/>
  <c r="V97" i="66" s="1"/>
  <c r="J99" i="66"/>
  <c r="K99" i="66" s="1"/>
  <c r="L99" i="66" s="1"/>
  <c r="J100" i="66"/>
  <c r="K100" i="66" s="1"/>
  <c r="L100" i="66" s="1"/>
  <c r="I21" i="66"/>
  <c r="J21" i="66" s="1"/>
  <c r="J63" i="66"/>
  <c r="K63" i="66" s="1"/>
  <c r="L63" i="66" s="1"/>
  <c r="H64" i="66"/>
  <c r="Q64" i="66" s="1"/>
  <c r="J67" i="66"/>
  <c r="K67" i="66" s="1"/>
  <c r="L67" i="66" s="1"/>
  <c r="H68" i="66"/>
  <c r="Q68" i="66" s="1"/>
  <c r="H69" i="66"/>
  <c r="Q69" i="66" s="1"/>
  <c r="H73" i="66"/>
  <c r="Q73" i="66" s="1"/>
  <c r="H77" i="66"/>
  <c r="Q77" i="66" s="1"/>
  <c r="J81" i="66"/>
  <c r="K81" i="66" s="1"/>
  <c r="L81" i="66" s="1"/>
  <c r="I83" i="66"/>
  <c r="J85" i="66"/>
  <c r="K85" i="66" s="1"/>
  <c r="L85" i="66" s="1"/>
  <c r="I87" i="66"/>
  <c r="J89" i="66"/>
  <c r="K89" i="66" s="1"/>
  <c r="L89" i="66" s="1"/>
  <c r="I91" i="66"/>
  <c r="J93" i="66"/>
  <c r="K93" i="66" s="1"/>
  <c r="L93" i="66" s="1"/>
  <c r="I95" i="66"/>
  <c r="J97" i="66"/>
  <c r="K97" i="66" s="1"/>
  <c r="L97" i="66" s="1"/>
  <c r="S125" i="66"/>
  <c r="E26" i="65"/>
  <c r="M76" i="65" s="1"/>
  <c r="O76" i="65" s="1"/>
  <c r="P76" i="65" s="1"/>
  <c r="E10" i="65"/>
  <c r="Y19" i="65" s="1"/>
  <c r="U66" i="65"/>
  <c r="V66" i="65" s="1"/>
  <c r="U104" i="65"/>
  <c r="V104" i="65" s="1"/>
  <c r="U64" i="65"/>
  <c r="V64" i="65" s="1"/>
  <c r="E20" i="65"/>
  <c r="I72" i="65" s="1"/>
  <c r="U100" i="65"/>
  <c r="V100" i="65" s="1"/>
  <c r="J127" i="65"/>
  <c r="K127" i="65" s="1"/>
  <c r="L127" i="65" s="1"/>
  <c r="J98" i="65"/>
  <c r="K98" i="65" s="1"/>
  <c r="L98" i="65" s="1"/>
  <c r="T89" i="65"/>
  <c r="T91" i="65"/>
  <c r="W129" i="65"/>
  <c r="T129" i="65"/>
  <c r="E16" i="65"/>
  <c r="T67" i="65"/>
  <c r="W10" i="65"/>
  <c r="Y20" i="65"/>
  <c r="W11" i="65"/>
  <c r="E18" i="65"/>
  <c r="J18" i="65" s="1"/>
  <c r="I141" i="65"/>
  <c r="I137" i="65"/>
  <c r="I133" i="65"/>
  <c r="I129" i="65"/>
  <c r="I125" i="65"/>
  <c r="I121" i="65"/>
  <c r="I117" i="65"/>
  <c r="I113" i="65"/>
  <c r="I109" i="65"/>
  <c r="I105" i="65"/>
  <c r="H141" i="65"/>
  <c r="Q141" i="65" s="1"/>
  <c r="H137" i="65"/>
  <c r="Q137" i="65" s="1"/>
  <c r="H133" i="65"/>
  <c r="Q133" i="65" s="1"/>
  <c r="H129" i="65"/>
  <c r="Q129" i="65" s="1"/>
  <c r="H125" i="65"/>
  <c r="Q125" i="65" s="1"/>
  <c r="I140" i="65"/>
  <c r="I136" i="65"/>
  <c r="I132" i="65"/>
  <c r="I128" i="65"/>
  <c r="I124" i="65"/>
  <c r="I120" i="65"/>
  <c r="I116" i="65"/>
  <c r="I112" i="65"/>
  <c r="I108" i="65"/>
  <c r="H140" i="65"/>
  <c r="Q140" i="65" s="1"/>
  <c r="H136" i="65"/>
  <c r="Q136" i="65" s="1"/>
  <c r="I139" i="65"/>
  <c r="I135" i="65"/>
  <c r="I131" i="65"/>
  <c r="I127" i="65"/>
  <c r="I123" i="65"/>
  <c r="I119" i="65"/>
  <c r="I115" i="65"/>
  <c r="I111" i="65"/>
  <c r="I107" i="65"/>
  <c r="I103" i="65"/>
  <c r="H139" i="65"/>
  <c r="Q139" i="65" s="1"/>
  <c r="H135" i="65"/>
  <c r="Q135" i="65" s="1"/>
  <c r="H131" i="65"/>
  <c r="Q131" i="65" s="1"/>
  <c r="H127" i="65"/>
  <c r="Q127" i="65" s="1"/>
  <c r="H123" i="65"/>
  <c r="Q123" i="65" s="1"/>
  <c r="H119" i="65"/>
  <c r="Q119" i="65" s="1"/>
  <c r="H115" i="65"/>
  <c r="Q115" i="65" s="1"/>
  <c r="H142" i="65"/>
  <c r="Q142" i="65" s="1"/>
  <c r="H138" i="65"/>
  <c r="Q138" i="65" s="1"/>
  <c r="H134" i="65"/>
  <c r="Q134" i="65" s="1"/>
  <c r="H130" i="65"/>
  <c r="Q130" i="65" s="1"/>
  <c r="H126" i="65"/>
  <c r="Q126" i="65" s="1"/>
  <c r="H122" i="65"/>
  <c r="Q122" i="65" s="1"/>
  <c r="H118" i="65"/>
  <c r="Q118" i="65" s="1"/>
  <c r="H114" i="65"/>
  <c r="Q114" i="65" s="1"/>
  <c r="I138" i="65"/>
  <c r="I134" i="65"/>
  <c r="I122" i="65"/>
  <c r="H128" i="65"/>
  <c r="Q128" i="65" s="1"/>
  <c r="H121" i="65"/>
  <c r="Q121" i="65" s="1"/>
  <c r="I118" i="65"/>
  <c r="H106" i="65"/>
  <c r="Q106" i="65" s="1"/>
  <c r="H102" i="65"/>
  <c r="Q102" i="65" s="1"/>
  <c r="H100" i="65"/>
  <c r="Q100" i="65" s="1"/>
  <c r="H96" i="65"/>
  <c r="Q96" i="65" s="1"/>
  <c r="H92" i="65"/>
  <c r="Q92" i="65" s="1"/>
  <c r="H88" i="65"/>
  <c r="Q88" i="65" s="1"/>
  <c r="I142" i="65"/>
  <c r="I130" i="65"/>
  <c r="H120" i="65"/>
  <c r="Q120" i="65" s="1"/>
  <c r="H117" i="65"/>
  <c r="Q117" i="65" s="1"/>
  <c r="I99" i="65"/>
  <c r="I95" i="65"/>
  <c r="I91" i="65"/>
  <c r="I87" i="65"/>
  <c r="I83" i="65"/>
  <c r="I79" i="65"/>
  <c r="I75" i="65"/>
  <c r="I126" i="65"/>
  <c r="H104" i="65"/>
  <c r="Q104" i="65" s="1"/>
  <c r="H98" i="65"/>
  <c r="Q98" i="65" s="1"/>
  <c r="H94" i="65"/>
  <c r="Q94" i="65" s="1"/>
  <c r="H90" i="65"/>
  <c r="Q90" i="65" s="1"/>
  <c r="H116" i="65"/>
  <c r="Q116" i="65" s="1"/>
  <c r="I102" i="65"/>
  <c r="I94" i="65"/>
  <c r="I92" i="65"/>
  <c r="H87" i="65"/>
  <c r="Q87" i="65" s="1"/>
  <c r="I71" i="65"/>
  <c r="I67" i="65"/>
  <c r="I63" i="65"/>
  <c r="I90" i="65"/>
  <c r="I88" i="65"/>
  <c r="H71" i="65"/>
  <c r="Q71" i="65" s="1"/>
  <c r="H67" i="65"/>
  <c r="Q67" i="65" s="1"/>
  <c r="H63" i="65"/>
  <c r="Q63" i="65" s="1"/>
  <c r="I114" i="65"/>
  <c r="I106" i="65"/>
  <c r="I101" i="65"/>
  <c r="I84" i="65"/>
  <c r="I82" i="65"/>
  <c r="I81" i="65"/>
  <c r="I80" i="65"/>
  <c r="I78" i="65"/>
  <c r="I77" i="65"/>
  <c r="I76" i="65"/>
  <c r="I74" i="65"/>
  <c r="I70" i="65"/>
  <c r="I66" i="65"/>
  <c r="H113" i="65"/>
  <c r="Q113" i="65" s="1"/>
  <c r="H112" i="65"/>
  <c r="Q112" i="65" s="1"/>
  <c r="H111" i="65"/>
  <c r="Q111" i="65" s="1"/>
  <c r="I110" i="65"/>
  <c r="H101" i="65"/>
  <c r="Q101" i="65" s="1"/>
  <c r="H99" i="65"/>
  <c r="Q99" i="65" s="1"/>
  <c r="I97" i="65"/>
  <c r="I85" i="65"/>
  <c r="H84" i="65"/>
  <c r="Q84" i="65" s="1"/>
  <c r="H83" i="65"/>
  <c r="Q83" i="65" s="1"/>
  <c r="H82" i="65"/>
  <c r="Q82" i="65" s="1"/>
  <c r="H81" i="65"/>
  <c r="Q81" i="65" s="1"/>
  <c r="H80" i="65"/>
  <c r="Q80" i="65" s="1"/>
  <c r="H79" i="65"/>
  <c r="Q79" i="65" s="1"/>
  <c r="H78" i="65"/>
  <c r="Q78" i="65" s="1"/>
  <c r="H77" i="65"/>
  <c r="Q77" i="65" s="1"/>
  <c r="H76" i="65"/>
  <c r="Q76" i="65" s="1"/>
  <c r="H75" i="65"/>
  <c r="Q75" i="65" s="1"/>
  <c r="H74" i="65"/>
  <c r="Q74" i="65" s="1"/>
  <c r="H70" i="65"/>
  <c r="Q70" i="65" s="1"/>
  <c r="H66" i="65"/>
  <c r="Q66" i="65" s="1"/>
  <c r="H110" i="65"/>
  <c r="Q110" i="65" s="1"/>
  <c r="H109" i="65"/>
  <c r="Q109" i="65" s="1"/>
  <c r="H105" i="65"/>
  <c r="Q105" i="65" s="1"/>
  <c r="H97" i="65"/>
  <c r="Q97" i="65" s="1"/>
  <c r="H95" i="65"/>
  <c r="Q95" i="65" s="1"/>
  <c r="I93" i="65"/>
  <c r="H85" i="65"/>
  <c r="Q85" i="65" s="1"/>
  <c r="I73" i="65"/>
  <c r="I69" i="65"/>
  <c r="I65" i="65"/>
  <c r="I20" i="65"/>
  <c r="J20" i="65" s="1"/>
  <c r="H103" i="65"/>
  <c r="Q103" i="65" s="1"/>
  <c r="I104" i="65"/>
  <c r="H93" i="65"/>
  <c r="Q93" i="65" s="1"/>
  <c r="H91" i="65"/>
  <c r="Q91" i="65" s="1"/>
  <c r="I89" i="65"/>
  <c r="I86" i="65"/>
  <c r="H73" i="65"/>
  <c r="Q73" i="65" s="1"/>
  <c r="H69" i="65"/>
  <c r="Q69" i="65" s="1"/>
  <c r="H65" i="65"/>
  <c r="Q65" i="65" s="1"/>
  <c r="H108" i="65"/>
  <c r="Q108" i="65" s="1"/>
  <c r="I100" i="65"/>
  <c r="H132" i="65"/>
  <c r="Q132" i="65" s="1"/>
  <c r="H124" i="65"/>
  <c r="Q124" i="65" s="1"/>
  <c r="H107" i="65"/>
  <c r="Q107" i="65" s="1"/>
  <c r="I98" i="65"/>
  <c r="I96" i="65"/>
  <c r="H72" i="65"/>
  <c r="Q72" i="65" s="1"/>
  <c r="H68" i="65"/>
  <c r="Q68" i="65" s="1"/>
  <c r="H64" i="65"/>
  <c r="Q64" i="65" s="1"/>
  <c r="T63" i="65"/>
  <c r="I68" i="65"/>
  <c r="X20" i="65"/>
  <c r="M119" i="65"/>
  <c r="O119" i="65" s="1"/>
  <c r="P119" i="65" s="1"/>
  <c r="M115" i="65"/>
  <c r="O115" i="65" s="1"/>
  <c r="P115" i="65" s="1"/>
  <c r="M130" i="65"/>
  <c r="O130" i="65" s="1"/>
  <c r="P130" i="65" s="1"/>
  <c r="M126" i="65"/>
  <c r="O126" i="65" s="1"/>
  <c r="P126" i="65" s="1"/>
  <c r="M133" i="65"/>
  <c r="O133" i="65" s="1"/>
  <c r="P133" i="65" s="1"/>
  <c r="M129" i="65"/>
  <c r="O129" i="65" s="1"/>
  <c r="P129" i="65" s="1"/>
  <c r="M101" i="65"/>
  <c r="O101" i="65" s="1"/>
  <c r="P101" i="65" s="1"/>
  <c r="M128" i="65"/>
  <c r="O128" i="65" s="1"/>
  <c r="P128" i="65" s="1"/>
  <c r="M85" i="65"/>
  <c r="O85" i="65" s="1"/>
  <c r="P85" i="65" s="1"/>
  <c r="M81" i="65"/>
  <c r="O81" i="65" s="1"/>
  <c r="P81" i="65" s="1"/>
  <c r="M99" i="65"/>
  <c r="O99" i="65" s="1"/>
  <c r="P99" i="65" s="1"/>
  <c r="M73" i="65"/>
  <c r="O73" i="65" s="1"/>
  <c r="P73" i="65" s="1"/>
  <c r="M72" i="65"/>
  <c r="O72" i="65" s="1"/>
  <c r="P72" i="65" s="1"/>
  <c r="M68" i="65"/>
  <c r="O68" i="65" s="1"/>
  <c r="P68" i="65" s="1"/>
  <c r="M67" i="65"/>
  <c r="O67" i="65" s="1"/>
  <c r="P67" i="65" s="1"/>
  <c r="M63" i="65"/>
  <c r="O63" i="65" s="1"/>
  <c r="P63" i="65" s="1"/>
  <c r="M82" i="65"/>
  <c r="O82" i="65" s="1"/>
  <c r="P82" i="65" s="1"/>
  <c r="M79" i="65"/>
  <c r="O79" i="65" s="1"/>
  <c r="P79" i="65" s="1"/>
  <c r="H89" i="65"/>
  <c r="Q89" i="65" s="1"/>
  <c r="W71" i="65"/>
  <c r="T71" i="65"/>
  <c r="I21" i="65"/>
  <c r="J21" i="65" s="1"/>
  <c r="X29" i="65"/>
  <c r="Y29" i="65" s="1"/>
  <c r="J63" i="65"/>
  <c r="K63" i="65" s="1"/>
  <c r="L63" i="65" s="1"/>
  <c r="J67" i="65"/>
  <c r="K67" i="65" s="1"/>
  <c r="L67" i="65" s="1"/>
  <c r="J71" i="65"/>
  <c r="K71" i="65" s="1"/>
  <c r="L71" i="65" s="1"/>
  <c r="U76" i="65"/>
  <c r="V76" i="65" s="1"/>
  <c r="U80" i="65"/>
  <c r="V80" i="65" s="1"/>
  <c r="U84" i="65"/>
  <c r="V84" i="65" s="1"/>
  <c r="J92" i="65"/>
  <c r="K92" i="65" s="1"/>
  <c r="L92" i="65" s="1"/>
  <c r="J94" i="65"/>
  <c r="K94" i="65" s="1"/>
  <c r="L94" i="65" s="1"/>
  <c r="U96" i="65"/>
  <c r="V96" i="65" s="1"/>
  <c r="S100" i="65"/>
  <c r="J102" i="65"/>
  <c r="K102" i="65" s="1"/>
  <c r="L102" i="65" s="1"/>
  <c r="S105" i="65"/>
  <c r="S109" i="65"/>
  <c r="S113" i="65"/>
  <c r="U120" i="65"/>
  <c r="V120" i="65" s="1"/>
  <c r="S140" i="65"/>
  <c r="S136" i="65"/>
  <c r="S132" i="65"/>
  <c r="S128" i="65"/>
  <c r="S124" i="65"/>
  <c r="S120" i="65"/>
  <c r="S116" i="65"/>
  <c r="S112" i="65"/>
  <c r="S108" i="65"/>
  <c r="S104" i="65"/>
  <c r="S139" i="65"/>
  <c r="S135" i="65"/>
  <c r="S131" i="65"/>
  <c r="S127" i="65"/>
  <c r="S123" i="65"/>
  <c r="S119" i="65"/>
  <c r="S115" i="65"/>
  <c r="S111" i="65"/>
  <c r="S107" i="65"/>
  <c r="S142" i="65"/>
  <c r="S138" i="65"/>
  <c r="S134" i="65"/>
  <c r="S130" i="65"/>
  <c r="S126" i="65"/>
  <c r="S122" i="65"/>
  <c r="S118" i="65"/>
  <c r="S114" i="65"/>
  <c r="S110" i="65"/>
  <c r="S106" i="65"/>
  <c r="S102" i="65"/>
  <c r="S125" i="65"/>
  <c r="S137" i="65"/>
  <c r="S98" i="65"/>
  <c r="S94" i="65"/>
  <c r="S90" i="65"/>
  <c r="S86" i="65"/>
  <c r="S82" i="65"/>
  <c r="S78" i="65"/>
  <c r="S74" i="65"/>
  <c r="S133" i="65"/>
  <c r="S141" i="65"/>
  <c r="S117" i="65"/>
  <c r="F20" i="65"/>
  <c r="X30" i="65"/>
  <c r="Y30" i="65" s="1"/>
  <c r="J64" i="65"/>
  <c r="K64" i="65" s="1"/>
  <c r="L64" i="65" s="1"/>
  <c r="J68" i="65"/>
  <c r="K68" i="65" s="1"/>
  <c r="L68" i="65" s="1"/>
  <c r="J72" i="65"/>
  <c r="K72" i="65" s="1"/>
  <c r="L72" i="65" s="1"/>
  <c r="S93" i="65"/>
  <c r="S95" i="65"/>
  <c r="J100" i="65"/>
  <c r="K100" i="65" s="1"/>
  <c r="L100" i="65" s="1"/>
  <c r="S101" i="65"/>
  <c r="J108" i="65"/>
  <c r="K108" i="65" s="1"/>
  <c r="L108" i="65" s="1"/>
  <c r="U139" i="65"/>
  <c r="V139" i="65" s="1"/>
  <c r="U135" i="65"/>
  <c r="V135" i="65" s="1"/>
  <c r="U131" i="65"/>
  <c r="V131" i="65" s="1"/>
  <c r="U127" i="65"/>
  <c r="V127" i="65" s="1"/>
  <c r="U123" i="65"/>
  <c r="V123" i="65" s="1"/>
  <c r="U119" i="65"/>
  <c r="V119" i="65" s="1"/>
  <c r="U115" i="65"/>
  <c r="V115" i="65" s="1"/>
  <c r="U111" i="65"/>
  <c r="V111" i="65" s="1"/>
  <c r="U107" i="65"/>
  <c r="V107" i="65" s="1"/>
  <c r="U103" i="65"/>
  <c r="V103" i="65" s="1"/>
  <c r="U142" i="65"/>
  <c r="V142" i="65" s="1"/>
  <c r="U138" i="65"/>
  <c r="V138" i="65" s="1"/>
  <c r="U134" i="65"/>
  <c r="V134" i="65" s="1"/>
  <c r="U130" i="65"/>
  <c r="V130" i="65" s="1"/>
  <c r="U126" i="65"/>
  <c r="V126" i="65" s="1"/>
  <c r="U122" i="65"/>
  <c r="V122" i="65" s="1"/>
  <c r="U118" i="65"/>
  <c r="V118" i="65" s="1"/>
  <c r="U114" i="65"/>
  <c r="V114" i="65" s="1"/>
  <c r="U110" i="65"/>
  <c r="V110" i="65" s="1"/>
  <c r="U141" i="65"/>
  <c r="V141" i="65" s="1"/>
  <c r="U137" i="65"/>
  <c r="V137" i="65" s="1"/>
  <c r="U133" i="65"/>
  <c r="V133" i="65" s="1"/>
  <c r="U129" i="65"/>
  <c r="V129" i="65" s="1"/>
  <c r="U125" i="65"/>
  <c r="V125" i="65" s="1"/>
  <c r="U121" i="65"/>
  <c r="V121" i="65" s="1"/>
  <c r="U117" i="65"/>
  <c r="V117" i="65" s="1"/>
  <c r="U113" i="65"/>
  <c r="V113" i="65" s="1"/>
  <c r="U109" i="65"/>
  <c r="V109" i="65" s="1"/>
  <c r="U105" i="65"/>
  <c r="V105" i="65" s="1"/>
  <c r="U101" i="65"/>
  <c r="V101" i="65" s="1"/>
  <c r="U124" i="65"/>
  <c r="V124" i="65" s="1"/>
  <c r="U136" i="65"/>
  <c r="V136" i="65" s="1"/>
  <c r="U132" i="65"/>
  <c r="V132" i="65" s="1"/>
  <c r="U112" i="65"/>
  <c r="V112" i="65" s="1"/>
  <c r="U97" i="65"/>
  <c r="V97" i="65" s="1"/>
  <c r="U93" i="65"/>
  <c r="V93" i="65" s="1"/>
  <c r="U89" i="65"/>
  <c r="V89" i="65" s="1"/>
  <c r="U85" i="65"/>
  <c r="V85" i="65" s="1"/>
  <c r="U81" i="65"/>
  <c r="V81" i="65" s="1"/>
  <c r="U77" i="65"/>
  <c r="V77" i="65" s="1"/>
  <c r="U140" i="65"/>
  <c r="V140" i="65" s="1"/>
  <c r="U128" i="65"/>
  <c r="V128" i="65" s="1"/>
  <c r="U116" i="65"/>
  <c r="V116" i="65" s="1"/>
  <c r="U63" i="65"/>
  <c r="V63" i="65" s="1"/>
  <c r="S64" i="65"/>
  <c r="U67" i="65"/>
  <c r="V67" i="65" s="1"/>
  <c r="S68" i="65"/>
  <c r="U71" i="65"/>
  <c r="V71" i="65" s="1"/>
  <c r="S72" i="65"/>
  <c r="J86" i="65"/>
  <c r="K86" i="65" s="1"/>
  <c r="L86" i="65" s="1"/>
  <c r="U91" i="65"/>
  <c r="V91" i="65" s="1"/>
  <c r="S97" i="65"/>
  <c r="S99" i="65"/>
  <c r="J104" i="65"/>
  <c r="K104" i="65" s="1"/>
  <c r="L104" i="65" s="1"/>
  <c r="J65" i="65"/>
  <c r="K65" i="65" s="1"/>
  <c r="L65" i="65" s="1"/>
  <c r="J69" i="65"/>
  <c r="K69" i="65" s="1"/>
  <c r="L69" i="65" s="1"/>
  <c r="J73" i="65"/>
  <c r="K73" i="65" s="1"/>
  <c r="L73" i="65" s="1"/>
  <c r="S85" i="65"/>
  <c r="U95" i="65"/>
  <c r="V95" i="65" s="1"/>
  <c r="J105" i="65"/>
  <c r="K105" i="65" s="1"/>
  <c r="L105" i="65" s="1"/>
  <c r="U106" i="65"/>
  <c r="V106" i="65" s="1"/>
  <c r="S65" i="65"/>
  <c r="S69" i="65"/>
  <c r="U72" i="65"/>
  <c r="V72" i="65" s="1"/>
  <c r="S73" i="65"/>
  <c r="J75" i="65"/>
  <c r="K75" i="65" s="1"/>
  <c r="L75" i="65" s="1"/>
  <c r="S75" i="65"/>
  <c r="J79" i="65"/>
  <c r="K79" i="65" s="1"/>
  <c r="L79" i="65" s="1"/>
  <c r="S79" i="65"/>
  <c r="J83" i="65"/>
  <c r="K83" i="65" s="1"/>
  <c r="L83" i="65" s="1"/>
  <c r="S83" i="65"/>
  <c r="J85" i="65"/>
  <c r="K85" i="65" s="1"/>
  <c r="L85" i="65" s="1"/>
  <c r="S88" i="65"/>
  <c r="U90" i="65"/>
  <c r="V90" i="65" s="1"/>
  <c r="U99" i="65"/>
  <c r="V99" i="65" s="1"/>
  <c r="J112" i="65"/>
  <c r="K112" i="65" s="1"/>
  <c r="L112" i="65" s="1"/>
  <c r="J66" i="65"/>
  <c r="K66" i="65" s="1"/>
  <c r="L66" i="65" s="1"/>
  <c r="J70" i="65"/>
  <c r="K70" i="65" s="1"/>
  <c r="L70" i="65" s="1"/>
  <c r="J74" i="65"/>
  <c r="K74" i="65" s="1"/>
  <c r="L74" i="65" s="1"/>
  <c r="J76" i="65"/>
  <c r="K76" i="65" s="1"/>
  <c r="L76" i="65" s="1"/>
  <c r="S76" i="65"/>
  <c r="J77" i="65"/>
  <c r="K77" i="65" s="1"/>
  <c r="L77" i="65" s="1"/>
  <c r="S77" i="65"/>
  <c r="J78" i="65"/>
  <c r="K78" i="65" s="1"/>
  <c r="L78" i="65" s="1"/>
  <c r="J80" i="65"/>
  <c r="K80" i="65" s="1"/>
  <c r="L80" i="65" s="1"/>
  <c r="S80" i="65"/>
  <c r="J81" i="65"/>
  <c r="K81" i="65" s="1"/>
  <c r="L81" i="65" s="1"/>
  <c r="S81" i="65"/>
  <c r="J82" i="65"/>
  <c r="K82" i="65" s="1"/>
  <c r="L82" i="65" s="1"/>
  <c r="J84" i="65"/>
  <c r="K84" i="65" s="1"/>
  <c r="L84" i="65" s="1"/>
  <c r="S84" i="65"/>
  <c r="U88" i="65"/>
  <c r="V88" i="65" s="1"/>
  <c r="S92" i="65"/>
  <c r="U94" i="65"/>
  <c r="V94" i="65" s="1"/>
  <c r="J101" i="65"/>
  <c r="K101" i="65" s="1"/>
  <c r="L101" i="65" s="1"/>
  <c r="U102" i="65"/>
  <c r="V102" i="65" s="1"/>
  <c r="S103" i="65"/>
  <c r="J106" i="65"/>
  <c r="K106" i="65" s="1"/>
  <c r="L106" i="65" s="1"/>
  <c r="S121" i="65"/>
  <c r="J140" i="65"/>
  <c r="K140" i="65" s="1"/>
  <c r="L140" i="65" s="1"/>
  <c r="J136" i="65"/>
  <c r="K136" i="65" s="1"/>
  <c r="L136" i="65" s="1"/>
  <c r="J132" i="65"/>
  <c r="K132" i="65" s="1"/>
  <c r="L132" i="65" s="1"/>
  <c r="J128" i="65"/>
  <c r="K128" i="65" s="1"/>
  <c r="L128" i="65" s="1"/>
  <c r="J124" i="65"/>
  <c r="K124" i="65" s="1"/>
  <c r="L124" i="65" s="1"/>
  <c r="J139" i="65"/>
  <c r="K139" i="65" s="1"/>
  <c r="L139" i="65" s="1"/>
  <c r="J142" i="65"/>
  <c r="K142" i="65" s="1"/>
  <c r="L142" i="65" s="1"/>
  <c r="J138" i="65"/>
  <c r="K138" i="65" s="1"/>
  <c r="L138" i="65" s="1"/>
  <c r="J134" i="65"/>
  <c r="K134" i="65" s="1"/>
  <c r="L134" i="65" s="1"/>
  <c r="J130" i="65"/>
  <c r="K130" i="65" s="1"/>
  <c r="L130" i="65" s="1"/>
  <c r="J126" i="65"/>
  <c r="K126" i="65" s="1"/>
  <c r="L126" i="65" s="1"/>
  <c r="J122" i="65"/>
  <c r="K122" i="65" s="1"/>
  <c r="L122" i="65" s="1"/>
  <c r="J118" i="65"/>
  <c r="K118" i="65" s="1"/>
  <c r="L118" i="65" s="1"/>
  <c r="J141" i="65"/>
  <c r="K141" i="65" s="1"/>
  <c r="L141" i="65" s="1"/>
  <c r="J137" i="65"/>
  <c r="K137" i="65" s="1"/>
  <c r="L137" i="65" s="1"/>
  <c r="J133" i="65"/>
  <c r="K133" i="65" s="1"/>
  <c r="L133" i="65" s="1"/>
  <c r="J129" i="65"/>
  <c r="K129" i="65" s="1"/>
  <c r="L129" i="65" s="1"/>
  <c r="J125" i="65"/>
  <c r="K125" i="65" s="1"/>
  <c r="L125" i="65" s="1"/>
  <c r="J121" i="65"/>
  <c r="K121" i="65" s="1"/>
  <c r="L121" i="65" s="1"/>
  <c r="J117" i="65"/>
  <c r="K117" i="65" s="1"/>
  <c r="L117" i="65" s="1"/>
  <c r="J113" i="65"/>
  <c r="K113" i="65" s="1"/>
  <c r="L113" i="65" s="1"/>
  <c r="J135" i="65"/>
  <c r="K135" i="65" s="1"/>
  <c r="L135" i="65" s="1"/>
  <c r="J123" i="65"/>
  <c r="K123" i="65" s="1"/>
  <c r="L123" i="65" s="1"/>
  <c r="J120" i="65"/>
  <c r="K120" i="65" s="1"/>
  <c r="L120" i="65" s="1"/>
  <c r="J119" i="65"/>
  <c r="K119" i="65" s="1"/>
  <c r="L119" i="65" s="1"/>
  <c r="J99" i="65"/>
  <c r="K99" i="65" s="1"/>
  <c r="L99" i="65" s="1"/>
  <c r="J95" i="65"/>
  <c r="K95" i="65" s="1"/>
  <c r="L95" i="65" s="1"/>
  <c r="J91" i="65"/>
  <c r="K91" i="65" s="1"/>
  <c r="L91" i="65" s="1"/>
  <c r="J87" i="65"/>
  <c r="K87" i="65" s="1"/>
  <c r="L87" i="65" s="1"/>
  <c r="J116" i="65"/>
  <c r="K116" i="65" s="1"/>
  <c r="L116" i="65" s="1"/>
  <c r="J115" i="65"/>
  <c r="K115" i="65" s="1"/>
  <c r="L115" i="65" s="1"/>
  <c r="J114" i="65"/>
  <c r="K114" i="65" s="1"/>
  <c r="L114" i="65" s="1"/>
  <c r="J111" i="65"/>
  <c r="K111" i="65" s="1"/>
  <c r="L111" i="65" s="1"/>
  <c r="J109" i="65"/>
  <c r="K109" i="65" s="1"/>
  <c r="L109" i="65" s="1"/>
  <c r="J107" i="65"/>
  <c r="K107" i="65" s="1"/>
  <c r="L107" i="65" s="1"/>
  <c r="J103" i="65"/>
  <c r="K103" i="65" s="1"/>
  <c r="L103" i="65" s="1"/>
  <c r="J131" i="65"/>
  <c r="K131" i="65" s="1"/>
  <c r="L131" i="65" s="1"/>
  <c r="J110" i="65"/>
  <c r="K110" i="65" s="1"/>
  <c r="L110" i="65" s="1"/>
  <c r="J97" i="65"/>
  <c r="K97" i="65" s="1"/>
  <c r="L97" i="65" s="1"/>
  <c r="J93" i="65"/>
  <c r="K93" i="65" s="1"/>
  <c r="L93" i="65" s="1"/>
  <c r="J89" i="65"/>
  <c r="K89" i="65" s="1"/>
  <c r="L89" i="65" s="1"/>
  <c r="U65" i="65"/>
  <c r="V65" i="65" s="1"/>
  <c r="S66" i="65"/>
  <c r="U69" i="65"/>
  <c r="V69" i="65" s="1"/>
  <c r="S70" i="65"/>
  <c r="U73" i="65"/>
  <c r="V73" i="65" s="1"/>
  <c r="U74" i="65"/>
  <c r="V74" i="65" s="1"/>
  <c r="U75" i="65"/>
  <c r="V75" i="65" s="1"/>
  <c r="U78" i="65"/>
  <c r="V78" i="65" s="1"/>
  <c r="U79" i="65"/>
  <c r="V79" i="65" s="1"/>
  <c r="U82" i="65"/>
  <c r="V82" i="65" s="1"/>
  <c r="U83" i="65"/>
  <c r="V83" i="65" s="1"/>
  <c r="S87" i="65"/>
  <c r="J88" i="65"/>
  <c r="K88" i="65" s="1"/>
  <c r="L88" i="65" s="1"/>
  <c r="J90" i="65"/>
  <c r="K90" i="65" s="1"/>
  <c r="L90" i="65" s="1"/>
  <c r="U92" i="65"/>
  <c r="V92" i="65" s="1"/>
  <c r="S96" i="65"/>
  <c r="U98" i="65"/>
  <c r="V98" i="65" s="1"/>
  <c r="U108" i="65"/>
  <c r="V108" i="65" s="1"/>
  <c r="U68" i="63"/>
  <c r="V68" i="63" s="1"/>
  <c r="U82" i="63"/>
  <c r="V82" i="63" s="1"/>
  <c r="U86" i="63"/>
  <c r="V86" i="63" s="1"/>
  <c r="U91" i="63"/>
  <c r="V91" i="63" s="1"/>
  <c r="I11" i="63"/>
  <c r="S96" i="63"/>
  <c r="W96" i="63" s="1"/>
  <c r="J94" i="63"/>
  <c r="K94" i="63" s="1"/>
  <c r="L94" i="63" s="1"/>
  <c r="S65" i="63"/>
  <c r="S73" i="63"/>
  <c r="E26" i="63"/>
  <c r="M64" i="63" s="1"/>
  <c r="O64" i="63" s="1"/>
  <c r="P64" i="63" s="1"/>
  <c r="I24" i="63"/>
  <c r="J90" i="63"/>
  <c r="K90" i="63" s="1"/>
  <c r="L90" i="63" s="1"/>
  <c r="E20" i="63"/>
  <c r="W10" i="63" s="1"/>
  <c r="Y21" i="63"/>
  <c r="J141" i="63"/>
  <c r="K141" i="63" s="1"/>
  <c r="L141" i="63" s="1"/>
  <c r="T69" i="63"/>
  <c r="T96" i="63"/>
  <c r="J72" i="63"/>
  <c r="K72" i="63" s="1"/>
  <c r="L72" i="63" s="1"/>
  <c r="J68" i="63"/>
  <c r="K68" i="63" s="1"/>
  <c r="L68" i="63" s="1"/>
  <c r="J64" i="63"/>
  <c r="K64" i="63" s="1"/>
  <c r="L64" i="63" s="1"/>
  <c r="J67" i="63"/>
  <c r="K67" i="63" s="1"/>
  <c r="L67" i="63" s="1"/>
  <c r="J71" i="63"/>
  <c r="K71" i="63" s="1"/>
  <c r="L71" i="63" s="1"/>
  <c r="J63" i="63"/>
  <c r="K63" i="63" s="1"/>
  <c r="L63" i="63" s="1"/>
  <c r="J65" i="63"/>
  <c r="K65" i="63" s="1"/>
  <c r="L65" i="63" s="1"/>
  <c r="J85" i="63"/>
  <c r="K85" i="63" s="1"/>
  <c r="L85" i="63" s="1"/>
  <c r="J118" i="63"/>
  <c r="K118" i="63" s="1"/>
  <c r="L118" i="63" s="1"/>
  <c r="Y19" i="63"/>
  <c r="J82" i="63"/>
  <c r="K82" i="63" s="1"/>
  <c r="L82" i="63" s="1"/>
  <c r="E11" i="63"/>
  <c r="E18" i="63"/>
  <c r="J18" i="63" s="1"/>
  <c r="X29" i="63"/>
  <c r="Y29" i="63" s="1"/>
  <c r="X30" i="63"/>
  <c r="Y30" i="63" s="1"/>
  <c r="T73" i="63"/>
  <c r="J110" i="63"/>
  <c r="K110" i="63" s="1"/>
  <c r="L110" i="63" s="1"/>
  <c r="E16" i="63"/>
  <c r="J69" i="63"/>
  <c r="K69" i="63" s="1"/>
  <c r="L69" i="63" s="1"/>
  <c r="W65" i="63"/>
  <c r="T65" i="63"/>
  <c r="J102" i="63"/>
  <c r="K102" i="63" s="1"/>
  <c r="L102" i="63" s="1"/>
  <c r="S140" i="63"/>
  <c r="S136" i="63"/>
  <c r="S132" i="63"/>
  <c r="S128" i="63"/>
  <c r="S124" i="63"/>
  <c r="S120" i="63"/>
  <c r="S116" i="63"/>
  <c r="S112" i="63"/>
  <c r="S108" i="63"/>
  <c r="S104" i="63"/>
  <c r="S139" i="63"/>
  <c r="S135" i="63"/>
  <c r="S131" i="63"/>
  <c r="S127" i="63"/>
  <c r="S123" i="63"/>
  <c r="S119" i="63"/>
  <c r="S115" i="63"/>
  <c r="S111" i="63"/>
  <c r="S107" i="63"/>
  <c r="S103" i="63"/>
  <c r="S142" i="63"/>
  <c r="S138" i="63"/>
  <c r="S134" i="63"/>
  <c r="S130" i="63"/>
  <c r="S126" i="63"/>
  <c r="S122" i="63"/>
  <c r="S118" i="63"/>
  <c r="S114" i="63"/>
  <c r="S110" i="63"/>
  <c r="S106" i="63"/>
  <c r="S102" i="63"/>
  <c r="S141" i="63"/>
  <c r="S137" i="63"/>
  <c r="S133" i="63"/>
  <c r="S129" i="63"/>
  <c r="S125" i="63"/>
  <c r="S121" i="63"/>
  <c r="S117" i="63"/>
  <c r="S113" i="63"/>
  <c r="S109" i="63"/>
  <c r="S105" i="63"/>
  <c r="S101" i="63"/>
  <c r="S99" i="63"/>
  <c r="S98" i="63"/>
  <c r="S94" i="63"/>
  <c r="S90" i="63"/>
  <c r="S86" i="63"/>
  <c r="S82" i="63"/>
  <c r="S78" i="63"/>
  <c r="S74" i="63"/>
  <c r="S97" i="63"/>
  <c r="S93" i="63"/>
  <c r="S89" i="63"/>
  <c r="S85" i="63"/>
  <c r="S81" i="63"/>
  <c r="F20" i="63"/>
  <c r="X8" i="63"/>
  <c r="X39" i="63" s="1"/>
  <c r="X59" i="63" s="1"/>
  <c r="U139" i="63"/>
  <c r="V139" i="63" s="1"/>
  <c r="U135" i="63"/>
  <c r="V135" i="63" s="1"/>
  <c r="U131" i="63"/>
  <c r="V131" i="63" s="1"/>
  <c r="U127" i="63"/>
  <c r="V127" i="63" s="1"/>
  <c r="U123" i="63"/>
  <c r="V123" i="63" s="1"/>
  <c r="U119" i="63"/>
  <c r="V119" i="63" s="1"/>
  <c r="U115" i="63"/>
  <c r="V115" i="63" s="1"/>
  <c r="U111" i="63"/>
  <c r="V111" i="63" s="1"/>
  <c r="U107" i="63"/>
  <c r="V107" i="63" s="1"/>
  <c r="U103" i="63"/>
  <c r="V103" i="63" s="1"/>
  <c r="U142" i="63"/>
  <c r="V142" i="63" s="1"/>
  <c r="U138" i="63"/>
  <c r="V138" i="63" s="1"/>
  <c r="U134" i="63"/>
  <c r="V134" i="63" s="1"/>
  <c r="U130" i="63"/>
  <c r="V130" i="63" s="1"/>
  <c r="U126" i="63"/>
  <c r="V126" i="63" s="1"/>
  <c r="U122" i="63"/>
  <c r="V122" i="63" s="1"/>
  <c r="U118" i="63"/>
  <c r="V118" i="63" s="1"/>
  <c r="U114" i="63"/>
  <c r="V114" i="63" s="1"/>
  <c r="U110" i="63"/>
  <c r="V110" i="63" s="1"/>
  <c r="U106" i="63"/>
  <c r="V106" i="63" s="1"/>
  <c r="U102" i="63"/>
  <c r="V102" i="63" s="1"/>
  <c r="U141" i="63"/>
  <c r="V141" i="63" s="1"/>
  <c r="U137" i="63"/>
  <c r="V137" i="63" s="1"/>
  <c r="U133" i="63"/>
  <c r="V133" i="63" s="1"/>
  <c r="U129" i="63"/>
  <c r="V129" i="63" s="1"/>
  <c r="U125" i="63"/>
  <c r="V125" i="63" s="1"/>
  <c r="U121" i="63"/>
  <c r="V121" i="63" s="1"/>
  <c r="U117" i="63"/>
  <c r="V117" i="63" s="1"/>
  <c r="U113" i="63"/>
  <c r="V113" i="63" s="1"/>
  <c r="U109" i="63"/>
  <c r="V109" i="63" s="1"/>
  <c r="U105" i="63"/>
  <c r="V105" i="63" s="1"/>
  <c r="U101" i="63"/>
  <c r="V101" i="63" s="1"/>
  <c r="U140" i="63"/>
  <c r="V140" i="63" s="1"/>
  <c r="U136" i="63"/>
  <c r="V136" i="63" s="1"/>
  <c r="U132" i="63"/>
  <c r="V132" i="63" s="1"/>
  <c r="U128" i="63"/>
  <c r="V128" i="63" s="1"/>
  <c r="U124" i="63"/>
  <c r="V124" i="63" s="1"/>
  <c r="U120" i="63"/>
  <c r="V120" i="63" s="1"/>
  <c r="U116" i="63"/>
  <c r="V116" i="63" s="1"/>
  <c r="U112" i="63"/>
  <c r="V112" i="63" s="1"/>
  <c r="U108" i="63"/>
  <c r="V108" i="63" s="1"/>
  <c r="U104" i="63"/>
  <c r="V104" i="63" s="1"/>
  <c r="U100" i="63"/>
  <c r="V100" i="63" s="1"/>
  <c r="U97" i="63"/>
  <c r="V97" i="63" s="1"/>
  <c r="U93" i="63"/>
  <c r="V93" i="63" s="1"/>
  <c r="U89" i="63"/>
  <c r="V89" i="63" s="1"/>
  <c r="U85" i="63"/>
  <c r="V85" i="63" s="1"/>
  <c r="U81" i="63"/>
  <c r="V81" i="63" s="1"/>
  <c r="U77" i="63"/>
  <c r="V77" i="63" s="1"/>
  <c r="U96" i="63"/>
  <c r="V96" i="63" s="1"/>
  <c r="U92" i="63"/>
  <c r="V92" i="63" s="1"/>
  <c r="U88" i="63"/>
  <c r="V88" i="63" s="1"/>
  <c r="U84" i="63"/>
  <c r="V84" i="63" s="1"/>
  <c r="U63" i="63"/>
  <c r="V63" i="63" s="1"/>
  <c r="S64" i="63"/>
  <c r="U67" i="63"/>
  <c r="V67" i="63" s="1"/>
  <c r="S68" i="63"/>
  <c r="U71" i="63"/>
  <c r="V71" i="63" s="1"/>
  <c r="S72" i="63"/>
  <c r="U83" i="63"/>
  <c r="V83" i="63" s="1"/>
  <c r="U87" i="63"/>
  <c r="V87" i="63" s="1"/>
  <c r="J89" i="63"/>
  <c r="K89" i="63" s="1"/>
  <c r="L89" i="63" s="1"/>
  <c r="S91" i="63"/>
  <c r="J93" i="63"/>
  <c r="K93" i="63" s="1"/>
  <c r="L93" i="63" s="1"/>
  <c r="U98" i="63"/>
  <c r="V98" i="63" s="1"/>
  <c r="J66" i="63"/>
  <c r="K66" i="63" s="1"/>
  <c r="L66" i="63" s="1"/>
  <c r="J70" i="63"/>
  <c r="K70" i="63" s="1"/>
  <c r="L70" i="63" s="1"/>
  <c r="J74" i="63"/>
  <c r="K74" i="63" s="1"/>
  <c r="L74" i="63" s="1"/>
  <c r="J75" i="63"/>
  <c r="K75" i="63" s="1"/>
  <c r="L75" i="63" s="1"/>
  <c r="S75" i="63"/>
  <c r="J79" i="63"/>
  <c r="K79" i="63" s="1"/>
  <c r="L79" i="63" s="1"/>
  <c r="S79" i="63"/>
  <c r="S84" i="63"/>
  <c r="S88" i="63"/>
  <c r="S92" i="63"/>
  <c r="J133" i="63"/>
  <c r="K133" i="63" s="1"/>
  <c r="L133" i="63" s="1"/>
  <c r="J140" i="63"/>
  <c r="K140" i="63" s="1"/>
  <c r="L140" i="63" s="1"/>
  <c r="J136" i="63"/>
  <c r="K136" i="63" s="1"/>
  <c r="L136" i="63" s="1"/>
  <c r="J132" i="63"/>
  <c r="K132" i="63" s="1"/>
  <c r="L132" i="63" s="1"/>
  <c r="J139" i="63"/>
  <c r="K139" i="63" s="1"/>
  <c r="L139" i="63" s="1"/>
  <c r="J135" i="63"/>
  <c r="K135" i="63" s="1"/>
  <c r="L135" i="63" s="1"/>
  <c r="J131" i="63"/>
  <c r="K131" i="63" s="1"/>
  <c r="L131" i="63" s="1"/>
  <c r="J127" i="63"/>
  <c r="K127" i="63" s="1"/>
  <c r="L127" i="63" s="1"/>
  <c r="J123" i="63"/>
  <c r="K123" i="63" s="1"/>
  <c r="L123" i="63" s="1"/>
  <c r="J142" i="63"/>
  <c r="K142" i="63" s="1"/>
  <c r="L142" i="63" s="1"/>
  <c r="J138" i="63"/>
  <c r="K138" i="63" s="1"/>
  <c r="L138" i="63" s="1"/>
  <c r="J134" i="63"/>
  <c r="K134" i="63" s="1"/>
  <c r="L134" i="63" s="1"/>
  <c r="J130" i="63"/>
  <c r="K130" i="63" s="1"/>
  <c r="L130" i="63" s="1"/>
  <c r="J117" i="63"/>
  <c r="K117" i="63" s="1"/>
  <c r="L117" i="63" s="1"/>
  <c r="J113" i="63"/>
  <c r="K113" i="63" s="1"/>
  <c r="L113" i="63" s="1"/>
  <c r="J109" i="63"/>
  <c r="K109" i="63" s="1"/>
  <c r="L109" i="63" s="1"/>
  <c r="J105" i="63"/>
  <c r="K105" i="63" s="1"/>
  <c r="L105" i="63" s="1"/>
  <c r="J101" i="63"/>
  <c r="K101" i="63" s="1"/>
  <c r="L101" i="63" s="1"/>
  <c r="J100" i="63"/>
  <c r="K100" i="63" s="1"/>
  <c r="L100" i="63" s="1"/>
  <c r="J96" i="63"/>
  <c r="K96" i="63" s="1"/>
  <c r="L96" i="63" s="1"/>
  <c r="J92" i="63"/>
  <c r="K92" i="63" s="1"/>
  <c r="L92" i="63" s="1"/>
  <c r="J129" i="63"/>
  <c r="K129" i="63" s="1"/>
  <c r="L129" i="63" s="1"/>
  <c r="J128" i="63"/>
  <c r="K128" i="63" s="1"/>
  <c r="L128" i="63" s="1"/>
  <c r="J126" i="63"/>
  <c r="K126" i="63" s="1"/>
  <c r="L126" i="63" s="1"/>
  <c r="J137" i="63"/>
  <c r="K137" i="63" s="1"/>
  <c r="L137" i="63" s="1"/>
  <c r="J125" i="63"/>
  <c r="K125" i="63" s="1"/>
  <c r="L125" i="63" s="1"/>
  <c r="J124" i="63"/>
  <c r="K124" i="63" s="1"/>
  <c r="L124" i="63" s="1"/>
  <c r="J122" i="63"/>
  <c r="K122" i="63" s="1"/>
  <c r="L122" i="63" s="1"/>
  <c r="J116" i="63"/>
  <c r="K116" i="63" s="1"/>
  <c r="L116" i="63" s="1"/>
  <c r="J112" i="63"/>
  <c r="K112" i="63" s="1"/>
  <c r="L112" i="63" s="1"/>
  <c r="J108" i="63"/>
  <c r="K108" i="63" s="1"/>
  <c r="L108" i="63" s="1"/>
  <c r="J104" i="63"/>
  <c r="K104" i="63" s="1"/>
  <c r="L104" i="63" s="1"/>
  <c r="J99" i="63"/>
  <c r="K99" i="63" s="1"/>
  <c r="L99" i="63" s="1"/>
  <c r="J95" i="63"/>
  <c r="K95" i="63" s="1"/>
  <c r="L95" i="63" s="1"/>
  <c r="J91" i="63"/>
  <c r="K91" i="63" s="1"/>
  <c r="L91" i="63" s="1"/>
  <c r="J87" i="63"/>
  <c r="K87" i="63" s="1"/>
  <c r="L87" i="63" s="1"/>
  <c r="J121" i="63"/>
  <c r="K121" i="63" s="1"/>
  <c r="L121" i="63" s="1"/>
  <c r="J120" i="63"/>
  <c r="K120" i="63" s="1"/>
  <c r="L120" i="63" s="1"/>
  <c r="J119" i="63"/>
  <c r="K119" i="63" s="1"/>
  <c r="L119" i="63" s="1"/>
  <c r="J115" i="63"/>
  <c r="K115" i="63" s="1"/>
  <c r="L115" i="63" s="1"/>
  <c r="J111" i="63"/>
  <c r="K111" i="63" s="1"/>
  <c r="L111" i="63" s="1"/>
  <c r="J107" i="63"/>
  <c r="K107" i="63" s="1"/>
  <c r="L107" i="63" s="1"/>
  <c r="J103" i="63"/>
  <c r="K103" i="63" s="1"/>
  <c r="L103" i="63" s="1"/>
  <c r="J98" i="63"/>
  <c r="K98" i="63" s="1"/>
  <c r="L98" i="63" s="1"/>
  <c r="U65" i="63"/>
  <c r="V65" i="63" s="1"/>
  <c r="S66" i="63"/>
  <c r="U69" i="63"/>
  <c r="V69" i="63" s="1"/>
  <c r="S70" i="63"/>
  <c r="U73" i="63"/>
  <c r="V73" i="63" s="1"/>
  <c r="J76" i="63"/>
  <c r="K76" i="63" s="1"/>
  <c r="L76" i="63" s="1"/>
  <c r="S76" i="63"/>
  <c r="J77" i="63"/>
  <c r="K77" i="63" s="1"/>
  <c r="L77" i="63" s="1"/>
  <c r="S77" i="63"/>
  <c r="J78" i="63"/>
  <c r="K78" i="63" s="1"/>
  <c r="L78" i="63" s="1"/>
  <c r="J80" i="63"/>
  <c r="K80" i="63" s="1"/>
  <c r="L80" i="63" s="1"/>
  <c r="S80" i="63"/>
  <c r="J81" i="63"/>
  <c r="K81" i="63" s="1"/>
  <c r="L81" i="63" s="1"/>
  <c r="J86" i="63"/>
  <c r="K86" i="63" s="1"/>
  <c r="L86" i="63" s="1"/>
  <c r="M99" i="63"/>
  <c r="O99" i="63" s="1"/>
  <c r="P99" i="63" s="1"/>
  <c r="I21" i="63"/>
  <c r="J21" i="63" s="1"/>
  <c r="U74" i="63"/>
  <c r="V74" i="63" s="1"/>
  <c r="U75" i="63"/>
  <c r="V75" i="63" s="1"/>
  <c r="U78" i="63"/>
  <c r="V78" i="63" s="1"/>
  <c r="U79" i="63"/>
  <c r="V79" i="63" s="1"/>
  <c r="J84" i="63"/>
  <c r="K84" i="63" s="1"/>
  <c r="L84" i="63" s="1"/>
  <c r="J88" i="63"/>
  <c r="K88" i="63" s="1"/>
  <c r="L88" i="63" s="1"/>
  <c r="J97" i="63"/>
  <c r="K97" i="63" s="1"/>
  <c r="L97" i="63" s="1"/>
  <c r="J106" i="63"/>
  <c r="K106" i="63" s="1"/>
  <c r="L106" i="63" s="1"/>
  <c r="J114" i="63"/>
  <c r="K114" i="63" s="1"/>
  <c r="L114" i="63" s="1"/>
  <c r="S63" i="63"/>
  <c r="U66" i="63"/>
  <c r="V66" i="63" s="1"/>
  <c r="S67" i="63"/>
  <c r="U70" i="63"/>
  <c r="V70" i="63" s="1"/>
  <c r="S71" i="63"/>
  <c r="U76" i="63"/>
  <c r="V76" i="63" s="1"/>
  <c r="U80" i="63"/>
  <c r="V80" i="63" s="1"/>
  <c r="S83" i="63"/>
  <c r="S87" i="63"/>
  <c r="U90" i="63"/>
  <c r="V90" i="63" s="1"/>
  <c r="U94" i="63"/>
  <c r="V94" i="63" s="1"/>
  <c r="S95" i="63"/>
  <c r="M130" i="63"/>
  <c r="O130" i="63" s="1"/>
  <c r="P130" i="63" s="1"/>
  <c r="M114" i="63"/>
  <c r="O114" i="63" s="1"/>
  <c r="P114" i="63" s="1"/>
  <c r="M113" i="63"/>
  <c r="O113" i="63" s="1"/>
  <c r="P113" i="63" s="1"/>
  <c r="M128" i="63"/>
  <c r="O128" i="63" s="1"/>
  <c r="P128" i="63" s="1"/>
  <c r="M108" i="63"/>
  <c r="O108" i="63" s="1"/>
  <c r="P108" i="63" s="1"/>
  <c r="M96" i="63"/>
  <c r="O96" i="63" s="1"/>
  <c r="P96" i="63" s="1"/>
  <c r="M76" i="63"/>
  <c r="O76" i="63" s="1"/>
  <c r="P76" i="63" s="1"/>
  <c r="J83" i="63"/>
  <c r="K83" i="63" s="1"/>
  <c r="L83" i="63" s="1"/>
  <c r="U95" i="63"/>
  <c r="V95" i="63" s="1"/>
  <c r="U99" i="63"/>
  <c r="V99" i="63" s="1"/>
  <c r="S100" i="63"/>
  <c r="G73" i="34"/>
  <c r="N73" i="34" s="1"/>
  <c r="G74" i="34"/>
  <c r="N74" i="34" s="1"/>
  <c r="G75" i="34"/>
  <c r="G76" i="34"/>
  <c r="G77" i="34"/>
  <c r="N77" i="34" s="1"/>
  <c r="G78" i="34"/>
  <c r="N78" i="34" s="1"/>
  <c r="G79" i="34"/>
  <c r="N79" i="34" s="1"/>
  <c r="G80" i="34"/>
  <c r="N80" i="34" s="1"/>
  <c r="G81" i="34"/>
  <c r="N81" i="34" s="1"/>
  <c r="G82" i="34"/>
  <c r="N82" i="34" s="1"/>
  <c r="G83" i="34"/>
  <c r="G84" i="34"/>
  <c r="N84" i="34" s="1"/>
  <c r="G85" i="34"/>
  <c r="N85" i="34" s="1"/>
  <c r="G86" i="34"/>
  <c r="N86" i="34" s="1"/>
  <c r="G87" i="34"/>
  <c r="N87" i="34" s="1"/>
  <c r="G88" i="34"/>
  <c r="N88" i="34" s="1"/>
  <c r="G89" i="34"/>
  <c r="N89" i="34" s="1"/>
  <c r="G90" i="34"/>
  <c r="N90" i="34" s="1"/>
  <c r="G91" i="34"/>
  <c r="G92" i="34"/>
  <c r="N92" i="34" s="1"/>
  <c r="G93" i="34"/>
  <c r="N93" i="34" s="1"/>
  <c r="G94" i="34"/>
  <c r="N94" i="34" s="1"/>
  <c r="G95" i="34"/>
  <c r="N95" i="34" s="1"/>
  <c r="G96" i="34"/>
  <c r="N96" i="34" s="1"/>
  <c r="G97" i="34"/>
  <c r="N97" i="34" s="1"/>
  <c r="G98" i="34"/>
  <c r="N98" i="34" s="1"/>
  <c r="N75" i="34"/>
  <c r="N76" i="34"/>
  <c r="N83" i="34"/>
  <c r="N91" i="34"/>
  <c r="R73" i="34"/>
  <c r="B73" i="34" s="1"/>
  <c r="R74" i="34"/>
  <c r="B74" i="34" s="1"/>
  <c r="R75" i="34"/>
  <c r="B75" i="34" s="1"/>
  <c r="R76" i="34"/>
  <c r="B76" i="34" s="1"/>
  <c r="R77" i="34"/>
  <c r="B77" i="34" s="1"/>
  <c r="R78" i="34"/>
  <c r="B78" i="34" s="1"/>
  <c r="R79" i="34"/>
  <c r="B79" i="34" s="1"/>
  <c r="R80" i="34"/>
  <c r="B80" i="34" s="1"/>
  <c r="R81" i="34"/>
  <c r="B81" i="34" s="1"/>
  <c r="R82" i="34"/>
  <c r="B82" i="34" s="1"/>
  <c r="R83" i="34"/>
  <c r="B83" i="34" s="1"/>
  <c r="R84" i="34"/>
  <c r="B84" i="34" s="1"/>
  <c r="R85" i="34"/>
  <c r="B85" i="34" s="1"/>
  <c r="R86" i="34"/>
  <c r="B86" i="34" s="1"/>
  <c r="R87" i="34"/>
  <c r="B87" i="34" s="1"/>
  <c r="R88" i="34"/>
  <c r="B88" i="34" s="1"/>
  <c r="R89" i="34"/>
  <c r="B89" i="34" s="1"/>
  <c r="R90" i="34"/>
  <c r="B90" i="34" s="1"/>
  <c r="R91" i="34"/>
  <c r="B91" i="34" s="1"/>
  <c r="R92" i="34"/>
  <c r="B92" i="34" s="1"/>
  <c r="R93" i="34"/>
  <c r="B93" i="34" s="1"/>
  <c r="R94" i="34"/>
  <c r="B94" i="34" s="1"/>
  <c r="R95" i="34"/>
  <c r="B95" i="34" s="1"/>
  <c r="R96" i="34"/>
  <c r="B96" i="34" s="1"/>
  <c r="R97" i="34"/>
  <c r="B97" i="34" s="1"/>
  <c r="R98" i="34"/>
  <c r="B98" i="34" s="1"/>
  <c r="E27" i="76" l="1"/>
  <c r="I20" i="70"/>
  <c r="J20" i="70" s="1"/>
  <c r="W67" i="70"/>
  <c r="W75" i="70"/>
  <c r="X19" i="70"/>
  <c r="X20" i="70"/>
  <c r="X21" i="70"/>
  <c r="W74" i="70"/>
  <c r="T74" i="70"/>
  <c r="W104" i="70"/>
  <c r="T104" i="70"/>
  <c r="W90" i="70"/>
  <c r="T90" i="70"/>
  <c r="W76" i="70"/>
  <c r="T76" i="70"/>
  <c r="T73" i="70"/>
  <c r="W73" i="70"/>
  <c r="W72" i="70"/>
  <c r="T72" i="70"/>
  <c r="W109" i="70"/>
  <c r="W83" i="70"/>
  <c r="T83" i="70"/>
  <c r="W141" i="70"/>
  <c r="T141" i="70"/>
  <c r="W133" i="70"/>
  <c r="T133" i="70"/>
  <c r="W126" i="70"/>
  <c r="T126" i="70"/>
  <c r="T127" i="70"/>
  <c r="W127" i="70"/>
  <c r="W132" i="70"/>
  <c r="T132" i="70"/>
  <c r="W125" i="70"/>
  <c r="T125" i="70"/>
  <c r="T69" i="70"/>
  <c r="W69" i="70"/>
  <c r="T92" i="70"/>
  <c r="W92" i="70"/>
  <c r="T88" i="70"/>
  <c r="W88" i="70"/>
  <c r="W68" i="70"/>
  <c r="T68" i="70"/>
  <c r="W91" i="70"/>
  <c r="T91" i="70"/>
  <c r="W81" i="70"/>
  <c r="T81" i="70"/>
  <c r="W102" i="70"/>
  <c r="T102" i="70"/>
  <c r="W134" i="70"/>
  <c r="T134" i="70"/>
  <c r="T135" i="70"/>
  <c r="W135" i="70"/>
  <c r="W140" i="70"/>
  <c r="T140" i="70"/>
  <c r="W130" i="70"/>
  <c r="T130" i="70"/>
  <c r="W70" i="70"/>
  <c r="T70" i="70"/>
  <c r="W100" i="70"/>
  <c r="T100" i="70"/>
  <c r="W95" i="70"/>
  <c r="T95" i="70"/>
  <c r="W85" i="70"/>
  <c r="T85" i="70"/>
  <c r="W106" i="70"/>
  <c r="T106" i="70"/>
  <c r="W138" i="70"/>
  <c r="T138" i="70"/>
  <c r="T139" i="70"/>
  <c r="W139" i="70"/>
  <c r="W111" i="70"/>
  <c r="W105" i="70"/>
  <c r="W82" i="70"/>
  <c r="W87" i="70"/>
  <c r="T87" i="70"/>
  <c r="T98" i="70"/>
  <c r="W98" i="70"/>
  <c r="T65" i="70"/>
  <c r="W65" i="70"/>
  <c r="W103" i="70"/>
  <c r="T103" i="70"/>
  <c r="W64" i="70"/>
  <c r="T64" i="70"/>
  <c r="T60" i="70" s="1"/>
  <c r="W99" i="70"/>
  <c r="T99" i="70"/>
  <c r="W89" i="70"/>
  <c r="T89" i="70"/>
  <c r="W110" i="70"/>
  <c r="T110" i="70"/>
  <c r="W142" i="70"/>
  <c r="T142" i="70"/>
  <c r="W116" i="70"/>
  <c r="T116" i="70"/>
  <c r="W94" i="70"/>
  <c r="T94" i="70"/>
  <c r="W136" i="70"/>
  <c r="T136" i="70"/>
  <c r="W80" i="70"/>
  <c r="T80" i="70"/>
  <c r="W66" i="70"/>
  <c r="T66" i="70"/>
  <c r="T96" i="70"/>
  <c r="W96" i="70"/>
  <c r="F14" i="70"/>
  <c r="V60" i="70"/>
  <c r="W86" i="70"/>
  <c r="T86" i="70"/>
  <c r="M139" i="70"/>
  <c r="O139" i="70" s="1"/>
  <c r="P139" i="70" s="1"/>
  <c r="M135" i="70"/>
  <c r="O135" i="70" s="1"/>
  <c r="P135" i="70" s="1"/>
  <c r="M131" i="70"/>
  <c r="O131" i="70" s="1"/>
  <c r="P131" i="70" s="1"/>
  <c r="M127" i="70"/>
  <c r="O127" i="70" s="1"/>
  <c r="P127" i="70" s="1"/>
  <c r="M123" i="70"/>
  <c r="O123" i="70" s="1"/>
  <c r="P123" i="70" s="1"/>
  <c r="M119" i="70"/>
  <c r="O119" i="70" s="1"/>
  <c r="P119" i="70" s="1"/>
  <c r="M115" i="70"/>
  <c r="O115" i="70" s="1"/>
  <c r="P115" i="70" s="1"/>
  <c r="M142" i="70"/>
  <c r="O142" i="70" s="1"/>
  <c r="P142" i="70" s="1"/>
  <c r="M138" i="70"/>
  <c r="O138" i="70" s="1"/>
  <c r="P138" i="70" s="1"/>
  <c r="M134" i="70"/>
  <c r="O134" i="70" s="1"/>
  <c r="P134" i="70" s="1"/>
  <c r="M130" i="70"/>
  <c r="O130" i="70" s="1"/>
  <c r="P130" i="70" s="1"/>
  <c r="M126" i="70"/>
  <c r="O126" i="70" s="1"/>
  <c r="P126" i="70" s="1"/>
  <c r="M122" i="70"/>
  <c r="O122" i="70" s="1"/>
  <c r="P122" i="70" s="1"/>
  <c r="M118" i="70"/>
  <c r="O118" i="70" s="1"/>
  <c r="P118" i="70" s="1"/>
  <c r="M114" i="70"/>
  <c r="O114" i="70" s="1"/>
  <c r="P114" i="70" s="1"/>
  <c r="M141" i="70"/>
  <c r="O141" i="70" s="1"/>
  <c r="P141" i="70" s="1"/>
  <c r="M137" i="70"/>
  <c r="O137" i="70" s="1"/>
  <c r="P137" i="70" s="1"/>
  <c r="M133" i="70"/>
  <c r="O133" i="70" s="1"/>
  <c r="P133" i="70" s="1"/>
  <c r="M129" i="70"/>
  <c r="O129" i="70" s="1"/>
  <c r="P129" i="70" s="1"/>
  <c r="M125" i="70"/>
  <c r="O125" i="70" s="1"/>
  <c r="P125" i="70" s="1"/>
  <c r="M121" i="70"/>
  <c r="O121" i="70" s="1"/>
  <c r="P121" i="70" s="1"/>
  <c r="M117" i="70"/>
  <c r="O117" i="70" s="1"/>
  <c r="P117" i="70" s="1"/>
  <c r="M113" i="70"/>
  <c r="O113" i="70" s="1"/>
  <c r="P113" i="70" s="1"/>
  <c r="M109" i="70"/>
  <c r="O109" i="70" s="1"/>
  <c r="P109" i="70" s="1"/>
  <c r="M105" i="70"/>
  <c r="O105" i="70" s="1"/>
  <c r="P105" i="70" s="1"/>
  <c r="M101" i="70"/>
  <c r="O101" i="70" s="1"/>
  <c r="P101" i="70" s="1"/>
  <c r="M132" i="70"/>
  <c r="O132" i="70" s="1"/>
  <c r="P132" i="70" s="1"/>
  <c r="M112" i="70"/>
  <c r="O112" i="70" s="1"/>
  <c r="P112" i="70" s="1"/>
  <c r="M111" i="70"/>
  <c r="O111" i="70" s="1"/>
  <c r="P111" i="70" s="1"/>
  <c r="M110" i="70"/>
  <c r="O110" i="70" s="1"/>
  <c r="P110" i="70" s="1"/>
  <c r="M107" i="70"/>
  <c r="O107" i="70" s="1"/>
  <c r="P107" i="70" s="1"/>
  <c r="M106" i="70"/>
  <c r="O106" i="70" s="1"/>
  <c r="P106" i="70" s="1"/>
  <c r="M103" i="70"/>
  <c r="O103" i="70" s="1"/>
  <c r="P103" i="70" s="1"/>
  <c r="M102" i="70"/>
  <c r="O102" i="70" s="1"/>
  <c r="P102" i="70" s="1"/>
  <c r="M100" i="70"/>
  <c r="O100" i="70" s="1"/>
  <c r="P100" i="70" s="1"/>
  <c r="M96" i="70"/>
  <c r="O96" i="70" s="1"/>
  <c r="P96" i="70" s="1"/>
  <c r="M92" i="70"/>
  <c r="O92" i="70" s="1"/>
  <c r="P92" i="70" s="1"/>
  <c r="M88" i="70"/>
  <c r="O88" i="70" s="1"/>
  <c r="P88" i="70" s="1"/>
  <c r="M84" i="70"/>
  <c r="O84" i="70" s="1"/>
  <c r="P84" i="70" s="1"/>
  <c r="M80" i="70"/>
  <c r="O80" i="70" s="1"/>
  <c r="P80" i="70" s="1"/>
  <c r="M76" i="70"/>
  <c r="O76" i="70" s="1"/>
  <c r="P76" i="70" s="1"/>
  <c r="M140" i="70"/>
  <c r="O140" i="70" s="1"/>
  <c r="P140" i="70" s="1"/>
  <c r="M128" i="70"/>
  <c r="O128" i="70" s="1"/>
  <c r="P128" i="70" s="1"/>
  <c r="M120" i="70"/>
  <c r="O120" i="70" s="1"/>
  <c r="P120" i="70" s="1"/>
  <c r="M136" i="70"/>
  <c r="O136" i="70" s="1"/>
  <c r="P136" i="70" s="1"/>
  <c r="M98" i="70"/>
  <c r="O98" i="70" s="1"/>
  <c r="P98" i="70" s="1"/>
  <c r="M94" i="70"/>
  <c r="O94" i="70" s="1"/>
  <c r="P94" i="70" s="1"/>
  <c r="M90" i="70"/>
  <c r="O90" i="70" s="1"/>
  <c r="P90" i="70" s="1"/>
  <c r="M86" i="70"/>
  <c r="O86" i="70" s="1"/>
  <c r="P86" i="70" s="1"/>
  <c r="M82" i="70"/>
  <c r="O82" i="70" s="1"/>
  <c r="P82" i="70" s="1"/>
  <c r="M78" i="70"/>
  <c r="O78" i="70" s="1"/>
  <c r="P78" i="70" s="1"/>
  <c r="M73" i="70"/>
  <c r="O73" i="70" s="1"/>
  <c r="P73" i="70" s="1"/>
  <c r="M69" i="70"/>
  <c r="O69" i="70" s="1"/>
  <c r="P69" i="70" s="1"/>
  <c r="M65" i="70"/>
  <c r="O65" i="70" s="1"/>
  <c r="P65" i="70" s="1"/>
  <c r="M124" i="70"/>
  <c r="O124" i="70" s="1"/>
  <c r="P124" i="70" s="1"/>
  <c r="M66" i="70"/>
  <c r="O66" i="70" s="1"/>
  <c r="P66" i="70" s="1"/>
  <c r="M99" i="70"/>
  <c r="O99" i="70" s="1"/>
  <c r="P99" i="70" s="1"/>
  <c r="M77" i="70"/>
  <c r="O77" i="70" s="1"/>
  <c r="P77" i="70" s="1"/>
  <c r="M97" i="70"/>
  <c r="O97" i="70" s="1"/>
  <c r="P97" i="70" s="1"/>
  <c r="M95" i="70"/>
  <c r="O95" i="70" s="1"/>
  <c r="P95" i="70" s="1"/>
  <c r="M79" i="70"/>
  <c r="O79" i="70" s="1"/>
  <c r="P79" i="70" s="1"/>
  <c r="M72" i="70"/>
  <c r="O72" i="70" s="1"/>
  <c r="P72" i="70" s="1"/>
  <c r="M68" i="70"/>
  <c r="O68" i="70" s="1"/>
  <c r="P68" i="70" s="1"/>
  <c r="M64" i="70"/>
  <c r="O64" i="70" s="1"/>
  <c r="P64" i="70" s="1"/>
  <c r="M93" i="70"/>
  <c r="O93" i="70" s="1"/>
  <c r="P93" i="70" s="1"/>
  <c r="M91" i="70"/>
  <c r="O91" i="70" s="1"/>
  <c r="P91" i="70" s="1"/>
  <c r="M108" i="70"/>
  <c r="O108" i="70" s="1"/>
  <c r="P108" i="70" s="1"/>
  <c r="M89" i="70"/>
  <c r="O89" i="70" s="1"/>
  <c r="P89" i="70" s="1"/>
  <c r="M87" i="70"/>
  <c r="O87" i="70" s="1"/>
  <c r="P87" i="70" s="1"/>
  <c r="M75" i="70"/>
  <c r="O75" i="70" s="1"/>
  <c r="P75" i="70" s="1"/>
  <c r="M71" i="70"/>
  <c r="O71" i="70" s="1"/>
  <c r="P71" i="70" s="1"/>
  <c r="M67" i="70"/>
  <c r="O67" i="70" s="1"/>
  <c r="P67" i="70" s="1"/>
  <c r="M63" i="70"/>
  <c r="O63" i="70" s="1"/>
  <c r="P63" i="70" s="1"/>
  <c r="M116" i="70"/>
  <c r="O116" i="70" s="1"/>
  <c r="P116" i="70" s="1"/>
  <c r="M104" i="70"/>
  <c r="O104" i="70" s="1"/>
  <c r="P104" i="70" s="1"/>
  <c r="M85" i="70"/>
  <c r="O85" i="70" s="1"/>
  <c r="P85" i="70" s="1"/>
  <c r="M83" i="70"/>
  <c r="O83" i="70" s="1"/>
  <c r="P83" i="70" s="1"/>
  <c r="M81" i="70"/>
  <c r="O81" i="70" s="1"/>
  <c r="P81" i="70" s="1"/>
  <c r="M74" i="70"/>
  <c r="O74" i="70" s="1"/>
  <c r="P74" i="70" s="1"/>
  <c r="M70" i="70"/>
  <c r="O70" i="70" s="1"/>
  <c r="P70" i="70" s="1"/>
  <c r="W113" i="70"/>
  <c r="T113" i="70"/>
  <c r="W93" i="70"/>
  <c r="T93" i="70"/>
  <c r="W114" i="70"/>
  <c r="T114" i="70"/>
  <c r="T115" i="70"/>
  <c r="W115" i="70"/>
  <c r="W120" i="70"/>
  <c r="T120" i="70"/>
  <c r="F19" i="70"/>
  <c r="F23" i="70" s="1"/>
  <c r="F24" i="70" s="1"/>
  <c r="W71" i="70"/>
  <c r="W63" i="70"/>
  <c r="W77" i="70"/>
  <c r="T77" i="70"/>
  <c r="W108" i="70"/>
  <c r="T108" i="70"/>
  <c r="W107" i="70"/>
  <c r="T107" i="70"/>
  <c r="W78" i="70"/>
  <c r="T78" i="70"/>
  <c r="W137" i="70"/>
  <c r="T137" i="70"/>
  <c r="T84" i="70"/>
  <c r="W84" i="70"/>
  <c r="W129" i="70"/>
  <c r="T129" i="70"/>
  <c r="W97" i="70"/>
  <c r="T97" i="70"/>
  <c r="W118" i="70"/>
  <c r="T118" i="70"/>
  <c r="T119" i="70"/>
  <c r="W119" i="70"/>
  <c r="W124" i="70"/>
  <c r="T124" i="70"/>
  <c r="T131" i="70"/>
  <c r="W131" i="70"/>
  <c r="T101" i="70"/>
  <c r="W101" i="70"/>
  <c r="W79" i="70"/>
  <c r="T79" i="70"/>
  <c r="W121" i="70"/>
  <c r="T121" i="70"/>
  <c r="W117" i="70"/>
  <c r="T117" i="70"/>
  <c r="W122" i="70"/>
  <c r="T122" i="70"/>
  <c r="T123" i="70"/>
  <c r="W123" i="70"/>
  <c r="W128" i="70"/>
  <c r="T128" i="70"/>
  <c r="I25" i="70"/>
  <c r="F18" i="70"/>
  <c r="F16" i="70" s="1"/>
  <c r="F17" i="70"/>
  <c r="X21" i="69"/>
  <c r="X19" i="69"/>
  <c r="M115" i="69"/>
  <c r="O115" i="69" s="1"/>
  <c r="P115" i="69" s="1"/>
  <c r="M126" i="69"/>
  <c r="O126" i="69" s="1"/>
  <c r="P126" i="69" s="1"/>
  <c r="M116" i="69"/>
  <c r="O116" i="69" s="1"/>
  <c r="P116" i="69" s="1"/>
  <c r="M121" i="69"/>
  <c r="O121" i="69" s="1"/>
  <c r="P121" i="69" s="1"/>
  <c r="M83" i="69"/>
  <c r="O83" i="69" s="1"/>
  <c r="P83" i="69" s="1"/>
  <c r="M110" i="69"/>
  <c r="O110" i="69" s="1"/>
  <c r="P110" i="69" s="1"/>
  <c r="M70" i="69"/>
  <c r="O70" i="69" s="1"/>
  <c r="P70" i="69" s="1"/>
  <c r="M72" i="69"/>
  <c r="O72" i="69" s="1"/>
  <c r="P72" i="69" s="1"/>
  <c r="M81" i="69"/>
  <c r="O81" i="69" s="1"/>
  <c r="P81" i="69" s="1"/>
  <c r="M64" i="69"/>
  <c r="O64" i="69" s="1"/>
  <c r="P64" i="69" s="1"/>
  <c r="X20" i="69"/>
  <c r="M111" i="69"/>
  <c r="O111" i="69" s="1"/>
  <c r="P111" i="69" s="1"/>
  <c r="M122" i="69"/>
  <c r="O122" i="69" s="1"/>
  <c r="P122" i="69" s="1"/>
  <c r="M112" i="69"/>
  <c r="O112" i="69" s="1"/>
  <c r="P112" i="69" s="1"/>
  <c r="M109" i="69"/>
  <c r="O109" i="69" s="1"/>
  <c r="P109" i="69" s="1"/>
  <c r="M79" i="69"/>
  <c r="O79" i="69" s="1"/>
  <c r="P79" i="69" s="1"/>
  <c r="M98" i="69"/>
  <c r="O98" i="69" s="1"/>
  <c r="P98" i="69" s="1"/>
  <c r="M97" i="69"/>
  <c r="O97" i="69" s="1"/>
  <c r="P97" i="69" s="1"/>
  <c r="M67" i="69"/>
  <c r="O67" i="69" s="1"/>
  <c r="P67" i="69" s="1"/>
  <c r="M141" i="69"/>
  <c r="O141" i="69" s="1"/>
  <c r="P141" i="69" s="1"/>
  <c r="M92" i="69"/>
  <c r="O92" i="69" s="1"/>
  <c r="P92" i="69" s="1"/>
  <c r="M138" i="69"/>
  <c r="O138" i="69" s="1"/>
  <c r="P138" i="69" s="1"/>
  <c r="M128" i="69"/>
  <c r="O128" i="69" s="1"/>
  <c r="P128" i="69" s="1"/>
  <c r="M95" i="69"/>
  <c r="O95" i="69" s="1"/>
  <c r="P95" i="69" s="1"/>
  <c r="M84" i="69"/>
  <c r="O84" i="69" s="1"/>
  <c r="P84" i="69" s="1"/>
  <c r="M100" i="69"/>
  <c r="O100" i="69" s="1"/>
  <c r="P100" i="69" s="1"/>
  <c r="M82" i="69"/>
  <c r="O82" i="69" s="1"/>
  <c r="P82" i="69" s="1"/>
  <c r="M127" i="69"/>
  <c r="O127" i="69" s="1"/>
  <c r="P127" i="69" s="1"/>
  <c r="M129" i="69"/>
  <c r="O129" i="69" s="1"/>
  <c r="P129" i="69" s="1"/>
  <c r="M113" i="69"/>
  <c r="O113" i="69" s="1"/>
  <c r="P113" i="69" s="1"/>
  <c r="M73" i="69"/>
  <c r="O73" i="69" s="1"/>
  <c r="P73" i="69" s="1"/>
  <c r="M96" i="69"/>
  <c r="O96" i="69" s="1"/>
  <c r="P96" i="69" s="1"/>
  <c r="M66" i="69"/>
  <c r="O66" i="69" s="1"/>
  <c r="P66" i="69" s="1"/>
  <c r="M80" i="69"/>
  <c r="O80" i="69" s="1"/>
  <c r="P80" i="69" s="1"/>
  <c r="M78" i="69"/>
  <c r="O78" i="69" s="1"/>
  <c r="P78" i="69" s="1"/>
  <c r="M106" i="69"/>
  <c r="O106" i="69" s="1"/>
  <c r="P106" i="69" s="1"/>
  <c r="M91" i="69"/>
  <c r="O91" i="69" s="1"/>
  <c r="P91" i="69" s="1"/>
  <c r="M118" i="69"/>
  <c r="O118" i="69" s="1"/>
  <c r="P118" i="69" s="1"/>
  <c r="M124" i="69"/>
  <c r="O124" i="69" s="1"/>
  <c r="P124" i="69" s="1"/>
  <c r="M134" i="69"/>
  <c r="O134" i="69" s="1"/>
  <c r="P134" i="69" s="1"/>
  <c r="M123" i="69"/>
  <c r="O123" i="69" s="1"/>
  <c r="P123" i="69" s="1"/>
  <c r="M65" i="69"/>
  <c r="O65" i="69" s="1"/>
  <c r="P65" i="69" s="1"/>
  <c r="M77" i="69"/>
  <c r="O77" i="69" s="1"/>
  <c r="P77" i="69" s="1"/>
  <c r="M133" i="69"/>
  <c r="O133" i="69" s="1"/>
  <c r="P133" i="69" s="1"/>
  <c r="M86" i="69"/>
  <c r="O86" i="69" s="1"/>
  <c r="P86" i="69" s="1"/>
  <c r="M114" i="69"/>
  <c r="O114" i="69" s="1"/>
  <c r="P114" i="69" s="1"/>
  <c r="M99" i="69"/>
  <c r="O99" i="69" s="1"/>
  <c r="P99" i="69" s="1"/>
  <c r="M137" i="69"/>
  <c r="O137" i="69" s="1"/>
  <c r="P137" i="69" s="1"/>
  <c r="M132" i="69"/>
  <c r="O132" i="69" s="1"/>
  <c r="P132" i="69" s="1"/>
  <c r="M142" i="69"/>
  <c r="O142" i="69" s="1"/>
  <c r="P142" i="69" s="1"/>
  <c r="M131" i="69"/>
  <c r="O131" i="69" s="1"/>
  <c r="P131" i="69" s="1"/>
  <c r="M69" i="69"/>
  <c r="O69" i="69" s="1"/>
  <c r="P69" i="69" s="1"/>
  <c r="M88" i="69"/>
  <c r="O88" i="69" s="1"/>
  <c r="P88" i="69" s="1"/>
  <c r="M89" i="69"/>
  <c r="O89" i="69" s="1"/>
  <c r="P89" i="69" s="1"/>
  <c r="M90" i="69"/>
  <c r="O90" i="69" s="1"/>
  <c r="P90" i="69" s="1"/>
  <c r="M71" i="69"/>
  <c r="O71" i="69" s="1"/>
  <c r="P71" i="69" s="1"/>
  <c r="M101" i="69"/>
  <c r="O101" i="69" s="1"/>
  <c r="P101" i="69" s="1"/>
  <c r="M104" i="69"/>
  <c r="O104" i="69" s="1"/>
  <c r="P104" i="69" s="1"/>
  <c r="M136" i="69"/>
  <c r="O136" i="69" s="1"/>
  <c r="P136" i="69" s="1"/>
  <c r="M103" i="69"/>
  <c r="O103" i="69" s="1"/>
  <c r="P103" i="69" s="1"/>
  <c r="M135" i="69"/>
  <c r="O135" i="69" s="1"/>
  <c r="P135" i="69" s="1"/>
  <c r="M125" i="69"/>
  <c r="O125" i="69" s="1"/>
  <c r="P125" i="69" s="1"/>
  <c r="M63" i="69"/>
  <c r="O63" i="69" s="1"/>
  <c r="P63" i="69" s="1"/>
  <c r="M93" i="69"/>
  <c r="O93" i="69" s="1"/>
  <c r="P93" i="69" s="1"/>
  <c r="M94" i="69"/>
  <c r="O94" i="69" s="1"/>
  <c r="P94" i="69" s="1"/>
  <c r="M75" i="69"/>
  <c r="O75" i="69" s="1"/>
  <c r="P75" i="69" s="1"/>
  <c r="M105" i="69"/>
  <c r="O105" i="69" s="1"/>
  <c r="P105" i="69" s="1"/>
  <c r="M108" i="69"/>
  <c r="O108" i="69" s="1"/>
  <c r="P108" i="69" s="1"/>
  <c r="M140" i="69"/>
  <c r="O140" i="69" s="1"/>
  <c r="P140" i="69" s="1"/>
  <c r="M107" i="69"/>
  <c r="O107" i="69" s="1"/>
  <c r="P107" i="69" s="1"/>
  <c r="M139" i="69"/>
  <c r="O139" i="69" s="1"/>
  <c r="P139" i="69" s="1"/>
  <c r="M68" i="69"/>
  <c r="O68" i="69" s="1"/>
  <c r="P68" i="69" s="1"/>
  <c r="M85" i="69"/>
  <c r="O85" i="69" s="1"/>
  <c r="P85" i="69" s="1"/>
  <c r="M76" i="69"/>
  <c r="O76" i="69" s="1"/>
  <c r="P76" i="69" s="1"/>
  <c r="M74" i="69"/>
  <c r="O74" i="69" s="1"/>
  <c r="P74" i="69" s="1"/>
  <c r="M102" i="69"/>
  <c r="O102" i="69" s="1"/>
  <c r="P102" i="69" s="1"/>
  <c r="M87" i="69"/>
  <c r="O87" i="69" s="1"/>
  <c r="P87" i="69" s="1"/>
  <c r="M117" i="69"/>
  <c r="O117" i="69" s="1"/>
  <c r="P117" i="69" s="1"/>
  <c r="M120" i="69"/>
  <c r="O120" i="69" s="1"/>
  <c r="P120" i="69" s="1"/>
  <c r="M130" i="69"/>
  <c r="O130" i="69" s="1"/>
  <c r="P130" i="69" s="1"/>
  <c r="M119" i="69"/>
  <c r="O119" i="69" s="1"/>
  <c r="P119" i="69" s="1"/>
  <c r="W138" i="69"/>
  <c r="T138" i="69"/>
  <c r="W98" i="69"/>
  <c r="T98" i="69"/>
  <c r="W87" i="69"/>
  <c r="T87" i="69"/>
  <c r="T80" i="69"/>
  <c r="W80" i="69"/>
  <c r="W107" i="69"/>
  <c r="T107" i="69"/>
  <c r="W125" i="69"/>
  <c r="T125" i="69"/>
  <c r="T131" i="69"/>
  <c r="W131" i="69"/>
  <c r="T120" i="69"/>
  <c r="W120" i="69"/>
  <c r="W82" i="69"/>
  <c r="T82" i="69"/>
  <c r="T63" i="69"/>
  <c r="W63" i="69"/>
  <c r="W103" i="69"/>
  <c r="T103" i="69"/>
  <c r="W106" i="69"/>
  <c r="T106" i="69"/>
  <c r="W116" i="69"/>
  <c r="T116" i="69"/>
  <c r="W65" i="69"/>
  <c r="T65" i="69"/>
  <c r="T115" i="69"/>
  <c r="W115" i="69"/>
  <c r="T91" i="69"/>
  <c r="W91" i="69"/>
  <c r="T84" i="69"/>
  <c r="W84" i="69"/>
  <c r="W110" i="69"/>
  <c r="T110" i="69"/>
  <c r="W129" i="69"/>
  <c r="T129" i="69"/>
  <c r="T135" i="69"/>
  <c r="W135" i="69"/>
  <c r="T124" i="69"/>
  <c r="W124" i="69"/>
  <c r="F19" i="69"/>
  <c r="F23" i="69" s="1"/>
  <c r="F24" i="69" s="1"/>
  <c r="W70" i="69"/>
  <c r="T70" i="69"/>
  <c r="W97" i="69"/>
  <c r="W83" i="69"/>
  <c r="T83" i="69"/>
  <c r="W121" i="69"/>
  <c r="T121" i="69"/>
  <c r="W86" i="69"/>
  <c r="T86" i="69"/>
  <c r="W126" i="69"/>
  <c r="T126" i="69"/>
  <c r="T95" i="69"/>
  <c r="W95" i="69"/>
  <c r="T88" i="69"/>
  <c r="W88" i="69"/>
  <c r="W101" i="69"/>
  <c r="T101" i="69"/>
  <c r="W133" i="69"/>
  <c r="T133" i="69"/>
  <c r="T139" i="69"/>
  <c r="W139" i="69"/>
  <c r="T128" i="69"/>
  <c r="W128" i="69"/>
  <c r="I141" i="69"/>
  <c r="I137" i="69"/>
  <c r="I133" i="69"/>
  <c r="I129" i="69"/>
  <c r="I125" i="69"/>
  <c r="I121" i="69"/>
  <c r="I117" i="69"/>
  <c r="I113" i="69"/>
  <c r="I109" i="69"/>
  <c r="I105" i="69"/>
  <c r="I101" i="69"/>
  <c r="H141" i="69"/>
  <c r="Q141" i="69" s="1"/>
  <c r="H137" i="69"/>
  <c r="Q137" i="69" s="1"/>
  <c r="H133" i="69"/>
  <c r="Q133" i="69" s="1"/>
  <c r="H129" i="69"/>
  <c r="Q129" i="69" s="1"/>
  <c r="H125" i="69"/>
  <c r="Q125" i="69" s="1"/>
  <c r="H121" i="69"/>
  <c r="Q121" i="69" s="1"/>
  <c r="H117" i="69"/>
  <c r="Q117" i="69" s="1"/>
  <c r="H113" i="69"/>
  <c r="Q113" i="69" s="1"/>
  <c r="I140" i="69"/>
  <c r="I136" i="69"/>
  <c r="I132" i="69"/>
  <c r="I128" i="69"/>
  <c r="I124" i="69"/>
  <c r="H140" i="69"/>
  <c r="Q140" i="69" s="1"/>
  <c r="H136" i="69"/>
  <c r="Q136" i="69" s="1"/>
  <c r="H132" i="69"/>
  <c r="Q132" i="69" s="1"/>
  <c r="H128" i="69"/>
  <c r="Q128" i="69" s="1"/>
  <c r="H124" i="69"/>
  <c r="Q124" i="69" s="1"/>
  <c r="H120" i="69"/>
  <c r="Q120" i="69" s="1"/>
  <c r="H116" i="69"/>
  <c r="Q116" i="69" s="1"/>
  <c r="H112" i="69"/>
  <c r="Q112" i="69" s="1"/>
  <c r="H139" i="69"/>
  <c r="Q139" i="69" s="1"/>
  <c r="H135" i="69"/>
  <c r="Q135" i="69" s="1"/>
  <c r="H131" i="69"/>
  <c r="Q131" i="69" s="1"/>
  <c r="H127" i="69"/>
  <c r="Q127" i="69" s="1"/>
  <c r="H123" i="69"/>
  <c r="Q123" i="69" s="1"/>
  <c r="H119" i="69"/>
  <c r="Q119" i="69" s="1"/>
  <c r="H115" i="69"/>
  <c r="Q115" i="69" s="1"/>
  <c r="I142" i="69"/>
  <c r="I138" i="69"/>
  <c r="I134" i="69"/>
  <c r="I130" i="69"/>
  <c r="I126" i="69"/>
  <c r="I122" i="69"/>
  <c r="I118" i="69"/>
  <c r="I114" i="69"/>
  <c r="I110" i="69"/>
  <c r="I106" i="69"/>
  <c r="I102" i="69"/>
  <c r="H142" i="69"/>
  <c r="Q142" i="69" s="1"/>
  <c r="H138" i="69"/>
  <c r="Q138" i="69" s="1"/>
  <c r="H134" i="69"/>
  <c r="Q134" i="69" s="1"/>
  <c r="H130" i="69"/>
  <c r="Q130" i="69" s="1"/>
  <c r="H126" i="69"/>
  <c r="Q126" i="69" s="1"/>
  <c r="H122" i="69"/>
  <c r="Q122" i="69" s="1"/>
  <c r="I139" i="69"/>
  <c r="I131" i="69"/>
  <c r="I123" i="69"/>
  <c r="I120" i="69"/>
  <c r="I107" i="69"/>
  <c r="I119" i="69"/>
  <c r="H107" i="69"/>
  <c r="Q107" i="69" s="1"/>
  <c r="H103" i="69"/>
  <c r="Q103" i="69" s="1"/>
  <c r="H98" i="69"/>
  <c r="Q98" i="69" s="1"/>
  <c r="H94" i="69"/>
  <c r="Q94" i="69" s="1"/>
  <c r="H90" i="69"/>
  <c r="Q90" i="69" s="1"/>
  <c r="H86" i="69"/>
  <c r="Q86" i="69" s="1"/>
  <c r="H82" i="69"/>
  <c r="Q82" i="69" s="1"/>
  <c r="I116" i="69"/>
  <c r="I111" i="69"/>
  <c r="I108" i="69"/>
  <c r="I104" i="69"/>
  <c r="I97" i="69"/>
  <c r="I93" i="69"/>
  <c r="I89" i="69"/>
  <c r="I85" i="69"/>
  <c r="I81" i="69"/>
  <c r="I77" i="69"/>
  <c r="I73" i="69"/>
  <c r="I135" i="69"/>
  <c r="I127" i="69"/>
  <c r="H118" i="69"/>
  <c r="Q118" i="69" s="1"/>
  <c r="I115" i="69"/>
  <c r="H111" i="69"/>
  <c r="Q111" i="69" s="1"/>
  <c r="H108" i="69"/>
  <c r="Q108" i="69" s="1"/>
  <c r="H104" i="69"/>
  <c r="Q104" i="69" s="1"/>
  <c r="H97" i="69"/>
  <c r="Q97" i="69" s="1"/>
  <c r="H93" i="69"/>
  <c r="Q93" i="69" s="1"/>
  <c r="H89" i="69"/>
  <c r="Q89" i="69" s="1"/>
  <c r="I100" i="69"/>
  <c r="I96" i="69"/>
  <c r="I92" i="69"/>
  <c r="I88" i="69"/>
  <c r="I84" i="69"/>
  <c r="I80" i="69"/>
  <c r="I76" i="69"/>
  <c r="I72" i="69"/>
  <c r="I112" i="69"/>
  <c r="I99" i="69"/>
  <c r="I95" i="69"/>
  <c r="I91" i="69"/>
  <c r="H105" i="69"/>
  <c r="Q105" i="69" s="1"/>
  <c r="I103" i="69"/>
  <c r="H102" i="69"/>
  <c r="Q102" i="69" s="1"/>
  <c r="H92" i="69"/>
  <c r="Q92" i="69" s="1"/>
  <c r="H91" i="69"/>
  <c r="Q91" i="69" s="1"/>
  <c r="I90" i="69"/>
  <c r="I79" i="69"/>
  <c r="I75" i="69"/>
  <c r="I71" i="69"/>
  <c r="I70" i="69"/>
  <c r="I69" i="69"/>
  <c r="I65" i="69"/>
  <c r="I20" i="69"/>
  <c r="J20" i="69" s="1"/>
  <c r="H110" i="69"/>
  <c r="Q110" i="69" s="1"/>
  <c r="I86" i="69"/>
  <c r="I82" i="69"/>
  <c r="H79" i="69"/>
  <c r="Q79" i="69" s="1"/>
  <c r="H75" i="69"/>
  <c r="Q75" i="69" s="1"/>
  <c r="H71" i="69"/>
  <c r="Q71" i="69" s="1"/>
  <c r="H70" i="69"/>
  <c r="Q70" i="69" s="1"/>
  <c r="H69" i="69"/>
  <c r="Q69" i="69" s="1"/>
  <c r="H65" i="69"/>
  <c r="Q65" i="69" s="1"/>
  <c r="H88" i="69"/>
  <c r="Q88" i="69" s="1"/>
  <c r="H84" i="69"/>
  <c r="Q84" i="69" s="1"/>
  <c r="I68" i="69"/>
  <c r="I64" i="69"/>
  <c r="H106" i="69"/>
  <c r="Q106" i="69" s="1"/>
  <c r="H80" i="69"/>
  <c r="Q80" i="69" s="1"/>
  <c r="H76" i="69"/>
  <c r="Q76" i="69" s="1"/>
  <c r="H72" i="69"/>
  <c r="Q72" i="69" s="1"/>
  <c r="H68" i="69"/>
  <c r="Q68" i="69" s="1"/>
  <c r="H64" i="69"/>
  <c r="Q64" i="69" s="1"/>
  <c r="I67" i="69"/>
  <c r="I63" i="69"/>
  <c r="I87" i="69"/>
  <c r="I83" i="69"/>
  <c r="H77" i="69"/>
  <c r="Q77" i="69" s="1"/>
  <c r="H73" i="69"/>
  <c r="Q73" i="69" s="1"/>
  <c r="H67" i="69"/>
  <c r="Q67" i="69" s="1"/>
  <c r="H63" i="69"/>
  <c r="Q63" i="69" s="1"/>
  <c r="H114" i="69"/>
  <c r="Q114" i="69" s="1"/>
  <c r="H101" i="69"/>
  <c r="Q101" i="69" s="1"/>
  <c r="H100" i="69"/>
  <c r="Q100" i="69" s="1"/>
  <c r="H99" i="69"/>
  <c r="Q99" i="69" s="1"/>
  <c r="I98" i="69"/>
  <c r="H87" i="69"/>
  <c r="Q87" i="69" s="1"/>
  <c r="H85" i="69"/>
  <c r="Q85" i="69" s="1"/>
  <c r="H83" i="69"/>
  <c r="Q83" i="69" s="1"/>
  <c r="H81" i="69"/>
  <c r="Q81" i="69" s="1"/>
  <c r="I78" i="69"/>
  <c r="I74" i="69"/>
  <c r="I66" i="69"/>
  <c r="H109" i="69"/>
  <c r="Q109" i="69" s="1"/>
  <c r="H96" i="69"/>
  <c r="Q96" i="69" s="1"/>
  <c r="H95" i="69"/>
  <c r="Q95" i="69" s="1"/>
  <c r="I94" i="69"/>
  <c r="H78" i="69"/>
  <c r="Q78" i="69" s="1"/>
  <c r="H74" i="69"/>
  <c r="Q74" i="69" s="1"/>
  <c r="H66" i="69"/>
  <c r="Q66" i="69" s="1"/>
  <c r="W93" i="69"/>
  <c r="T93" i="69"/>
  <c r="V60" i="69"/>
  <c r="F14" i="69"/>
  <c r="W134" i="69"/>
  <c r="T134" i="69"/>
  <c r="T99" i="69"/>
  <c r="W99" i="69"/>
  <c r="T92" i="69"/>
  <c r="W92" i="69"/>
  <c r="W105" i="69"/>
  <c r="T105" i="69"/>
  <c r="W137" i="69"/>
  <c r="T137" i="69"/>
  <c r="T100" i="69"/>
  <c r="W100" i="69"/>
  <c r="T132" i="69"/>
  <c r="W132" i="69"/>
  <c r="J18" i="69"/>
  <c r="W69" i="69"/>
  <c r="T69" i="69"/>
  <c r="W76" i="69"/>
  <c r="T76" i="69"/>
  <c r="W68" i="69"/>
  <c r="T68" i="69"/>
  <c r="T71" i="69"/>
  <c r="W71" i="69"/>
  <c r="T119" i="69"/>
  <c r="W119" i="69"/>
  <c r="T96" i="69"/>
  <c r="W96" i="69"/>
  <c r="W109" i="69"/>
  <c r="T109" i="69"/>
  <c r="W141" i="69"/>
  <c r="T141" i="69"/>
  <c r="T104" i="69"/>
  <c r="W104" i="69"/>
  <c r="T136" i="69"/>
  <c r="W136" i="69"/>
  <c r="W66" i="69"/>
  <c r="T66" i="69"/>
  <c r="W77" i="69"/>
  <c r="T77" i="69"/>
  <c r="W85" i="69"/>
  <c r="T85" i="69"/>
  <c r="T127" i="69"/>
  <c r="W127" i="69"/>
  <c r="T75" i="69"/>
  <c r="W75" i="69"/>
  <c r="W111" i="69"/>
  <c r="T111" i="69"/>
  <c r="W122" i="69"/>
  <c r="T122" i="69"/>
  <c r="T113" i="69"/>
  <c r="W113" i="69"/>
  <c r="W142" i="69"/>
  <c r="T142" i="69"/>
  <c r="W108" i="69"/>
  <c r="T108" i="69"/>
  <c r="T140" i="69"/>
  <c r="W140" i="69"/>
  <c r="W118" i="69"/>
  <c r="T118" i="69"/>
  <c r="W102" i="69"/>
  <c r="T102" i="69"/>
  <c r="W78" i="69"/>
  <c r="T78" i="69"/>
  <c r="W81" i="69"/>
  <c r="T81" i="69"/>
  <c r="W11" i="69"/>
  <c r="W94" i="69"/>
  <c r="T94" i="69"/>
  <c r="W64" i="69"/>
  <c r="T64" i="69"/>
  <c r="W90" i="69"/>
  <c r="T90" i="69"/>
  <c r="T79" i="69"/>
  <c r="W79" i="69"/>
  <c r="W72" i="69"/>
  <c r="T72" i="69"/>
  <c r="W130" i="69"/>
  <c r="T130" i="69"/>
  <c r="T117" i="69"/>
  <c r="W117" i="69"/>
  <c r="T123" i="69"/>
  <c r="W123" i="69"/>
  <c r="T112" i="69"/>
  <c r="W112" i="69"/>
  <c r="T67" i="69"/>
  <c r="W67" i="69"/>
  <c r="W114" i="69"/>
  <c r="T114" i="69"/>
  <c r="W89" i="69"/>
  <c r="T89" i="69"/>
  <c r="W73" i="69"/>
  <c r="T73" i="69"/>
  <c r="W74" i="69"/>
  <c r="T74" i="69"/>
  <c r="M65" i="68"/>
  <c r="O65" i="68" s="1"/>
  <c r="P65" i="68" s="1"/>
  <c r="M85" i="68"/>
  <c r="O85" i="68" s="1"/>
  <c r="P85" i="68" s="1"/>
  <c r="M88" i="68"/>
  <c r="O88" i="68" s="1"/>
  <c r="P88" i="68" s="1"/>
  <c r="M80" i="68"/>
  <c r="O80" i="68" s="1"/>
  <c r="P80" i="68" s="1"/>
  <c r="M79" i="68"/>
  <c r="O79" i="68" s="1"/>
  <c r="P79" i="68" s="1"/>
  <c r="M112" i="68"/>
  <c r="O112" i="68" s="1"/>
  <c r="P112" i="68" s="1"/>
  <c r="M105" i="68"/>
  <c r="O105" i="68" s="1"/>
  <c r="P105" i="68" s="1"/>
  <c r="M137" i="68"/>
  <c r="O137" i="68" s="1"/>
  <c r="P137" i="68" s="1"/>
  <c r="M126" i="68"/>
  <c r="O126" i="68" s="1"/>
  <c r="P126" i="68" s="1"/>
  <c r="M115" i="68"/>
  <c r="O115" i="68" s="1"/>
  <c r="P115" i="68" s="1"/>
  <c r="X21" i="68"/>
  <c r="M90" i="68"/>
  <c r="O90" i="68" s="1"/>
  <c r="P90" i="68" s="1"/>
  <c r="M97" i="68"/>
  <c r="O97" i="68" s="1"/>
  <c r="P97" i="68" s="1"/>
  <c r="M100" i="68"/>
  <c r="O100" i="68" s="1"/>
  <c r="P100" i="68" s="1"/>
  <c r="M68" i="68"/>
  <c r="O68" i="68" s="1"/>
  <c r="P68" i="68" s="1"/>
  <c r="M91" i="68"/>
  <c r="O91" i="68" s="1"/>
  <c r="P91" i="68" s="1"/>
  <c r="M124" i="68"/>
  <c r="O124" i="68" s="1"/>
  <c r="P124" i="68" s="1"/>
  <c r="M117" i="68"/>
  <c r="O117" i="68" s="1"/>
  <c r="P117" i="68" s="1"/>
  <c r="M106" i="68"/>
  <c r="O106" i="68" s="1"/>
  <c r="P106" i="68" s="1"/>
  <c r="M138" i="68"/>
  <c r="O138" i="68" s="1"/>
  <c r="P138" i="68" s="1"/>
  <c r="M127" i="68"/>
  <c r="O127" i="68" s="1"/>
  <c r="P127" i="68" s="1"/>
  <c r="M94" i="68"/>
  <c r="O94" i="68" s="1"/>
  <c r="P94" i="68" s="1"/>
  <c r="M63" i="68"/>
  <c r="O63" i="68" s="1"/>
  <c r="P63" i="68" s="1"/>
  <c r="M72" i="68"/>
  <c r="O72" i="68" s="1"/>
  <c r="P72" i="68" s="1"/>
  <c r="M74" i="68"/>
  <c r="O74" i="68" s="1"/>
  <c r="P74" i="68" s="1"/>
  <c r="M95" i="68"/>
  <c r="O95" i="68" s="1"/>
  <c r="P95" i="68" s="1"/>
  <c r="M128" i="68"/>
  <c r="O128" i="68" s="1"/>
  <c r="P128" i="68" s="1"/>
  <c r="M121" i="68"/>
  <c r="O121" i="68" s="1"/>
  <c r="P121" i="68" s="1"/>
  <c r="M110" i="68"/>
  <c r="O110" i="68" s="1"/>
  <c r="P110" i="68" s="1"/>
  <c r="M142" i="68"/>
  <c r="O142" i="68" s="1"/>
  <c r="P142" i="68" s="1"/>
  <c r="M131" i="68"/>
  <c r="O131" i="68" s="1"/>
  <c r="P131" i="68" s="1"/>
  <c r="M98" i="68"/>
  <c r="O98" i="68" s="1"/>
  <c r="P98" i="68" s="1"/>
  <c r="M67" i="68"/>
  <c r="O67" i="68" s="1"/>
  <c r="P67" i="68" s="1"/>
  <c r="M73" i="68"/>
  <c r="O73" i="68" s="1"/>
  <c r="P73" i="68" s="1"/>
  <c r="M78" i="68"/>
  <c r="O78" i="68" s="1"/>
  <c r="P78" i="68" s="1"/>
  <c r="M99" i="68"/>
  <c r="O99" i="68" s="1"/>
  <c r="P99" i="68" s="1"/>
  <c r="M132" i="68"/>
  <c r="O132" i="68" s="1"/>
  <c r="P132" i="68" s="1"/>
  <c r="M125" i="68"/>
  <c r="O125" i="68" s="1"/>
  <c r="P125" i="68" s="1"/>
  <c r="M114" i="68"/>
  <c r="O114" i="68" s="1"/>
  <c r="P114" i="68" s="1"/>
  <c r="M103" i="68"/>
  <c r="O103" i="68" s="1"/>
  <c r="P103" i="68" s="1"/>
  <c r="M135" i="68"/>
  <c r="O135" i="68" s="1"/>
  <c r="P135" i="68" s="1"/>
  <c r="M70" i="68"/>
  <c r="O70" i="68" s="1"/>
  <c r="P70" i="68" s="1"/>
  <c r="E27" i="68" s="1"/>
  <c r="M84" i="68"/>
  <c r="O84" i="68" s="1"/>
  <c r="P84" i="68" s="1"/>
  <c r="M77" i="68"/>
  <c r="O77" i="68" s="1"/>
  <c r="P77" i="68" s="1"/>
  <c r="M75" i="68"/>
  <c r="O75" i="68" s="1"/>
  <c r="P75" i="68" s="1"/>
  <c r="M108" i="68"/>
  <c r="O108" i="68" s="1"/>
  <c r="P108" i="68" s="1"/>
  <c r="M140" i="68"/>
  <c r="O140" i="68" s="1"/>
  <c r="P140" i="68" s="1"/>
  <c r="M133" i="68"/>
  <c r="O133" i="68" s="1"/>
  <c r="P133" i="68" s="1"/>
  <c r="M122" i="68"/>
  <c r="O122" i="68" s="1"/>
  <c r="P122" i="68" s="1"/>
  <c r="M111" i="68"/>
  <c r="O111" i="68" s="1"/>
  <c r="P111" i="68" s="1"/>
  <c r="M101" i="68"/>
  <c r="O101" i="68" s="1"/>
  <c r="P101" i="68" s="1"/>
  <c r="W113" i="68"/>
  <c r="T113" i="68"/>
  <c r="W65" i="68"/>
  <c r="T65" i="68"/>
  <c r="T68" i="68"/>
  <c r="W68" i="68"/>
  <c r="W99" i="68"/>
  <c r="T99" i="68"/>
  <c r="W74" i="68"/>
  <c r="T74" i="68"/>
  <c r="W84" i="68"/>
  <c r="T84" i="68"/>
  <c r="W117" i="68"/>
  <c r="T117" i="68"/>
  <c r="W106" i="68"/>
  <c r="T106" i="68"/>
  <c r="W138" i="68"/>
  <c r="T138" i="68"/>
  <c r="T127" i="68"/>
  <c r="W127" i="68"/>
  <c r="W120" i="68"/>
  <c r="T120" i="68"/>
  <c r="W71" i="68"/>
  <c r="T71" i="68"/>
  <c r="W66" i="68"/>
  <c r="T66" i="68"/>
  <c r="W79" i="68"/>
  <c r="T79" i="68"/>
  <c r="W110" i="68"/>
  <c r="T110" i="68"/>
  <c r="T100" i="68"/>
  <c r="W100" i="68"/>
  <c r="W89" i="68"/>
  <c r="T89" i="68"/>
  <c r="W98" i="68"/>
  <c r="T98" i="68"/>
  <c r="T64" i="68"/>
  <c r="W64" i="68"/>
  <c r="W91" i="68"/>
  <c r="T91" i="68"/>
  <c r="W92" i="68"/>
  <c r="T92" i="68"/>
  <c r="W125" i="68"/>
  <c r="T125" i="68"/>
  <c r="W114" i="68"/>
  <c r="T114" i="68"/>
  <c r="W103" i="68"/>
  <c r="T103" i="68"/>
  <c r="T135" i="68"/>
  <c r="W135" i="68"/>
  <c r="W128" i="68"/>
  <c r="T128" i="68"/>
  <c r="W67" i="68"/>
  <c r="T67" i="68"/>
  <c r="W121" i="68"/>
  <c r="T121" i="68"/>
  <c r="T131" i="68"/>
  <c r="W131" i="68"/>
  <c r="W94" i="68"/>
  <c r="T94" i="68"/>
  <c r="F14" i="68"/>
  <c r="V60" i="68"/>
  <c r="W87" i="68"/>
  <c r="T87" i="68"/>
  <c r="W78" i="68"/>
  <c r="T78" i="68"/>
  <c r="W96" i="68"/>
  <c r="T96" i="68"/>
  <c r="W129" i="68"/>
  <c r="T129" i="68"/>
  <c r="W118" i="68"/>
  <c r="T118" i="68"/>
  <c r="W107" i="68"/>
  <c r="T107" i="68"/>
  <c r="T139" i="68"/>
  <c r="W139" i="68"/>
  <c r="W132" i="68"/>
  <c r="T132" i="68"/>
  <c r="W88" i="68"/>
  <c r="T88" i="68"/>
  <c r="W124" i="68"/>
  <c r="T124" i="68"/>
  <c r="W97" i="68"/>
  <c r="T97" i="68"/>
  <c r="W90" i="68"/>
  <c r="T90" i="68"/>
  <c r="W83" i="68"/>
  <c r="T83" i="68"/>
  <c r="W101" i="68"/>
  <c r="T101" i="68"/>
  <c r="W133" i="68"/>
  <c r="T133" i="68"/>
  <c r="W122" i="68"/>
  <c r="T122" i="68"/>
  <c r="W111" i="68"/>
  <c r="T111" i="68"/>
  <c r="W104" i="68"/>
  <c r="T104" i="68"/>
  <c r="W136" i="68"/>
  <c r="T136" i="68"/>
  <c r="W77" i="68"/>
  <c r="T77" i="68"/>
  <c r="W63" i="68"/>
  <c r="T63" i="68"/>
  <c r="W142" i="68"/>
  <c r="T142" i="68"/>
  <c r="W85" i="68"/>
  <c r="T85" i="68"/>
  <c r="W86" i="68"/>
  <c r="T86" i="68"/>
  <c r="W72" i="68"/>
  <c r="T72" i="68"/>
  <c r="W105" i="68"/>
  <c r="T105" i="68"/>
  <c r="W137" i="68"/>
  <c r="T137" i="68"/>
  <c r="W126" i="68"/>
  <c r="T126" i="68"/>
  <c r="W115" i="68"/>
  <c r="T115" i="68"/>
  <c r="W108" i="68"/>
  <c r="T108" i="68"/>
  <c r="W140" i="68"/>
  <c r="T140" i="68"/>
  <c r="F19" i="68"/>
  <c r="F23" i="68" s="1"/>
  <c r="F24" i="68" s="1"/>
  <c r="W81" i="68"/>
  <c r="W95" i="68"/>
  <c r="T95" i="68"/>
  <c r="W69" i="68"/>
  <c r="T69" i="68"/>
  <c r="W82" i="68"/>
  <c r="T82" i="68"/>
  <c r="W75" i="68"/>
  <c r="T75" i="68"/>
  <c r="W76" i="68"/>
  <c r="T76" i="68"/>
  <c r="W109" i="68"/>
  <c r="T109" i="68"/>
  <c r="W141" i="68"/>
  <c r="T141" i="68"/>
  <c r="W130" i="68"/>
  <c r="T130" i="68"/>
  <c r="T119" i="68"/>
  <c r="W119" i="68"/>
  <c r="W112" i="68"/>
  <c r="T112" i="68"/>
  <c r="W73" i="68"/>
  <c r="T73" i="68"/>
  <c r="I141" i="68"/>
  <c r="I137" i="68"/>
  <c r="I133" i="68"/>
  <c r="I129" i="68"/>
  <c r="I125" i="68"/>
  <c r="I121" i="68"/>
  <c r="I117" i="68"/>
  <c r="I113" i="68"/>
  <c r="I109" i="68"/>
  <c r="I105" i="68"/>
  <c r="H141" i="68"/>
  <c r="Q141" i="68" s="1"/>
  <c r="H137" i="68"/>
  <c r="Q137" i="68" s="1"/>
  <c r="H133" i="68"/>
  <c r="Q133" i="68" s="1"/>
  <c r="H129" i="68"/>
  <c r="Q129" i="68" s="1"/>
  <c r="H125" i="68"/>
  <c r="Q125" i="68" s="1"/>
  <c r="H121" i="68"/>
  <c r="Q121" i="68" s="1"/>
  <c r="I140" i="68"/>
  <c r="I136" i="68"/>
  <c r="I132" i="68"/>
  <c r="I128" i="68"/>
  <c r="I124" i="68"/>
  <c r="I120" i="68"/>
  <c r="I116" i="68"/>
  <c r="I112" i="68"/>
  <c r="I108" i="68"/>
  <c r="I104" i="68"/>
  <c r="H140" i="68"/>
  <c r="Q140" i="68" s="1"/>
  <c r="H136" i="68"/>
  <c r="Q136" i="68" s="1"/>
  <c r="H132" i="68"/>
  <c r="Q132" i="68" s="1"/>
  <c r="H128" i="68"/>
  <c r="Q128" i="68" s="1"/>
  <c r="H124" i="68"/>
  <c r="Q124" i="68" s="1"/>
  <c r="H120" i="68"/>
  <c r="Q120" i="68" s="1"/>
  <c r="I139" i="68"/>
  <c r="I135" i="68"/>
  <c r="I131" i="68"/>
  <c r="I127" i="68"/>
  <c r="I123" i="68"/>
  <c r="I119" i="68"/>
  <c r="I115" i="68"/>
  <c r="I111" i="68"/>
  <c r="I107" i="68"/>
  <c r="I103" i="68"/>
  <c r="H139" i="68"/>
  <c r="Q139" i="68" s="1"/>
  <c r="H135" i="68"/>
  <c r="Q135" i="68" s="1"/>
  <c r="H131" i="68"/>
  <c r="Q131" i="68" s="1"/>
  <c r="H127" i="68"/>
  <c r="Q127" i="68" s="1"/>
  <c r="H123" i="68"/>
  <c r="Q123" i="68" s="1"/>
  <c r="I142" i="68"/>
  <c r="I138" i="68"/>
  <c r="I134" i="68"/>
  <c r="I130" i="68"/>
  <c r="I126" i="68"/>
  <c r="I122" i="68"/>
  <c r="I118" i="68"/>
  <c r="I114" i="68"/>
  <c r="I110" i="68"/>
  <c r="I106" i="68"/>
  <c r="I102" i="68"/>
  <c r="H142" i="68"/>
  <c r="Q142" i="68" s="1"/>
  <c r="H134" i="68"/>
  <c r="Q134" i="68" s="1"/>
  <c r="H126" i="68"/>
  <c r="Q126" i="68" s="1"/>
  <c r="H119" i="68"/>
  <c r="Q119" i="68" s="1"/>
  <c r="H118" i="68"/>
  <c r="Q118" i="68" s="1"/>
  <c r="H113" i="68"/>
  <c r="Q113" i="68" s="1"/>
  <c r="H109" i="68"/>
  <c r="Q109" i="68" s="1"/>
  <c r="H105" i="68"/>
  <c r="Q105" i="68" s="1"/>
  <c r="I97" i="68"/>
  <c r="I93" i="68"/>
  <c r="I89" i="68"/>
  <c r="I85" i="68"/>
  <c r="I81" i="68"/>
  <c r="I77" i="68"/>
  <c r="I73" i="68"/>
  <c r="H138" i="68"/>
  <c r="Q138" i="68" s="1"/>
  <c r="H130" i="68"/>
  <c r="Q130" i="68" s="1"/>
  <c r="H101" i="68"/>
  <c r="Q101" i="68" s="1"/>
  <c r="H100" i="68"/>
  <c r="Q100" i="68" s="1"/>
  <c r="H96" i="68"/>
  <c r="Q96" i="68" s="1"/>
  <c r="H92" i="68"/>
  <c r="Q92" i="68" s="1"/>
  <c r="H88" i="68"/>
  <c r="Q88" i="68" s="1"/>
  <c r="H84" i="68"/>
  <c r="Q84" i="68" s="1"/>
  <c r="H97" i="68"/>
  <c r="Q97" i="68" s="1"/>
  <c r="H93" i="68"/>
  <c r="Q93" i="68" s="1"/>
  <c r="H89" i="68"/>
  <c r="Q89" i="68" s="1"/>
  <c r="H85" i="68"/>
  <c r="Q85" i="68" s="1"/>
  <c r="I70" i="68"/>
  <c r="I66" i="68"/>
  <c r="I101" i="68"/>
  <c r="I98" i="68"/>
  <c r="I94" i="68"/>
  <c r="I90" i="68"/>
  <c r="I86" i="68"/>
  <c r="H70" i="68"/>
  <c r="Q70" i="68" s="1"/>
  <c r="H66" i="68"/>
  <c r="Q66" i="68" s="1"/>
  <c r="H122" i="68"/>
  <c r="Q122" i="68" s="1"/>
  <c r="H98" i="68"/>
  <c r="Q98" i="68" s="1"/>
  <c r="H94" i="68"/>
  <c r="Q94" i="68" s="1"/>
  <c r="H90" i="68"/>
  <c r="Q90" i="68" s="1"/>
  <c r="H86" i="68"/>
  <c r="Q86" i="68" s="1"/>
  <c r="I69" i="68"/>
  <c r="I65" i="68"/>
  <c r="I20" i="68"/>
  <c r="J20" i="68" s="1"/>
  <c r="I99" i="68"/>
  <c r="I95" i="68"/>
  <c r="I91" i="68"/>
  <c r="I87" i="68"/>
  <c r="H69" i="68"/>
  <c r="Q69" i="68" s="1"/>
  <c r="H65" i="68"/>
  <c r="Q65" i="68" s="1"/>
  <c r="H115" i="68"/>
  <c r="Q115" i="68" s="1"/>
  <c r="H114" i="68"/>
  <c r="Q114" i="68" s="1"/>
  <c r="H112" i="68"/>
  <c r="Q112" i="68" s="1"/>
  <c r="H111" i="68"/>
  <c r="Q111" i="68" s="1"/>
  <c r="H99" i="68"/>
  <c r="Q99" i="68" s="1"/>
  <c r="H95" i="68"/>
  <c r="Q95" i="68" s="1"/>
  <c r="H91" i="68"/>
  <c r="Q91" i="68" s="1"/>
  <c r="H87" i="68"/>
  <c r="Q87" i="68" s="1"/>
  <c r="I83" i="68"/>
  <c r="I82" i="68"/>
  <c r="I80" i="68"/>
  <c r="I79" i="68"/>
  <c r="I78" i="68"/>
  <c r="I76" i="68"/>
  <c r="I75" i="68"/>
  <c r="I74" i="68"/>
  <c r="I72" i="68"/>
  <c r="I68" i="68"/>
  <c r="I64" i="68"/>
  <c r="H116" i="68"/>
  <c r="Q116" i="68" s="1"/>
  <c r="H110" i="68"/>
  <c r="Q110" i="68" s="1"/>
  <c r="H108" i="68"/>
  <c r="Q108" i="68" s="1"/>
  <c r="H107" i="68"/>
  <c r="Q107" i="68" s="1"/>
  <c r="I100" i="68"/>
  <c r="I96" i="68"/>
  <c r="I92" i="68"/>
  <c r="I88" i="68"/>
  <c r="I84" i="68"/>
  <c r="H83" i="68"/>
  <c r="Q83" i="68" s="1"/>
  <c r="H82" i="68"/>
  <c r="Q82" i="68" s="1"/>
  <c r="H81" i="68"/>
  <c r="Q81" i="68" s="1"/>
  <c r="H80" i="68"/>
  <c r="Q80" i="68" s="1"/>
  <c r="H79" i="68"/>
  <c r="Q79" i="68" s="1"/>
  <c r="H78" i="68"/>
  <c r="Q78" i="68" s="1"/>
  <c r="H77" i="68"/>
  <c r="Q77" i="68" s="1"/>
  <c r="H76" i="68"/>
  <c r="Q76" i="68" s="1"/>
  <c r="H75" i="68"/>
  <c r="Q75" i="68" s="1"/>
  <c r="H74" i="68"/>
  <c r="Q74" i="68" s="1"/>
  <c r="H73" i="68"/>
  <c r="Q73" i="68" s="1"/>
  <c r="H72" i="68"/>
  <c r="Q72" i="68" s="1"/>
  <c r="H68" i="68"/>
  <c r="Q68" i="68" s="1"/>
  <c r="H64" i="68"/>
  <c r="Q64" i="68" s="1"/>
  <c r="H106" i="68"/>
  <c r="Q106" i="68" s="1"/>
  <c r="H104" i="68"/>
  <c r="Q104" i="68" s="1"/>
  <c r="H103" i="68"/>
  <c r="Q103" i="68" s="1"/>
  <c r="I71" i="68"/>
  <c r="I67" i="68"/>
  <c r="I63" i="68"/>
  <c r="H67" i="68"/>
  <c r="Q67" i="68" s="1"/>
  <c r="W11" i="68"/>
  <c r="H117" i="68"/>
  <c r="Q117" i="68" s="1"/>
  <c r="H63" i="68"/>
  <c r="Q63" i="68" s="1"/>
  <c r="H102" i="68"/>
  <c r="Q102" i="68" s="1"/>
  <c r="H71" i="68"/>
  <c r="Q71" i="68" s="1"/>
  <c r="W70" i="68"/>
  <c r="T70" i="68"/>
  <c r="W93" i="68"/>
  <c r="T93" i="68"/>
  <c r="W80" i="68"/>
  <c r="T80" i="68"/>
  <c r="W102" i="68"/>
  <c r="T102" i="68"/>
  <c r="W134" i="68"/>
  <c r="T134" i="68"/>
  <c r="T123" i="68"/>
  <c r="W123" i="68"/>
  <c r="W116" i="68"/>
  <c r="T116" i="68"/>
  <c r="W10" i="68"/>
  <c r="H67" i="66"/>
  <c r="Q67" i="66" s="1"/>
  <c r="H98" i="66"/>
  <c r="Q98" i="66" s="1"/>
  <c r="H82" i="66"/>
  <c r="Q82" i="66" s="1"/>
  <c r="I84" i="66"/>
  <c r="I101" i="66"/>
  <c r="I93" i="66"/>
  <c r="I86" i="66"/>
  <c r="H106" i="66"/>
  <c r="Q106" i="66" s="1"/>
  <c r="H110" i="66"/>
  <c r="Q110" i="66" s="1"/>
  <c r="H142" i="66"/>
  <c r="Q142" i="66" s="1"/>
  <c r="I103" i="66"/>
  <c r="I135" i="66"/>
  <c r="H136" i="66"/>
  <c r="Q136" i="66" s="1"/>
  <c r="I128" i="66"/>
  <c r="H133" i="66"/>
  <c r="Q133" i="66" s="1"/>
  <c r="I125" i="66"/>
  <c r="I20" i="66"/>
  <c r="J20" i="66" s="1"/>
  <c r="H80" i="66"/>
  <c r="Q80" i="66" s="1"/>
  <c r="F17" i="66" s="1"/>
  <c r="W10" i="66"/>
  <c r="V65" i="66"/>
  <c r="W65" i="66"/>
  <c r="H78" i="66"/>
  <c r="Q78" i="66" s="1"/>
  <c r="H71" i="66"/>
  <c r="Q71" i="66" s="1"/>
  <c r="H92" i="66"/>
  <c r="Q92" i="66" s="1"/>
  <c r="I69" i="66"/>
  <c r="I96" i="66"/>
  <c r="H107" i="66"/>
  <c r="Q107" i="66" s="1"/>
  <c r="I142" i="66"/>
  <c r="I98" i="66"/>
  <c r="I122" i="66"/>
  <c r="H122" i="66"/>
  <c r="Q122" i="66" s="1"/>
  <c r="H123" i="66"/>
  <c r="Q123" i="66" s="1"/>
  <c r="I115" i="66"/>
  <c r="H116" i="66"/>
  <c r="Q116" i="66" s="1"/>
  <c r="I108" i="66"/>
  <c r="I140" i="66"/>
  <c r="I105" i="66"/>
  <c r="I137" i="66"/>
  <c r="I79" i="66"/>
  <c r="H66" i="66"/>
  <c r="Q66" i="66" s="1"/>
  <c r="I25" i="66" s="1"/>
  <c r="H90" i="66"/>
  <c r="Q90" i="66" s="1"/>
  <c r="I68" i="66"/>
  <c r="I100" i="66"/>
  <c r="H109" i="66"/>
  <c r="Q109" i="66" s="1"/>
  <c r="I70" i="66"/>
  <c r="I134" i="66"/>
  <c r="I99" i="66"/>
  <c r="H126" i="66"/>
  <c r="Q126" i="66" s="1"/>
  <c r="H127" i="66"/>
  <c r="Q127" i="66" s="1"/>
  <c r="I119" i="66"/>
  <c r="H120" i="66"/>
  <c r="Q120" i="66" s="1"/>
  <c r="I112" i="66"/>
  <c r="H117" i="66"/>
  <c r="Q117" i="66" s="1"/>
  <c r="I109" i="66"/>
  <c r="I141" i="66"/>
  <c r="W125" i="66"/>
  <c r="T125" i="66"/>
  <c r="F19" i="66"/>
  <c r="F23" i="66" s="1"/>
  <c r="F24" i="66" s="1"/>
  <c r="V78" i="66"/>
  <c r="W78" i="66"/>
  <c r="E26" i="66"/>
  <c r="M115" i="66" s="1"/>
  <c r="O115" i="66" s="1"/>
  <c r="P115" i="66" s="1"/>
  <c r="M89" i="66"/>
  <c r="O89" i="66" s="1"/>
  <c r="P89" i="66" s="1"/>
  <c r="W95" i="66"/>
  <c r="T95" i="66"/>
  <c r="W84" i="66"/>
  <c r="T84" i="66"/>
  <c r="W77" i="66"/>
  <c r="T77" i="66"/>
  <c r="W117" i="66"/>
  <c r="T117" i="66"/>
  <c r="W126" i="66"/>
  <c r="T126" i="66"/>
  <c r="W115" i="66"/>
  <c r="T115" i="66"/>
  <c r="W108" i="66"/>
  <c r="T108" i="66"/>
  <c r="W140" i="66"/>
  <c r="T140" i="66"/>
  <c r="W76" i="66"/>
  <c r="T76" i="66"/>
  <c r="W99" i="66"/>
  <c r="T99" i="66"/>
  <c r="W137" i="66"/>
  <c r="T137" i="66"/>
  <c r="W71" i="66"/>
  <c r="T71" i="66"/>
  <c r="W101" i="66"/>
  <c r="T101" i="66"/>
  <c r="W92" i="66"/>
  <c r="T92" i="66"/>
  <c r="W85" i="66"/>
  <c r="T85" i="66"/>
  <c r="W102" i="66"/>
  <c r="T102" i="66"/>
  <c r="W134" i="66"/>
  <c r="T134" i="66"/>
  <c r="T123" i="66"/>
  <c r="W123" i="66"/>
  <c r="W116" i="66"/>
  <c r="T116" i="66"/>
  <c r="W81" i="66"/>
  <c r="T81" i="66"/>
  <c r="W112" i="66"/>
  <c r="T112" i="66"/>
  <c r="W64" i="66"/>
  <c r="T64" i="66"/>
  <c r="T60" i="66" s="1"/>
  <c r="W98" i="66"/>
  <c r="T98" i="66"/>
  <c r="W75" i="66"/>
  <c r="T75" i="66"/>
  <c r="W105" i="66"/>
  <c r="T105" i="66"/>
  <c r="W96" i="66"/>
  <c r="T96" i="66"/>
  <c r="W89" i="66"/>
  <c r="T89" i="66"/>
  <c r="W106" i="66"/>
  <c r="T106" i="66"/>
  <c r="W138" i="66"/>
  <c r="T138" i="66"/>
  <c r="T127" i="66"/>
  <c r="W127" i="66"/>
  <c r="W120" i="66"/>
  <c r="T120" i="66"/>
  <c r="W63" i="66"/>
  <c r="W68" i="66"/>
  <c r="T68" i="66"/>
  <c r="W88" i="66"/>
  <c r="T88" i="66"/>
  <c r="W130" i="66"/>
  <c r="T130" i="66"/>
  <c r="T119" i="66"/>
  <c r="W119" i="66"/>
  <c r="F14" i="66"/>
  <c r="W94" i="66"/>
  <c r="T94" i="66"/>
  <c r="W79" i="66"/>
  <c r="T79" i="66"/>
  <c r="D14" i="66" s="1"/>
  <c r="W109" i="66"/>
  <c r="T109" i="66"/>
  <c r="W100" i="66"/>
  <c r="T100" i="66"/>
  <c r="W93" i="66"/>
  <c r="T93" i="66"/>
  <c r="W110" i="66"/>
  <c r="T110" i="66"/>
  <c r="W142" i="66"/>
  <c r="T142" i="66"/>
  <c r="T131" i="66"/>
  <c r="W131" i="66"/>
  <c r="W124" i="66"/>
  <c r="T124" i="66"/>
  <c r="W90" i="66"/>
  <c r="T90" i="66"/>
  <c r="W72" i="66"/>
  <c r="T72" i="66"/>
  <c r="W83" i="66"/>
  <c r="T83" i="66"/>
  <c r="W141" i="66"/>
  <c r="T141" i="66"/>
  <c r="W121" i="66"/>
  <c r="T121" i="66"/>
  <c r="W97" i="66"/>
  <c r="T97" i="66"/>
  <c r="W114" i="66"/>
  <c r="T114" i="66"/>
  <c r="W103" i="66"/>
  <c r="T103" i="66"/>
  <c r="T135" i="66"/>
  <c r="W135" i="66"/>
  <c r="W128" i="66"/>
  <c r="T128" i="66"/>
  <c r="W67" i="66"/>
  <c r="V70" i="66"/>
  <c r="V60" i="66" s="1"/>
  <c r="W70" i="66"/>
  <c r="W86" i="66"/>
  <c r="T86" i="66"/>
  <c r="W87" i="66"/>
  <c r="T87" i="66"/>
  <c r="W133" i="66"/>
  <c r="T133" i="66"/>
  <c r="W69" i="66"/>
  <c r="T69" i="66"/>
  <c r="W113" i="66"/>
  <c r="T113" i="66"/>
  <c r="W118" i="66"/>
  <c r="T118" i="66"/>
  <c r="W107" i="66"/>
  <c r="T107" i="66"/>
  <c r="T139" i="66"/>
  <c r="W139" i="66"/>
  <c r="W132" i="66"/>
  <c r="T132" i="66"/>
  <c r="V74" i="66"/>
  <c r="W74" i="66"/>
  <c r="W82" i="66"/>
  <c r="T82" i="66"/>
  <c r="W91" i="66"/>
  <c r="T91" i="66"/>
  <c r="W80" i="66"/>
  <c r="T80" i="66"/>
  <c r="W73" i="66"/>
  <c r="T73" i="66"/>
  <c r="W129" i="66"/>
  <c r="T129" i="66"/>
  <c r="W122" i="66"/>
  <c r="T122" i="66"/>
  <c r="W111" i="66"/>
  <c r="T111" i="66"/>
  <c r="W104" i="66"/>
  <c r="T104" i="66"/>
  <c r="W136" i="66"/>
  <c r="T136" i="66"/>
  <c r="X19" i="65"/>
  <c r="M70" i="65"/>
  <c r="O70" i="65" s="1"/>
  <c r="P70" i="65" s="1"/>
  <c r="M83" i="65"/>
  <c r="O83" i="65" s="1"/>
  <c r="P83" i="65" s="1"/>
  <c r="M71" i="65"/>
  <c r="O71" i="65" s="1"/>
  <c r="P71" i="65" s="1"/>
  <c r="M91" i="65"/>
  <c r="O91" i="65" s="1"/>
  <c r="P91" i="65" s="1"/>
  <c r="M102" i="65"/>
  <c r="O102" i="65" s="1"/>
  <c r="P102" i="65" s="1"/>
  <c r="M89" i="65"/>
  <c r="O89" i="65" s="1"/>
  <c r="P89" i="65" s="1"/>
  <c r="M105" i="65"/>
  <c r="O105" i="65" s="1"/>
  <c r="P105" i="65" s="1"/>
  <c r="M137" i="65"/>
  <c r="O137" i="65" s="1"/>
  <c r="P137" i="65" s="1"/>
  <c r="M134" i="65"/>
  <c r="O134" i="65" s="1"/>
  <c r="P134" i="65" s="1"/>
  <c r="M123" i="65"/>
  <c r="O123" i="65" s="1"/>
  <c r="P123" i="65" s="1"/>
  <c r="M90" i="65"/>
  <c r="O90" i="65" s="1"/>
  <c r="P90" i="65" s="1"/>
  <c r="M96" i="65"/>
  <c r="O96" i="65" s="1"/>
  <c r="P96" i="65" s="1"/>
  <c r="M140" i="65"/>
  <c r="O140" i="65" s="1"/>
  <c r="P140" i="65" s="1"/>
  <c r="M106" i="65"/>
  <c r="O106" i="65" s="1"/>
  <c r="P106" i="65" s="1"/>
  <c r="M93" i="65"/>
  <c r="O93" i="65" s="1"/>
  <c r="P93" i="65" s="1"/>
  <c r="M109" i="65"/>
  <c r="O109" i="65" s="1"/>
  <c r="P109" i="65" s="1"/>
  <c r="M141" i="65"/>
  <c r="O141" i="65" s="1"/>
  <c r="P141" i="65" s="1"/>
  <c r="M138" i="65"/>
  <c r="O138" i="65" s="1"/>
  <c r="P138" i="65" s="1"/>
  <c r="M127" i="65"/>
  <c r="O127" i="65" s="1"/>
  <c r="P127" i="65" s="1"/>
  <c r="M80" i="65"/>
  <c r="O80" i="65" s="1"/>
  <c r="P80" i="65" s="1"/>
  <c r="M94" i="65"/>
  <c r="O94" i="65" s="1"/>
  <c r="P94" i="65" s="1"/>
  <c r="M108" i="65"/>
  <c r="O108" i="65" s="1"/>
  <c r="P108" i="65" s="1"/>
  <c r="M95" i="65"/>
  <c r="O95" i="65" s="1"/>
  <c r="P95" i="65" s="1"/>
  <c r="M132" i="65"/>
  <c r="O132" i="65" s="1"/>
  <c r="P132" i="65" s="1"/>
  <c r="M97" i="65"/>
  <c r="O97" i="65" s="1"/>
  <c r="P97" i="65" s="1"/>
  <c r="M113" i="65"/>
  <c r="O113" i="65" s="1"/>
  <c r="P113" i="65" s="1"/>
  <c r="M110" i="65"/>
  <c r="O110" i="65" s="1"/>
  <c r="P110" i="65" s="1"/>
  <c r="M142" i="65"/>
  <c r="O142" i="65" s="1"/>
  <c r="P142" i="65" s="1"/>
  <c r="M131" i="65"/>
  <c r="O131" i="65" s="1"/>
  <c r="P131" i="65" s="1"/>
  <c r="M88" i="65"/>
  <c r="O88" i="65" s="1"/>
  <c r="P88" i="65" s="1"/>
  <c r="H86" i="65"/>
  <c r="Q86" i="65" s="1"/>
  <c r="I25" i="65" s="1"/>
  <c r="M74" i="65"/>
  <c r="O74" i="65" s="1"/>
  <c r="P74" i="65" s="1"/>
  <c r="M87" i="65"/>
  <c r="O87" i="65" s="1"/>
  <c r="P87" i="65" s="1"/>
  <c r="M86" i="65"/>
  <c r="O86" i="65" s="1"/>
  <c r="P86" i="65" s="1"/>
  <c r="M112" i="65"/>
  <c r="O112" i="65" s="1"/>
  <c r="P112" i="65" s="1"/>
  <c r="M124" i="65"/>
  <c r="O124" i="65" s="1"/>
  <c r="P124" i="65" s="1"/>
  <c r="M104" i="65"/>
  <c r="O104" i="65" s="1"/>
  <c r="P104" i="65" s="1"/>
  <c r="M117" i="65"/>
  <c r="O117" i="65" s="1"/>
  <c r="P117" i="65" s="1"/>
  <c r="M114" i="65"/>
  <c r="O114" i="65" s="1"/>
  <c r="P114" i="65" s="1"/>
  <c r="M103" i="65"/>
  <c r="O103" i="65" s="1"/>
  <c r="P103" i="65" s="1"/>
  <c r="M135" i="65"/>
  <c r="O135" i="65" s="1"/>
  <c r="P135" i="65" s="1"/>
  <c r="M84" i="65"/>
  <c r="O84" i="65" s="1"/>
  <c r="P84" i="65" s="1"/>
  <c r="M75" i="65"/>
  <c r="O75" i="65" s="1"/>
  <c r="P75" i="65" s="1"/>
  <c r="M92" i="65"/>
  <c r="O92" i="65" s="1"/>
  <c r="P92" i="65" s="1"/>
  <c r="M100" i="65"/>
  <c r="O100" i="65" s="1"/>
  <c r="P100" i="65" s="1"/>
  <c r="M65" i="65"/>
  <c r="O65" i="65" s="1"/>
  <c r="P65" i="65" s="1"/>
  <c r="M136" i="65"/>
  <c r="O136" i="65" s="1"/>
  <c r="P136" i="65" s="1"/>
  <c r="M116" i="65"/>
  <c r="O116" i="65" s="1"/>
  <c r="P116" i="65" s="1"/>
  <c r="M121" i="65"/>
  <c r="O121" i="65" s="1"/>
  <c r="P121" i="65" s="1"/>
  <c r="M118" i="65"/>
  <c r="O118" i="65" s="1"/>
  <c r="P118" i="65" s="1"/>
  <c r="M107" i="65"/>
  <c r="O107" i="65" s="1"/>
  <c r="P107" i="65" s="1"/>
  <c r="M139" i="65"/>
  <c r="O139" i="65" s="1"/>
  <c r="P139" i="65" s="1"/>
  <c r="M66" i="65"/>
  <c r="O66" i="65" s="1"/>
  <c r="P66" i="65" s="1"/>
  <c r="I64" i="65"/>
  <c r="M78" i="65"/>
  <c r="O78" i="65" s="1"/>
  <c r="P78" i="65" s="1"/>
  <c r="E27" i="65" s="1"/>
  <c r="M98" i="65"/>
  <c r="O98" i="65" s="1"/>
  <c r="P98" i="65" s="1"/>
  <c r="M64" i="65"/>
  <c r="O64" i="65" s="1"/>
  <c r="P64" i="65" s="1"/>
  <c r="M69" i="65"/>
  <c r="O69" i="65" s="1"/>
  <c r="P69" i="65" s="1"/>
  <c r="M77" i="65"/>
  <c r="O77" i="65" s="1"/>
  <c r="P77" i="65" s="1"/>
  <c r="M120" i="65"/>
  <c r="O120" i="65" s="1"/>
  <c r="P120" i="65" s="1"/>
  <c r="M125" i="65"/>
  <c r="O125" i="65" s="1"/>
  <c r="P125" i="65" s="1"/>
  <c r="M122" i="65"/>
  <c r="O122" i="65" s="1"/>
  <c r="P122" i="65" s="1"/>
  <c r="M111" i="65"/>
  <c r="O111" i="65" s="1"/>
  <c r="P111" i="65" s="1"/>
  <c r="X21" i="65"/>
  <c r="W70" i="65"/>
  <c r="T70" i="65"/>
  <c r="W110" i="65"/>
  <c r="T110" i="65"/>
  <c r="T135" i="65"/>
  <c r="W135" i="65"/>
  <c r="T83" i="65"/>
  <c r="W83" i="65"/>
  <c r="T69" i="65"/>
  <c r="W69" i="65"/>
  <c r="W68" i="65"/>
  <c r="T68" i="65"/>
  <c r="W101" i="65"/>
  <c r="T101" i="65"/>
  <c r="T90" i="65"/>
  <c r="W90" i="65"/>
  <c r="W114" i="65"/>
  <c r="T114" i="65"/>
  <c r="W107" i="65"/>
  <c r="T107" i="65"/>
  <c r="T139" i="65"/>
  <c r="W139" i="65"/>
  <c r="W132" i="65"/>
  <c r="T132" i="65"/>
  <c r="W100" i="65"/>
  <c r="T100" i="65"/>
  <c r="W63" i="65"/>
  <c r="W87" i="65"/>
  <c r="T87" i="65"/>
  <c r="W66" i="65"/>
  <c r="T66" i="65"/>
  <c r="W80" i="65"/>
  <c r="T80" i="65"/>
  <c r="T65" i="65"/>
  <c r="W65" i="65"/>
  <c r="W117" i="65"/>
  <c r="T117" i="65"/>
  <c r="T94" i="65"/>
  <c r="W94" i="65"/>
  <c r="W118" i="65"/>
  <c r="T118" i="65"/>
  <c r="T111" i="65"/>
  <c r="W111" i="65"/>
  <c r="W104" i="65"/>
  <c r="T104" i="65"/>
  <c r="W136" i="65"/>
  <c r="T136" i="65"/>
  <c r="F19" i="65"/>
  <c r="F23" i="65" s="1"/>
  <c r="F24" i="65" s="1"/>
  <c r="W91" i="65"/>
  <c r="W92" i="65"/>
  <c r="T92" i="65"/>
  <c r="W99" i="65"/>
  <c r="T99" i="65"/>
  <c r="W64" i="65"/>
  <c r="T64" i="65"/>
  <c r="T60" i="65" s="1"/>
  <c r="W95" i="65"/>
  <c r="T95" i="65"/>
  <c r="W141" i="65"/>
  <c r="T141" i="65"/>
  <c r="T98" i="65"/>
  <c r="W98" i="65"/>
  <c r="W122" i="65"/>
  <c r="T122" i="65"/>
  <c r="W115" i="65"/>
  <c r="T115" i="65"/>
  <c r="W108" i="65"/>
  <c r="T108" i="65"/>
  <c r="W140" i="65"/>
  <c r="T140" i="65"/>
  <c r="T79" i="65"/>
  <c r="W79" i="65"/>
  <c r="W96" i="65"/>
  <c r="T96" i="65"/>
  <c r="W97" i="65"/>
  <c r="T97" i="65"/>
  <c r="F14" i="65"/>
  <c r="V60" i="65"/>
  <c r="W93" i="65"/>
  <c r="T93" i="65"/>
  <c r="W133" i="65"/>
  <c r="T133" i="65"/>
  <c r="W137" i="65"/>
  <c r="T137" i="65"/>
  <c r="W126" i="65"/>
  <c r="T126" i="65"/>
  <c r="T119" i="65"/>
  <c r="W119" i="65"/>
  <c r="W112" i="65"/>
  <c r="T112" i="65"/>
  <c r="W67" i="65"/>
  <c r="W89" i="65"/>
  <c r="T81" i="65"/>
  <c r="W81" i="65"/>
  <c r="T86" i="65"/>
  <c r="W86" i="65"/>
  <c r="W142" i="65"/>
  <c r="T142" i="65"/>
  <c r="W128" i="65"/>
  <c r="T128" i="65"/>
  <c r="W121" i="65"/>
  <c r="T121" i="65"/>
  <c r="W84" i="65"/>
  <c r="T84" i="65"/>
  <c r="T77" i="65"/>
  <c r="W77" i="65"/>
  <c r="T75" i="65"/>
  <c r="W75" i="65"/>
  <c r="T74" i="65"/>
  <c r="W74" i="65"/>
  <c r="W125" i="65"/>
  <c r="T125" i="65"/>
  <c r="W130" i="65"/>
  <c r="T130" i="65"/>
  <c r="T123" i="65"/>
  <c r="W123" i="65"/>
  <c r="W116" i="65"/>
  <c r="T116" i="65"/>
  <c r="W113" i="65"/>
  <c r="T113" i="65"/>
  <c r="W102" i="65"/>
  <c r="T102" i="65"/>
  <c r="T127" i="65"/>
  <c r="W127" i="65"/>
  <c r="W85" i="65"/>
  <c r="T85" i="65"/>
  <c r="T78" i="65"/>
  <c r="W78" i="65"/>
  <c r="W134" i="65"/>
  <c r="T134" i="65"/>
  <c r="W120" i="65"/>
  <c r="T120" i="65"/>
  <c r="W109" i="65"/>
  <c r="T109" i="65"/>
  <c r="T103" i="65"/>
  <c r="W103" i="65"/>
  <c r="W76" i="65"/>
  <c r="T76" i="65"/>
  <c r="W88" i="65"/>
  <c r="T88" i="65"/>
  <c r="T73" i="65"/>
  <c r="W73" i="65"/>
  <c r="W72" i="65"/>
  <c r="T72" i="65"/>
  <c r="D14" i="65" s="1"/>
  <c r="T82" i="65"/>
  <c r="W82" i="65"/>
  <c r="W106" i="65"/>
  <c r="T106" i="65"/>
  <c r="W138" i="65"/>
  <c r="T138" i="65"/>
  <c r="T131" i="65"/>
  <c r="W131" i="65"/>
  <c r="W124" i="65"/>
  <c r="T124" i="65"/>
  <c r="W105" i="65"/>
  <c r="T105" i="65"/>
  <c r="X20" i="63"/>
  <c r="M84" i="63"/>
  <c r="O84" i="63" s="1"/>
  <c r="P84" i="63" s="1"/>
  <c r="M109" i="63"/>
  <c r="O109" i="63" s="1"/>
  <c r="P109" i="63" s="1"/>
  <c r="M138" i="63"/>
  <c r="O138" i="63" s="1"/>
  <c r="P138" i="63" s="1"/>
  <c r="M100" i="63"/>
  <c r="O100" i="63" s="1"/>
  <c r="P100" i="63" s="1"/>
  <c r="M117" i="63"/>
  <c r="O117" i="63" s="1"/>
  <c r="P117" i="63" s="1"/>
  <c r="M123" i="63"/>
  <c r="O123" i="63" s="1"/>
  <c r="P123" i="63" s="1"/>
  <c r="M93" i="63"/>
  <c r="O93" i="63" s="1"/>
  <c r="P93" i="63" s="1"/>
  <c r="M129" i="63"/>
  <c r="O129" i="63" s="1"/>
  <c r="P129" i="63" s="1"/>
  <c r="M127" i="63"/>
  <c r="O127" i="63" s="1"/>
  <c r="P127" i="63" s="1"/>
  <c r="M78" i="63"/>
  <c r="O78" i="63" s="1"/>
  <c r="P78" i="63" s="1"/>
  <c r="M83" i="63"/>
  <c r="O83" i="63" s="1"/>
  <c r="P83" i="63" s="1"/>
  <c r="M103" i="63"/>
  <c r="O103" i="63" s="1"/>
  <c r="P103" i="63" s="1"/>
  <c r="M66" i="63"/>
  <c r="O66" i="63" s="1"/>
  <c r="P66" i="63" s="1"/>
  <c r="M104" i="63"/>
  <c r="O104" i="63" s="1"/>
  <c r="P104" i="63" s="1"/>
  <c r="M141" i="63"/>
  <c r="O141" i="63" s="1"/>
  <c r="P141" i="63" s="1"/>
  <c r="M135" i="63"/>
  <c r="O135" i="63" s="1"/>
  <c r="P135" i="63" s="1"/>
  <c r="M67" i="63"/>
  <c r="O67" i="63" s="1"/>
  <c r="P67" i="63" s="1"/>
  <c r="M90" i="63"/>
  <c r="O90" i="63" s="1"/>
  <c r="P90" i="63" s="1"/>
  <c r="M124" i="63"/>
  <c r="O124" i="63" s="1"/>
  <c r="P124" i="63" s="1"/>
  <c r="M118" i="63"/>
  <c r="O118" i="63" s="1"/>
  <c r="P118" i="63" s="1"/>
  <c r="M88" i="63"/>
  <c r="O88" i="63" s="1"/>
  <c r="P88" i="63" s="1"/>
  <c r="M120" i="63"/>
  <c r="O120" i="63" s="1"/>
  <c r="P120" i="63" s="1"/>
  <c r="M125" i="63"/>
  <c r="O125" i="63" s="1"/>
  <c r="P125" i="63" s="1"/>
  <c r="M134" i="63"/>
  <c r="O134" i="63" s="1"/>
  <c r="P134" i="63" s="1"/>
  <c r="M139" i="63"/>
  <c r="O139" i="63" s="1"/>
  <c r="P139" i="63" s="1"/>
  <c r="M69" i="63"/>
  <c r="O69" i="63" s="1"/>
  <c r="P69" i="63" s="1"/>
  <c r="M95" i="63"/>
  <c r="O95" i="63" s="1"/>
  <c r="P95" i="63" s="1"/>
  <c r="M63" i="63"/>
  <c r="O63" i="63" s="1"/>
  <c r="P63" i="63" s="1"/>
  <c r="M87" i="63"/>
  <c r="O87" i="63" s="1"/>
  <c r="P87" i="63" s="1"/>
  <c r="M85" i="63"/>
  <c r="O85" i="63" s="1"/>
  <c r="P85" i="63" s="1"/>
  <c r="M136" i="63"/>
  <c r="O136" i="63" s="1"/>
  <c r="P136" i="63" s="1"/>
  <c r="M102" i="63"/>
  <c r="O102" i="63" s="1"/>
  <c r="P102" i="63" s="1"/>
  <c r="M107" i="63"/>
  <c r="O107" i="63" s="1"/>
  <c r="P107" i="63" s="1"/>
  <c r="M70" i="63"/>
  <c r="O70" i="63" s="1"/>
  <c r="P70" i="63" s="1"/>
  <c r="M91" i="63"/>
  <c r="O91" i="63" s="1"/>
  <c r="P91" i="63" s="1"/>
  <c r="M65" i="63"/>
  <c r="O65" i="63" s="1"/>
  <c r="P65" i="63" s="1"/>
  <c r="M89" i="63"/>
  <c r="O89" i="63" s="1"/>
  <c r="P89" i="63" s="1"/>
  <c r="M140" i="63"/>
  <c r="O140" i="63" s="1"/>
  <c r="P140" i="63" s="1"/>
  <c r="M106" i="63"/>
  <c r="O106" i="63" s="1"/>
  <c r="P106" i="63" s="1"/>
  <c r="M119" i="63"/>
  <c r="O119" i="63" s="1"/>
  <c r="P119" i="63" s="1"/>
  <c r="M92" i="63"/>
  <c r="O92" i="63" s="1"/>
  <c r="P92" i="63" s="1"/>
  <c r="M97" i="63"/>
  <c r="O97" i="63" s="1"/>
  <c r="P97" i="63" s="1"/>
  <c r="M132" i="63"/>
  <c r="O132" i="63" s="1"/>
  <c r="P132" i="63" s="1"/>
  <c r="M121" i="63"/>
  <c r="O121" i="63" s="1"/>
  <c r="P121" i="63" s="1"/>
  <c r="M110" i="63"/>
  <c r="O110" i="63" s="1"/>
  <c r="P110" i="63" s="1"/>
  <c r="M142" i="63"/>
  <c r="O142" i="63" s="1"/>
  <c r="P142" i="63" s="1"/>
  <c r="M131" i="63"/>
  <c r="O131" i="63" s="1"/>
  <c r="P131" i="63" s="1"/>
  <c r="M86" i="63"/>
  <c r="O86" i="63" s="1"/>
  <c r="P86" i="63" s="1"/>
  <c r="M98" i="63"/>
  <c r="O98" i="63" s="1"/>
  <c r="P98" i="63" s="1"/>
  <c r="X19" i="63"/>
  <c r="X21" i="63"/>
  <c r="M68" i="63"/>
  <c r="O68" i="63" s="1"/>
  <c r="P68" i="63" s="1"/>
  <c r="M77" i="63"/>
  <c r="O77" i="63" s="1"/>
  <c r="P77" i="63" s="1"/>
  <c r="M112" i="63"/>
  <c r="O112" i="63" s="1"/>
  <c r="P112" i="63" s="1"/>
  <c r="M101" i="63"/>
  <c r="O101" i="63" s="1"/>
  <c r="P101" i="63" s="1"/>
  <c r="M133" i="63"/>
  <c r="O133" i="63" s="1"/>
  <c r="P133" i="63" s="1"/>
  <c r="M122" i="63"/>
  <c r="O122" i="63" s="1"/>
  <c r="P122" i="63" s="1"/>
  <c r="M111" i="63"/>
  <c r="O111" i="63" s="1"/>
  <c r="P111" i="63" s="1"/>
  <c r="M75" i="63"/>
  <c r="O75" i="63" s="1"/>
  <c r="P75" i="63" s="1"/>
  <c r="M82" i="63"/>
  <c r="O82" i="63" s="1"/>
  <c r="P82" i="63" s="1"/>
  <c r="M94" i="63"/>
  <c r="O94" i="63" s="1"/>
  <c r="P94" i="63" s="1"/>
  <c r="M79" i="63"/>
  <c r="O79" i="63" s="1"/>
  <c r="P79" i="63" s="1"/>
  <c r="M72" i="63"/>
  <c r="O72" i="63" s="1"/>
  <c r="P72" i="63" s="1"/>
  <c r="M80" i="63"/>
  <c r="O80" i="63" s="1"/>
  <c r="P80" i="63" s="1"/>
  <c r="M81" i="63"/>
  <c r="O81" i="63" s="1"/>
  <c r="P81" i="63" s="1"/>
  <c r="M116" i="63"/>
  <c r="O116" i="63" s="1"/>
  <c r="P116" i="63" s="1"/>
  <c r="M105" i="63"/>
  <c r="O105" i="63" s="1"/>
  <c r="P105" i="63" s="1"/>
  <c r="M137" i="63"/>
  <c r="O137" i="63" s="1"/>
  <c r="P137" i="63" s="1"/>
  <c r="M126" i="63"/>
  <c r="O126" i="63" s="1"/>
  <c r="P126" i="63" s="1"/>
  <c r="M115" i="63"/>
  <c r="O115" i="63" s="1"/>
  <c r="P115" i="63" s="1"/>
  <c r="M74" i="63"/>
  <c r="O74" i="63" s="1"/>
  <c r="P74" i="63" s="1"/>
  <c r="M73" i="63"/>
  <c r="O73" i="63" s="1"/>
  <c r="P73" i="63" s="1"/>
  <c r="M71" i="63"/>
  <c r="O71" i="63" s="1"/>
  <c r="P71" i="63" s="1"/>
  <c r="W89" i="63"/>
  <c r="T89" i="63"/>
  <c r="W110" i="63"/>
  <c r="T110" i="63"/>
  <c r="F19" i="63"/>
  <c r="F23" i="63" s="1"/>
  <c r="F24" i="63" s="1"/>
  <c r="W87" i="63"/>
  <c r="T87" i="63"/>
  <c r="W75" i="63"/>
  <c r="T75" i="63"/>
  <c r="W68" i="63"/>
  <c r="T68" i="63"/>
  <c r="W93" i="63"/>
  <c r="T93" i="63"/>
  <c r="T98" i="63"/>
  <c r="W98" i="63"/>
  <c r="W125" i="63"/>
  <c r="T125" i="63"/>
  <c r="W114" i="63"/>
  <c r="T114" i="63"/>
  <c r="W103" i="63"/>
  <c r="T103" i="63"/>
  <c r="T135" i="63"/>
  <c r="W135" i="63"/>
  <c r="W128" i="63"/>
  <c r="T128" i="63"/>
  <c r="Y20" i="63"/>
  <c r="W11" i="63"/>
  <c r="W69" i="63"/>
  <c r="T94" i="63"/>
  <c r="W94" i="63"/>
  <c r="W121" i="63"/>
  <c r="T121" i="63"/>
  <c r="W142" i="63"/>
  <c r="T142" i="63"/>
  <c r="T131" i="63"/>
  <c r="W131" i="63"/>
  <c r="W124" i="63"/>
  <c r="T124" i="63"/>
  <c r="W83" i="63"/>
  <c r="T83" i="63"/>
  <c r="W77" i="63"/>
  <c r="T77" i="63"/>
  <c r="T91" i="63"/>
  <c r="W91" i="63"/>
  <c r="T97" i="63"/>
  <c r="W97" i="63"/>
  <c r="T99" i="63"/>
  <c r="W99" i="63"/>
  <c r="W129" i="63"/>
  <c r="T129" i="63"/>
  <c r="W118" i="63"/>
  <c r="T118" i="63"/>
  <c r="W107" i="63"/>
  <c r="T107" i="63"/>
  <c r="T139" i="63"/>
  <c r="W139" i="63"/>
  <c r="W132" i="63"/>
  <c r="T132" i="63"/>
  <c r="W92" i="63"/>
  <c r="T92" i="63"/>
  <c r="W74" i="63"/>
  <c r="T74" i="63"/>
  <c r="W101" i="63"/>
  <c r="T101" i="63"/>
  <c r="W133" i="63"/>
  <c r="T133" i="63"/>
  <c r="W122" i="63"/>
  <c r="T122" i="63"/>
  <c r="W111" i="63"/>
  <c r="T111" i="63"/>
  <c r="W104" i="63"/>
  <c r="T104" i="63"/>
  <c r="W136" i="63"/>
  <c r="T136" i="63"/>
  <c r="T71" i="63"/>
  <c r="W71" i="63"/>
  <c r="W100" i="63"/>
  <c r="T100" i="63"/>
  <c r="T67" i="63"/>
  <c r="W67" i="63"/>
  <c r="T66" i="63"/>
  <c r="W66" i="63"/>
  <c r="W76" i="63"/>
  <c r="T76" i="63"/>
  <c r="W88" i="63"/>
  <c r="T88" i="63"/>
  <c r="W64" i="63"/>
  <c r="T64" i="63"/>
  <c r="W78" i="63"/>
  <c r="T78" i="63"/>
  <c r="W105" i="63"/>
  <c r="T105" i="63"/>
  <c r="W137" i="63"/>
  <c r="T137" i="63"/>
  <c r="W126" i="63"/>
  <c r="T126" i="63"/>
  <c r="W115" i="63"/>
  <c r="T115" i="63"/>
  <c r="W108" i="63"/>
  <c r="T108" i="63"/>
  <c r="W140" i="63"/>
  <c r="T140" i="63"/>
  <c r="W73" i="63"/>
  <c r="I141" i="63"/>
  <c r="I137" i="63"/>
  <c r="I133" i="63"/>
  <c r="I129" i="63"/>
  <c r="I125" i="63"/>
  <c r="I121" i="63"/>
  <c r="I117" i="63"/>
  <c r="I113" i="63"/>
  <c r="I109" i="63"/>
  <c r="I105" i="63"/>
  <c r="H141" i="63"/>
  <c r="Q141" i="63" s="1"/>
  <c r="H137" i="63"/>
  <c r="Q137" i="63" s="1"/>
  <c r="H133" i="63"/>
  <c r="Q133" i="63" s="1"/>
  <c r="I140" i="63"/>
  <c r="I136" i="63"/>
  <c r="I132" i="63"/>
  <c r="I128" i="63"/>
  <c r="I124" i="63"/>
  <c r="I120" i="63"/>
  <c r="I116" i="63"/>
  <c r="I112" i="63"/>
  <c r="I108" i="63"/>
  <c r="I104" i="63"/>
  <c r="H140" i="63"/>
  <c r="Q140" i="63" s="1"/>
  <c r="H136" i="63"/>
  <c r="Q136" i="63" s="1"/>
  <c r="H132" i="63"/>
  <c r="Q132" i="63" s="1"/>
  <c r="H128" i="63"/>
  <c r="Q128" i="63" s="1"/>
  <c r="H124" i="63"/>
  <c r="Q124" i="63" s="1"/>
  <c r="H120" i="63"/>
  <c r="Q120" i="63" s="1"/>
  <c r="I139" i="63"/>
  <c r="I135" i="63"/>
  <c r="I131" i="63"/>
  <c r="I127" i="63"/>
  <c r="I123" i="63"/>
  <c r="I119" i="63"/>
  <c r="I115" i="63"/>
  <c r="I111" i="63"/>
  <c r="I107" i="63"/>
  <c r="I103" i="63"/>
  <c r="H139" i="63"/>
  <c r="Q139" i="63" s="1"/>
  <c r="H135" i="63"/>
  <c r="Q135" i="63" s="1"/>
  <c r="I142" i="63"/>
  <c r="I138" i="63"/>
  <c r="I134" i="63"/>
  <c r="I130" i="63"/>
  <c r="I126" i="63"/>
  <c r="I122" i="63"/>
  <c r="I118" i="63"/>
  <c r="I114" i="63"/>
  <c r="I110" i="63"/>
  <c r="I106" i="63"/>
  <c r="I102" i="63"/>
  <c r="H97" i="63"/>
  <c r="Q97" i="63" s="1"/>
  <c r="H93" i="63"/>
  <c r="Q93" i="63" s="1"/>
  <c r="H89" i="63"/>
  <c r="Q89" i="63" s="1"/>
  <c r="H130" i="63"/>
  <c r="Q130" i="63" s="1"/>
  <c r="H117" i="63"/>
  <c r="Q117" i="63" s="1"/>
  <c r="H113" i="63"/>
  <c r="Q113" i="63" s="1"/>
  <c r="H109" i="63"/>
  <c r="Q109" i="63" s="1"/>
  <c r="H105" i="63"/>
  <c r="Q105" i="63" s="1"/>
  <c r="I101" i="63"/>
  <c r="I100" i="63"/>
  <c r="H134" i="63"/>
  <c r="Q134" i="63" s="1"/>
  <c r="H131" i="63"/>
  <c r="Q131" i="63" s="1"/>
  <c r="H129" i="63"/>
  <c r="Q129" i="63" s="1"/>
  <c r="H127" i="63"/>
  <c r="Q127" i="63" s="1"/>
  <c r="H126" i="63"/>
  <c r="Q126" i="63" s="1"/>
  <c r="H101" i="63"/>
  <c r="Q101" i="63" s="1"/>
  <c r="H100" i="63"/>
  <c r="Q100" i="63" s="1"/>
  <c r="H96" i="63"/>
  <c r="Q96" i="63" s="1"/>
  <c r="H92" i="63"/>
  <c r="Q92" i="63" s="1"/>
  <c r="H88" i="63"/>
  <c r="Q88" i="63" s="1"/>
  <c r="H84" i="63"/>
  <c r="Q84" i="63" s="1"/>
  <c r="H142" i="63"/>
  <c r="Q142" i="63" s="1"/>
  <c r="H125" i="63"/>
  <c r="Q125" i="63" s="1"/>
  <c r="H123" i="63"/>
  <c r="Q123" i="63" s="1"/>
  <c r="H122" i="63"/>
  <c r="Q122" i="63" s="1"/>
  <c r="H116" i="63"/>
  <c r="Q116" i="63" s="1"/>
  <c r="H112" i="63"/>
  <c r="Q112" i="63" s="1"/>
  <c r="H108" i="63"/>
  <c r="Q108" i="63" s="1"/>
  <c r="H104" i="63"/>
  <c r="Q104" i="63" s="1"/>
  <c r="I99" i="63"/>
  <c r="I95" i="63"/>
  <c r="I91" i="63"/>
  <c r="I87" i="63"/>
  <c r="I83" i="63"/>
  <c r="I79" i="63"/>
  <c r="I75" i="63"/>
  <c r="H121" i="63"/>
  <c r="Q121" i="63" s="1"/>
  <c r="H99" i="63"/>
  <c r="Q99" i="63" s="1"/>
  <c r="H95" i="63"/>
  <c r="Q95" i="63" s="1"/>
  <c r="H119" i="63"/>
  <c r="Q119" i="63" s="1"/>
  <c r="H115" i="63"/>
  <c r="Q115" i="63" s="1"/>
  <c r="H111" i="63"/>
  <c r="Q111" i="63" s="1"/>
  <c r="H107" i="63"/>
  <c r="Q107" i="63" s="1"/>
  <c r="H103" i="63"/>
  <c r="Q103" i="63" s="1"/>
  <c r="I98" i="63"/>
  <c r="I94" i="63"/>
  <c r="I90" i="63"/>
  <c r="I86" i="63"/>
  <c r="I82" i="63"/>
  <c r="I93" i="63"/>
  <c r="I89" i="63"/>
  <c r="H87" i="63"/>
  <c r="Q87" i="63" s="1"/>
  <c r="H85" i="63"/>
  <c r="Q85" i="63" s="1"/>
  <c r="H73" i="63"/>
  <c r="Q73" i="63" s="1"/>
  <c r="H69" i="63"/>
  <c r="Q69" i="63" s="1"/>
  <c r="H65" i="63"/>
  <c r="Q65" i="63" s="1"/>
  <c r="H138" i="63"/>
  <c r="Q138" i="63" s="1"/>
  <c r="H83" i="63"/>
  <c r="Q83" i="63" s="1"/>
  <c r="I72" i="63"/>
  <c r="I68" i="63"/>
  <c r="I64" i="63"/>
  <c r="I92" i="63"/>
  <c r="H72" i="63"/>
  <c r="Q72" i="63" s="1"/>
  <c r="H68" i="63"/>
  <c r="Q68" i="63" s="1"/>
  <c r="H64" i="63"/>
  <c r="Q64" i="63" s="1"/>
  <c r="H114" i="63"/>
  <c r="Q114" i="63" s="1"/>
  <c r="H106" i="63"/>
  <c r="Q106" i="63" s="1"/>
  <c r="I97" i="63"/>
  <c r="I88" i="63"/>
  <c r="I84" i="63"/>
  <c r="I71" i="63"/>
  <c r="I67" i="63"/>
  <c r="I63" i="63"/>
  <c r="H98" i="63"/>
  <c r="Q98" i="63" s="1"/>
  <c r="I96" i="63"/>
  <c r="H86" i="63"/>
  <c r="Q86" i="63" s="1"/>
  <c r="I81" i="63"/>
  <c r="I80" i="63"/>
  <c r="I78" i="63"/>
  <c r="I77" i="63"/>
  <c r="I76" i="63"/>
  <c r="H71" i="63"/>
  <c r="Q71" i="63" s="1"/>
  <c r="H67" i="63"/>
  <c r="Q67" i="63" s="1"/>
  <c r="H63" i="63"/>
  <c r="Q63" i="63" s="1"/>
  <c r="H91" i="63"/>
  <c r="Q91" i="63" s="1"/>
  <c r="H81" i="63"/>
  <c r="Q81" i="63" s="1"/>
  <c r="H80" i="63"/>
  <c r="Q80" i="63" s="1"/>
  <c r="H79" i="63"/>
  <c r="Q79" i="63" s="1"/>
  <c r="H78" i="63"/>
  <c r="Q78" i="63" s="1"/>
  <c r="H77" i="63"/>
  <c r="Q77" i="63" s="1"/>
  <c r="H118" i="63"/>
  <c r="Q118" i="63" s="1"/>
  <c r="H110" i="63"/>
  <c r="Q110" i="63" s="1"/>
  <c r="H102" i="63"/>
  <c r="Q102" i="63" s="1"/>
  <c r="H94" i="63"/>
  <c r="Q94" i="63" s="1"/>
  <c r="H90" i="63"/>
  <c r="Q90" i="63" s="1"/>
  <c r="I85" i="63"/>
  <c r="H82" i="63"/>
  <c r="Q82" i="63" s="1"/>
  <c r="I73" i="63"/>
  <c r="I69" i="63"/>
  <c r="I65" i="63"/>
  <c r="I20" i="63"/>
  <c r="J20" i="63" s="1"/>
  <c r="H75" i="63"/>
  <c r="Q75" i="63" s="1"/>
  <c r="I70" i="63"/>
  <c r="H70" i="63"/>
  <c r="Q70" i="63" s="1"/>
  <c r="H76" i="63"/>
  <c r="Q76" i="63" s="1"/>
  <c r="I66" i="63"/>
  <c r="H66" i="63"/>
  <c r="Q66" i="63" s="1"/>
  <c r="I74" i="63"/>
  <c r="H74" i="63"/>
  <c r="Q74" i="63" s="1"/>
  <c r="T70" i="63"/>
  <c r="W70" i="63"/>
  <c r="W84" i="63"/>
  <c r="T84" i="63"/>
  <c r="V60" i="63"/>
  <c r="F14" i="63"/>
  <c r="W82" i="63"/>
  <c r="T82" i="63"/>
  <c r="W109" i="63"/>
  <c r="T109" i="63"/>
  <c r="W141" i="63"/>
  <c r="T141" i="63"/>
  <c r="W130" i="63"/>
  <c r="T130" i="63"/>
  <c r="W119" i="63"/>
  <c r="T119" i="63"/>
  <c r="W112" i="63"/>
  <c r="T112" i="63"/>
  <c r="T95" i="63"/>
  <c r="W95" i="63"/>
  <c r="T63" i="63"/>
  <c r="W63" i="63"/>
  <c r="W72" i="63"/>
  <c r="T72" i="63"/>
  <c r="W81" i="63"/>
  <c r="T81" i="63"/>
  <c r="T86" i="63"/>
  <c r="W86" i="63"/>
  <c r="W113" i="63"/>
  <c r="T113" i="63"/>
  <c r="W102" i="63"/>
  <c r="T102" i="63"/>
  <c r="W134" i="63"/>
  <c r="T134" i="63"/>
  <c r="W123" i="63"/>
  <c r="T123" i="63"/>
  <c r="W116" i="63"/>
  <c r="T116" i="63"/>
  <c r="W80" i="63"/>
  <c r="T80" i="63"/>
  <c r="W79" i="63"/>
  <c r="T79" i="63"/>
  <c r="T85" i="63"/>
  <c r="W85" i="63"/>
  <c r="T90" i="63"/>
  <c r="W90" i="63"/>
  <c r="W117" i="63"/>
  <c r="T117" i="63"/>
  <c r="W106" i="63"/>
  <c r="T106" i="63"/>
  <c r="W138" i="63"/>
  <c r="T138" i="63"/>
  <c r="W127" i="63"/>
  <c r="T127" i="63"/>
  <c r="W120" i="63"/>
  <c r="T120" i="63"/>
  <c r="G68" i="34"/>
  <c r="N68" i="34" s="1"/>
  <c r="G69" i="34"/>
  <c r="N69" i="34" s="1"/>
  <c r="G70" i="34"/>
  <c r="N70" i="34" s="1"/>
  <c r="G71" i="34"/>
  <c r="N71" i="34" s="1"/>
  <c r="G72" i="34"/>
  <c r="N72" i="34" s="1"/>
  <c r="R68" i="34"/>
  <c r="B68" i="34" s="1"/>
  <c r="R69" i="34"/>
  <c r="B69" i="34" s="1"/>
  <c r="R70" i="34"/>
  <c r="B70" i="34" s="1"/>
  <c r="R71" i="34"/>
  <c r="B71" i="34" s="1"/>
  <c r="R72" i="34"/>
  <c r="B72" i="34" s="1"/>
  <c r="E27" i="69" l="1"/>
  <c r="W60" i="70"/>
  <c r="W59" i="70" s="1"/>
  <c r="D14" i="70"/>
  <c r="E27" i="70"/>
  <c r="W60" i="69"/>
  <c r="W59" i="69" s="1"/>
  <c r="T60" i="69"/>
  <c r="D14" i="69"/>
  <c r="I25" i="69"/>
  <c r="F18" i="69"/>
  <c r="F16" i="69" s="1"/>
  <c r="F17" i="69"/>
  <c r="D14" i="68"/>
  <c r="T60" i="68"/>
  <c r="W60" i="68"/>
  <c r="W59" i="68" s="1"/>
  <c r="I25" i="68"/>
  <c r="F18" i="68"/>
  <c r="F16" i="68" s="1"/>
  <c r="F17" i="68"/>
  <c r="F18" i="66"/>
  <c r="F16" i="66" s="1"/>
  <c r="M63" i="66"/>
  <c r="O63" i="66" s="1"/>
  <c r="P63" i="66" s="1"/>
  <c r="M65" i="66"/>
  <c r="O65" i="66" s="1"/>
  <c r="P65" i="66" s="1"/>
  <c r="M86" i="66"/>
  <c r="O86" i="66" s="1"/>
  <c r="P86" i="66" s="1"/>
  <c r="M120" i="66"/>
  <c r="O120" i="66" s="1"/>
  <c r="P120" i="66" s="1"/>
  <c r="M72" i="66"/>
  <c r="O72" i="66" s="1"/>
  <c r="P72" i="66" s="1"/>
  <c r="M116" i="66"/>
  <c r="O116" i="66" s="1"/>
  <c r="P116" i="66" s="1"/>
  <c r="M121" i="66"/>
  <c r="O121" i="66" s="1"/>
  <c r="P121" i="66" s="1"/>
  <c r="M110" i="66"/>
  <c r="O110" i="66" s="1"/>
  <c r="P110" i="66" s="1"/>
  <c r="M142" i="66"/>
  <c r="O142" i="66" s="1"/>
  <c r="P142" i="66" s="1"/>
  <c r="M131" i="66"/>
  <c r="O131" i="66" s="1"/>
  <c r="P131" i="66" s="1"/>
  <c r="M90" i="66"/>
  <c r="O90" i="66" s="1"/>
  <c r="P90" i="66" s="1"/>
  <c r="M76" i="66"/>
  <c r="O76" i="66" s="1"/>
  <c r="P76" i="66" s="1"/>
  <c r="M125" i="66"/>
  <c r="O125" i="66" s="1"/>
  <c r="P125" i="66" s="1"/>
  <c r="M114" i="66"/>
  <c r="O114" i="66" s="1"/>
  <c r="P114" i="66" s="1"/>
  <c r="M66" i="66"/>
  <c r="O66" i="66" s="1"/>
  <c r="P66" i="66" s="1"/>
  <c r="M69" i="66"/>
  <c r="O69" i="66" s="1"/>
  <c r="P69" i="66" s="1"/>
  <c r="M75" i="66"/>
  <c r="O75" i="66" s="1"/>
  <c r="P75" i="66" s="1"/>
  <c r="M94" i="66"/>
  <c r="O94" i="66" s="1"/>
  <c r="P94" i="66" s="1"/>
  <c r="M83" i="66"/>
  <c r="O83" i="66" s="1"/>
  <c r="P83" i="66" s="1"/>
  <c r="M80" i="66"/>
  <c r="O80" i="66" s="1"/>
  <c r="P80" i="66" s="1"/>
  <c r="M124" i="66"/>
  <c r="O124" i="66" s="1"/>
  <c r="P124" i="66" s="1"/>
  <c r="M129" i="66"/>
  <c r="O129" i="66" s="1"/>
  <c r="P129" i="66" s="1"/>
  <c r="M118" i="66"/>
  <c r="O118" i="66" s="1"/>
  <c r="P118" i="66" s="1"/>
  <c r="M107" i="66"/>
  <c r="O107" i="66" s="1"/>
  <c r="P107" i="66" s="1"/>
  <c r="M139" i="66"/>
  <c r="O139" i="66" s="1"/>
  <c r="P139" i="66" s="1"/>
  <c r="M71" i="66"/>
  <c r="O71" i="66" s="1"/>
  <c r="P71" i="66" s="1"/>
  <c r="M103" i="66"/>
  <c r="O103" i="66" s="1"/>
  <c r="P103" i="66" s="1"/>
  <c r="W60" i="66"/>
  <c r="W59" i="66" s="1"/>
  <c r="M81" i="66"/>
  <c r="O81" i="66" s="1"/>
  <c r="P81" i="66" s="1"/>
  <c r="M73" i="66"/>
  <c r="O73" i="66" s="1"/>
  <c r="P73" i="66" s="1"/>
  <c r="M79" i="66"/>
  <c r="O79" i="66" s="1"/>
  <c r="P79" i="66" s="1"/>
  <c r="M98" i="66"/>
  <c r="O98" i="66" s="1"/>
  <c r="P98" i="66" s="1"/>
  <c r="M87" i="66"/>
  <c r="O87" i="66" s="1"/>
  <c r="P87" i="66" s="1"/>
  <c r="M84" i="66"/>
  <c r="O84" i="66" s="1"/>
  <c r="P84" i="66" s="1"/>
  <c r="M101" i="66"/>
  <c r="O101" i="66" s="1"/>
  <c r="P101" i="66" s="1"/>
  <c r="M133" i="66"/>
  <c r="O133" i="66" s="1"/>
  <c r="P133" i="66" s="1"/>
  <c r="M122" i="66"/>
  <c r="O122" i="66" s="1"/>
  <c r="P122" i="66" s="1"/>
  <c r="M111" i="66"/>
  <c r="O111" i="66" s="1"/>
  <c r="P111" i="66" s="1"/>
  <c r="M67" i="66"/>
  <c r="O67" i="66" s="1"/>
  <c r="P67" i="66" s="1"/>
  <c r="M140" i="66"/>
  <c r="O140" i="66" s="1"/>
  <c r="P140" i="66" s="1"/>
  <c r="M136" i="66"/>
  <c r="O136" i="66" s="1"/>
  <c r="P136" i="66" s="1"/>
  <c r="M135" i="66"/>
  <c r="O135" i="66" s="1"/>
  <c r="P135" i="66" s="1"/>
  <c r="M85" i="66"/>
  <c r="O85" i="66" s="1"/>
  <c r="P85" i="66" s="1"/>
  <c r="M77" i="66"/>
  <c r="O77" i="66" s="1"/>
  <c r="P77" i="66" s="1"/>
  <c r="M70" i="66"/>
  <c r="O70" i="66" s="1"/>
  <c r="P70" i="66" s="1"/>
  <c r="M104" i="66"/>
  <c r="O104" i="66" s="1"/>
  <c r="P104" i="66" s="1"/>
  <c r="M91" i="66"/>
  <c r="O91" i="66" s="1"/>
  <c r="P91" i="66" s="1"/>
  <c r="M88" i="66"/>
  <c r="O88" i="66" s="1"/>
  <c r="P88" i="66" s="1"/>
  <c r="M105" i="66"/>
  <c r="O105" i="66" s="1"/>
  <c r="P105" i="66" s="1"/>
  <c r="M137" i="66"/>
  <c r="O137" i="66" s="1"/>
  <c r="P137" i="66" s="1"/>
  <c r="M126" i="66"/>
  <c r="O126" i="66" s="1"/>
  <c r="P126" i="66" s="1"/>
  <c r="X19" i="66"/>
  <c r="X20" i="66"/>
  <c r="X21" i="66"/>
  <c r="M74" i="66"/>
  <c r="O74" i="66" s="1"/>
  <c r="P74" i="66" s="1"/>
  <c r="M108" i="66"/>
  <c r="O108" i="66" s="1"/>
  <c r="P108" i="66" s="1"/>
  <c r="M95" i="66"/>
  <c r="O95" i="66" s="1"/>
  <c r="P95" i="66" s="1"/>
  <c r="M92" i="66"/>
  <c r="O92" i="66" s="1"/>
  <c r="P92" i="66" s="1"/>
  <c r="M109" i="66"/>
  <c r="O109" i="66" s="1"/>
  <c r="P109" i="66" s="1"/>
  <c r="M141" i="66"/>
  <c r="O141" i="66" s="1"/>
  <c r="P141" i="66" s="1"/>
  <c r="M130" i="66"/>
  <c r="O130" i="66" s="1"/>
  <c r="P130" i="66" s="1"/>
  <c r="M119" i="66"/>
  <c r="O119" i="66" s="1"/>
  <c r="P119" i="66" s="1"/>
  <c r="M93" i="66"/>
  <c r="O93" i="66" s="1"/>
  <c r="P93" i="66" s="1"/>
  <c r="M64" i="66"/>
  <c r="O64" i="66" s="1"/>
  <c r="P64" i="66" s="1"/>
  <c r="M78" i="66"/>
  <c r="O78" i="66" s="1"/>
  <c r="P78" i="66" s="1"/>
  <c r="M132" i="66"/>
  <c r="O132" i="66" s="1"/>
  <c r="P132" i="66" s="1"/>
  <c r="M99" i="66"/>
  <c r="O99" i="66" s="1"/>
  <c r="P99" i="66" s="1"/>
  <c r="M96" i="66"/>
  <c r="O96" i="66" s="1"/>
  <c r="P96" i="66" s="1"/>
  <c r="M113" i="66"/>
  <c r="O113" i="66" s="1"/>
  <c r="P113" i="66" s="1"/>
  <c r="M102" i="66"/>
  <c r="O102" i="66" s="1"/>
  <c r="P102" i="66" s="1"/>
  <c r="M134" i="66"/>
  <c r="O134" i="66" s="1"/>
  <c r="P134" i="66" s="1"/>
  <c r="M123" i="66"/>
  <c r="O123" i="66" s="1"/>
  <c r="P123" i="66" s="1"/>
  <c r="M97" i="66"/>
  <c r="O97" i="66" s="1"/>
  <c r="P97" i="66" s="1"/>
  <c r="M68" i="66"/>
  <c r="O68" i="66" s="1"/>
  <c r="P68" i="66" s="1"/>
  <c r="M82" i="66"/>
  <c r="O82" i="66" s="1"/>
  <c r="P82" i="66" s="1"/>
  <c r="M112" i="66"/>
  <c r="O112" i="66" s="1"/>
  <c r="P112" i="66" s="1"/>
  <c r="M128" i="66"/>
  <c r="O128" i="66" s="1"/>
  <c r="P128" i="66" s="1"/>
  <c r="M100" i="66"/>
  <c r="O100" i="66" s="1"/>
  <c r="P100" i="66" s="1"/>
  <c r="M117" i="66"/>
  <c r="O117" i="66" s="1"/>
  <c r="P117" i="66" s="1"/>
  <c r="M106" i="66"/>
  <c r="O106" i="66" s="1"/>
  <c r="P106" i="66" s="1"/>
  <c r="M138" i="66"/>
  <c r="O138" i="66" s="1"/>
  <c r="P138" i="66" s="1"/>
  <c r="M127" i="66"/>
  <c r="O127" i="66" s="1"/>
  <c r="P127" i="66" s="1"/>
  <c r="F17" i="65"/>
  <c r="F18" i="65"/>
  <c r="F16" i="65" s="1"/>
  <c r="W60" i="65"/>
  <c r="W59" i="65" s="1"/>
  <c r="E27" i="63"/>
  <c r="F18" i="63"/>
  <c r="F16" i="63" s="1"/>
  <c r="F17" i="63"/>
  <c r="I25" i="63"/>
  <c r="W60" i="63"/>
  <c r="W59" i="63" s="1"/>
  <c r="T60" i="63"/>
  <c r="D14" i="63"/>
  <c r="R67" i="34"/>
  <c r="B67" i="34" s="1"/>
  <c r="G67" i="34"/>
  <c r="N67" i="34" s="1"/>
  <c r="R66" i="34"/>
  <c r="B66" i="34" s="1"/>
  <c r="G66" i="34"/>
  <c r="N66" i="34" s="1"/>
  <c r="R65" i="34"/>
  <c r="B65" i="34" s="1"/>
  <c r="G65" i="34"/>
  <c r="N65" i="34" s="1"/>
  <c r="R64" i="34"/>
  <c r="B64" i="34" s="1"/>
  <c r="G64" i="34"/>
  <c r="N64" i="34" s="1"/>
  <c r="R63" i="34"/>
  <c r="B63" i="34" s="1"/>
  <c r="G63" i="34"/>
  <c r="N63" i="34" s="1"/>
  <c r="AA62" i="34"/>
  <c r="X62" i="34"/>
  <c r="E19" i="34"/>
  <c r="D13" i="34"/>
  <c r="D12" i="34"/>
  <c r="D11" i="34"/>
  <c r="D10" i="34"/>
  <c r="D9" i="34"/>
  <c r="E8" i="34"/>
  <c r="X8" i="34" s="1"/>
  <c r="X39" i="34" s="1"/>
  <c r="X59" i="34" s="1"/>
  <c r="F7" i="34"/>
  <c r="D7" i="34"/>
  <c r="C6" i="34"/>
  <c r="E27" i="66" l="1"/>
  <c r="S100" i="34"/>
  <c r="S108" i="34"/>
  <c r="S116" i="34"/>
  <c r="S124" i="34"/>
  <c r="S132" i="34"/>
  <c r="S140" i="34"/>
  <c r="S101" i="34"/>
  <c r="S109" i="34"/>
  <c r="S117" i="34"/>
  <c r="S125" i="34"/>
  <c r="S133" i="34"/>
  <c r="S141" i="34"/>
  <c r="S102" i="34"/>
  <c r="S110" i="34"/>
  <c r="S118" i="34"/>
  <c r="S126" i="34"/>
  <c r="S134" i="34"/>
  <c r="S142" i="34"/>
  <c r="S103" i="34"/>
  <c r="S111" i="34"/>
  <c r="S119" i="34"/>
  <c r="S127" i="34"/>
  <c r="S135" i="34"/>
  <c r="S104" i="34"/>
  <c r="S112" i="34"/>
  <c r="S120" i="34"/>
  <c r="S128" i="34"/>
  <c r="S136" i="34"/>
  <c r="S105" i="34"/>
  <c r="S113" i="34"/>
  <c r="S121" i="34"/>
  <c r="S129" i="34"/>
  <c r="S137" i="34"/>
  <c r="S123" i="34"/>
  <c r="S130" i="34"/>
  <c r="S99" i="34"/>
  <c r="S131" i="34"/>
  <c r="S106" i="34"/>
  <c r="S138" i="34"/>
  <c r="S107" i="34"/>
  <c r="S139" i="34"/>
  <c r="S114" i="34"/>
  <c r="S115" i="34"/>
  <c r="S122" i="34"/>
  <c r="S73" i="34"/>
  <c r="S81" i="34"/>
  <c r="S89" i="34"/>
  <c r="S97" i="34"/>
  <c r="S76" i="34"/>
  <c r="S84" i="34"/>
  <c r="S92" i="34"/>
  <c r="S87" i="34"/>
  <c r="S80" i="34"/>
  <c r="S88" i="34"/>
  <c r="S96" i="34"/>
  <c r="S77" i="34"/>
  <c r="S85" i="34"/>
  <c r="S93" i="34"/>
  <c r="S78" i="34"/>
  <c r="S86" i="34"/>
  <c r="S94" i="34"/>
  <c r="S79" i="34"/>
  <c r="S95" i="34"/>
  <c r="S74" i="34"/>
  <c r="S75" i="34"/>
  <c r="S82" i="34"/>
  <c r="S83" i="34"/>
  <c r="S90" i="34"/>
  <c r="S98" i="34"/>
  <c r="S91" i="34"/>
  <c r="S68" i="34"/>
  <c r="S69" i="34"/>
  <c r="S70" i="34"/>
  <c r="S71" i="34"/>
  <c r="S72" i="34"/>
  <c r="I12" i="34"/>
  <c r="I18" i="34" s="1"/>
  <c r="I11" i="34"/>
  <c r="F12" i="34"/>
  <c r="E25" i="34" s="1"/>
  <c r="E22" i="34"/>
  <c r="F9" i="34"/>
  <c r="Y21" i="34" s="1"/>
  <c r="F13" i="34"/>
  <c r="E21" i="34"/>
  <c r="E23" i="34"/>
  <c r="E24" i="34" s="1"/>
  <c r="F10" i="34"/>
  <c r="E10" i="34" s="1"/>
  <c r="Y19" i="34" s="1"/>
  <c r="X25" i="34"/>
  <c r="X26" i="34" s="1"/>
  <c r="X29" i="34"/>
  <c r="Y29" i="34" s="1"/>
  <c r="F11" i="34"/>
  <c r="E11" i="34" s="1"/>
  <c r="E18" i="34"/>
  <c r="E16" i="34"/>
  <c r="S65" i="34"/>
  <c r="S66" i="34"/>
  <c r="I24" i="34"/>
  <c r="S63" i="34"/>
  <c r="S67" i="34"/>
  <c r="X30" i="34"/>
  <c r="Y30" i="34" s="1"/>
  <c r="S64" i="34"/>
  <c r="T137" i="34" l="1"/>
  <c r="T139" i="34"/>
  <c r="T129" i="34"/>
  <c r="T128" i="34"/>
  <c r="T127" i="34"/>
  <c r="T134" i="34"/>
  <c r="T141" i="34"/>
  <c r="T114" i="34"/>
  <c r="T136" i="34"/>
  <c r="T135" i="34"/>
  <c r="T142" i="34"/>
  <c r="T107" i="34"/>
  <c r="T130" i="34"/>
  <c r="T121" i="34"/>
  <c r="T120" i="34"/>
  <c r="T119" i="34"/>
  <c r="T126" i="34"/>
  <c r="T133" i="34"/>
  <c r="T140" i="34"/>
  <c r="T111" i="34"/>
  <c r="T118" i="34"/>
  <c r="T125" i="34"/>
  <c r="T132" i="34"/>
  <c r="T106" i="34"/>
  <c r="T123" i="34"/>
  <c r="T105" i="34"/>
  <c r="T104" i="34"/>
  <c r="T103" i="34"/>
  <c r="T110" i="34"/>
  <c r="T117" i="34"/>
  <c r="T124" i="34"/>
  <c r="T122" i="34"/>
  <c r="W122" i="34"/>
  <c r="T102" i="34"/>
  <c r="T109" i="34"/>
  <c r="T116" i="34"/>
  <c r="T113" i="34"/>
  <c r="J102" i="34"/>
  <c r="K102" i="34" s="1"/>
  <c r="L102" i="34" s="1"/>
  <c r="J110" i="34"/>
  <c r="K110" i="34" s="1"/>
  <c r="L110" i="34" s="1"/>
  <c r="J118" i="34"/>
  <c r="K118" i="34" s="1"/>
  <c r="L118" i="34" s="1"/>
  <c r="J126" i="34"/>
  <c r="K126" i="34" s="1"/>
  <c r="L126" i="34" s="1"/>
  <c r="J134" i="34"/>
  <c r="K134" i="34" s="1"/>
  <c r="L134" i="34" s="1"/>
  <c r="J142" i="34"/>
  <c r="K142" i="34" s="1"/>
  <c r="L142" i="34" s="1"/>
  <c r="J104" i="34"/>
  <c r="K104" i="34" s="1"/>
  <c r="L104" i="34" s="1"/>
  <c r="J112" i="34"/>
  <c r="K112" i="34" s="1"/>
  <c r="L112" i="34" s="1"/>
  <c r="J120" i="34"/>
  <c r="K120" i="34" s="1"/>
  <c r="L120" i="34" s="1"/>
  <c r="J128" i="34"/>
  <c r="K128" i="34" s="1"/>
  <c r="L128" i="34" s="1"/>
  <c r="J136" i="34"/>
  <c r="K136" i="34" s="1"/>
  <c r="L136" i="34" s="1"/>
  <c r="J105" i="34"/>
  <c r="K105" i="34" s="1"/>
  <c r="L105" i="34" s="1"/>
  <c r="J113" i="34"/>
  <c r="K113" i="34" s="1"/>
  <c r="L113" i="34" s="1"/>
  <c r="J121" i="34"/>
  <c r="K121" i="34" s="1"/>
  <c r="L121" i="34" s="1"/>
  <c r="J129" i="34"/>
  <c r="K129" i="34" s="1"/>
  <c r="L129" i="34" s="1"/>
  <c r="J137" i="34"/>
  <c r="K137" i="34" s="1"/>
  <c r="L137" i="34" s="1"/>
  <c r="J106" i="34"/>
  <c r="K106" i="34" s="1"/>
  <c r="L106" i="34" s="1"/>
  <c r="J114" i="34"/>
  <c r="K114" i="34" s="1"/>
  <c r="L114" i="34" s="1"/>
  <c r="J122" i="34"/>
  <c r="K122" i="34" s="1"/>
  <c r="L122" i="34" s="1"/>
  <c r="J130" i="34"/>
  <c r="K130" i="34" s="1"/>
  <c r="L130" i="34" s="1"/>
  <c r="J138" i="34"/>
  <c r="K138" i="34" s="1"/>
  <c r="L138" i="34" s="1"/>
  <c r="J101" i="34"/>
  <c r="K101" i="34" s="1"/>
  <c r="L101" i="34" s="1"/>
  <c r="J117" i="34"/>
  <c r="K117" i="34" s="1"/>
  <c r="L117" i="34" s="1"/>
  <c r="J133" i="34"/>
  <c r="K133" i="34" s="1"/>
  <c r="L133" i="34" s="1"/>
  <c r="J103" i="34"/>
  <c r="K103" i="34" s="1"/>
  <c r="L103" i="34" s="1"/>
  <c r="J119" i="34"/>
  <c r="K119" i="34" s="1"/>
  <c r="L119" i="34" s="1"/>
  <c r="J135" i="34"/>
  <c r="K135" i="34" s="1"/>
  <c r="L135" i="34" s="1"/>
  <c r="J107" i="34"/>
  <c r="K107" i="34" s="1"/>
  <c r="L107" i="34" s="1"/>
  <c r="J123" i="34"/>
  <c r="K123" i="34" s="1"/>
  <c r="L123" i="34" s="1"/>
  <c r="J139" i="34"/>
  <c r="K139" i="34" s="1"/>
  <c r="L139" i="34" s="1"/>
  <c r="J108" i="34"/>
  <c r="K108" i="34" s="1"/>
  <c r="L108" i="34" s="1"/>
  <c r="J124" i="34"/>
  <c r="K124" i="34" s="1"/>
  <c r="L124" i="34" s="1"/>
  <c r="J140" i="34"/>
  <c r="K140" i="34" s="1"/>
  <c r="L140" i="34" s="1"/>
  <c r="J109" i="34"/>
  <c r="K109" i="34" s="1"/>
  <c r="L109" i="34" s="1"/>
  <c r="J125" i="34"/>
  <c r="K125" i="34" s="1"/>
  <c r="L125" i="34" s="1"/>
  <c r="J141" i="34"/>
  <c r="K141" i="34" s="1"/>
  <c r="L141" i="34" s="1"/>
  <c r="J111" i="34"/>
  <c r="K111" i="34" s="1"/>
  <c r="L111" i="34" s="1"/>
  <c r="J127" i="34"/>
  <c r="K127" i="34" s="1"/>
  <c r="L127" i="34" s="1"/>
  <c r="J100" i="34"/>
  <c r="K100" i="34" s="1"/>
  <c r="L100" i="34" s="1"/>
  <c r="J115" i="34"/>
  <c r="K115" i="34" s="1"/>
  <c r="L115" i="34" s="1"/>
  <c r="J116" i="34"/>
  <c r="K116" i="34" s="1"/>
  <c r="L116" i="34" s="1"/>
  <c r="J131" i="34"/>
  <c r="K131" i="34" s="1"/>
  <c r="L131" i="34" s="1"/>
  <c r="J132" i="34"/>
  <c r="K132" i="34" s="1"/>
  <c r="L132" i="34" s="1"/>
  <c r="J99" i="34"/>
  <c r="K99" i="34" s="1"/>
  <c r="L99" i="34" s="1"/>
  <c r="T101" i="34"/>
  <c r="T108" i="34"/>
  <c r="T99" i="34"/>
  <c r="T138" i="34"/>
  <c r="T112" i="34"/>
  <c r="U100" i="34"/>
  <c r="V100" i="34" s="1"/>
  <c r="U108" i="34"/>
  <c r="V108" i="34" s="1"/>
  <c r="U116" i="34"/>
  <c r="V116" i="34" s="1"/>
  <c r="U124" i="34"/>
  <c r="V124" i="34" s="1"/>
  <c r="U132" i="34"/>
  <c r="V132" i="34" s="1"/>
  <c r="U140" i="34"/>
  <c r="V140" i="34" s="1"/>
  <c r="U102" i="34"/>
  <c r="V102" i="34" s="1"/>
  <c r="U110" i="34"/>
  <c r="V110" i="34" s="1"/>
  <c r="U118" i="34"/>
  <c r="V118" i="34" s="1"/>
  <c r="U126" i="34"/>
  <c r="V126" i="34" s="1"/>
  <c r="U134" i="34"/>
  <c r="V134" i="34" s="1"/>
  <c r="U142" i="34"/>
  <c r="V142" i="34" s="1"/>
  <c r="U103" i="34"/>
  <c r="V103" i="34" s="1"/>
  <c r="U111" i="34"/>
  <c r="V111" i="34" s="1"/>
  <c r="U119" i="34"/>
  <c r="V119" i="34" s="1"/>
  <c r="U127" i="34"/>
  <c r="V127" i="34" s="1"/>
  <c r="U135" i="34"/>
  <c r="V135" i="34" s="1"/>
  <c r="U104" i="34"/>
  <c r="V104" i="34" s="1"/>
  <c r="U112" i="34"/>
  <c r="V112" i="34" s="1"/>
  <c r="U120" i="34"/>
  <c r="V120" i="34" s="1"/>
  <c r="U128" i="34"/>
  <c r="V128" i="34" s="1"/>
  <c r="U136" i="34"/>
  <c r="V136" i="34" s="1"/>
  <c r="U105" i="34"/>
  <c r="V105" i="34" s="1"/>
  <c r="U113" i="34"/>
  <c r="V113" i="34" s="1"/>
  <c r="U121" i="34"/>
  <c r="V121" i="34" s="1"/>
  <c r="U129" i="34"/>
  <c r="V129" i="34" s="1"/>
  <c r="U137" i="34"/>
  <c r="V137" i="34" s="1"/>
  <c r="U117" i="34"/>
  <c r="V117" i="34" s="1"/>
  <c r="U139" i="34"/>
  <c r="V139" i="34" s="1"/>
  <c r="U131" i="34"/>
  <c r="V131" i="34" s="1"/>
  <c r="U99" i="34"/>
  <c r="V99" i="34" s="1"/>
  <c r="U122" i="34"/>
  <c r="V122" i="34" s="1"/>
  <c r="U141" i="34"/>
  <c r="V141" i="34" s="1"/>
  <c r="U101" i="34"/>
  <c r="V101" i="34" s="1"/>
  <c r="U123" i="34"/>
  <c r="V123" i="34" s="1"/>
  <c r="U106" i="34"/>
  <c r="V106" i="34" s="1"/>
  <c r="U125" i="34"/>
  <c r="V125" i="34" s="1"/>
  <c r="U107" i="34"/>
  <c r="V107" i="34" s="1"/>
  <c r="U130" i="34"/>
  <c r="V130" i="34" s="1"/>
  <c r="U114" i="34"/>
  <c r="V114" i="34" s="1"/>
  <c r="U133" i="34"/>
  <c r="V133" i="34" s="1"/>
  <c r="U115" i="34"/>
  <c r="V115" i="34" s="1"/>
  <c r="U138" i="34"/>
  <c r="V138" i="34" s="1"/>
  <c r="U109" i="34"/>
  <c r="V109" i="34" s="1"/>
  <c r="T115" i="34"/>
  <c r="T131" i="34"/>
  <c r="W131" i="34"/>
  <c r="W100" i="34"/>
  <c r="T100" i="34"/>
  <c r="T83" i="34"/>
  <c r="T78" i="34"/>
  <c r="T92" i="34"/>
  <c r="J73" i="34"/>
  <c r="K73" i="34" s="1"/>
  <c r="L73" i="34" s="1"/>
  <c r="J81" i="34"/>
  <c r="K81" i="34" s="1"/>
  <c r="L81" i="34" s="1"/>
  <c r="J89" i="34"/>
  <c r="K89" i="34" s="1"/>
  <c r="L89" i="34" s="1"/>
  <c r="J97" i="34"/>
  <c r="K97" i="34" s="1"/>
  <c r="L97" i="34" s="1"/>
  <c r="J82" i="34"/>
  <c r="K82" i="34" s="1"/>
  <c r="L82" i="34" s="1"/>
  <c r="J91" i="34"/>
  <c r="K91" i="34" s="1"/>
  <c r="L91" i="34" s="1"/>
  <c r="J76" i="34"/>
  <c r="K76" i="34" s="1"/>
  <c r="L76" i="34" s="1"/>
  <c r="J84" i="34"/>
  <c r="K84" i="34" s="1"/>
  <c r="L84" i="34" s="1"/>
  <c r="J92" i="34"/>
  <c r="K92" i="34" s="1"/>
  <c r="L92" i="34" s="1"/>
  <c r="J77" i="34"/>
  <c r="K77" i="34" s="1"/>
  <c r="L77" i="34" s="1"/>
  <c r="J85" i="34"/>
  <c r="K85" i="34" s="1"/>
  <c r="L85" i="34" s="1"/>
  <c r="J93" i="34"/>
  <c r="K93" i="34" s="1"/>
  <c r="L93" i="34" s="1"/>
  <c r="J78" i="34"/>
  <c r="K78" i="34" s="1"/>
  <c r="L78" i="34" s="1"/>
  <c r="J86" i="34"/>
  <c r="K86" i="34" s="1"/>
  <c r="L86" i="34" s="1"/>
  <c r="J94" i="34"/>
  <c r="K94" i="34" s="1"/>
  <c r="L94" i="34" s="1"/>
  <c r="J79" i="34"/>
  <c r="K79" i="34" s="1"/>
  <c r="L79" i="34" s="1"/>
  <c r="J87" i="34"/>
  <c r="K87" i="34" s="1"/>
  <c r="L87" i="34" s="1"/>
  <c r="J95" i="34"/>
  <c r="K95" i="34" s="1"/>
  <c r="L95" i="34" s="1"/>
  <c r="J74" i="34"/>
  <c r="K74" i="34" s="1"/>
  <c r="L74" i="34" s="1"/>
  <c r="J98" i="34"/>
  <c r="K98" i="34" s="1"/>
  <c r="L98" i="34" s="1"/>
  <c r="J75" i="34"/>
  <c r="K75" i="34" s="1"/>
  <c r="L75" i="34" s="1"/>
  <c r="J80" i="34"/>
  <c r="K80" i="34" s="1"/>
  <c r="L80" i="34" s="1"/>
  <c r="J88" i="34"/>
  <c r="K88" i="34" s="1"/>
  <c r="L88" i="34" s="1"/>
  <c r="J96" i="34"/>
  <c r="K96" i="34" s="1"/>
  <c r="L96" i="34" s="1"/>
  <c r="J90" i="34"/>
  <c r="K90" i="34" s="1"/>
  <c r="L90" i="34" s="1"/>
  <c r="J83" i="34"/>
  <c r="K83" i="34" s="1"/>
  <c r="L83" i="34" s="1"/>
  <c r="T82" i="34"/>
  <c r="T93" i="34"/>
  <c r="T84" i="34"/>
  <c r="U76" i="34"/>
  <c r="V76" i="34" s="1"/>
  <c r="U85" i="34"/>
  <c r="V85" i="34" s="1"/>
  <c r="U93" i="34"/>
  <c r="V93" i="34" s="1"/>
  <c r="U80" i="34"/>
  <c r="V80" i="34" s="1"/>
  <c r="U88" i="34"/>
  <c r="V88" i="34" s="1"/>
  <c r="U96" i="34"/>
  <c r="V96" i="34" s="1"/>
  <c r="U73" i="34"/>
  <c r="V73" i="34" s="1"/>
  <c r="U97" i="34"/>
  <c r="V97" i="34" s="1"/>
  <c r="U91" i="34"/>
  <c r="V91" i="34" s="1"/>
  <c r="U92" i="34"/>
  <c r="V92" i="34" s="1"/>
  <c r="U77" i="34"/>
  <c r="V77" i="34" s="1"/>
  <c r="U81" i="34"/>
  <c r="V81" i="34" s="1"/>
  <c r="U89" i="34"/>
  <c r="V89" i="34" s="1"/>
  <c r="U75" i="34"/>
  <c r="V75" i="34" s="1"/>
  <c r="U74" i="34"/>
  <c r="V74" i="34" s="1"/>
  <c r="U82" i="34"/>
  <c r="V82" i="34" s="1"/>
  <c r="U90" i="34"/>
  <c r="V90" i="34" s="1"/>
  <c r="U98" i="34"/>
  <c r="V98" i="34" s="1"/>
  <c r="U83" i="34"/>
  <c r="V83" i="34" s="1"/>
  <c r="U84" i="34"/>
  <c r="V84" i="34" s="1"/>
  <c r="U86" i="34"/>
  <c r="V86" i="34" s="1"/>
  <c r="U78" i="34"/>
  <c r="V78" i="34" s="1"/>
  <c r="U79" i="34"/>
  <c r="V79" i="34" s="1"/>
  <c r="U87" i="34"/>
  <c r="V87" i="34" s="1"/>
  <c r="U94" i="34"/>
  <c r="V94" i="34" s="1"/>
  <c r="U95" i="34"/>
  <c r="V95" i="34" s="1"/>
  <c r="T75" i="34"/>
  <c r="T85" i="34"/>
  <c r="T76" i="34"/>
  <c r="T90" i="34"/>
  <c r="W90" i="34"/>
  <c r="T87" i="34"/>
  <c r="T74" i="34"/>
  <c r="T77" i="34"/>
  <c r="T97" i="34"/>
  <c r="T95" i="34"/>
  <c r="T96" i="34"/>
  <c r="T89" i="34"/>
  <c r="T86" i="34"/>
  <c r="T91" i="34"/>
  <c r="W91" i="34"/>
  <c r="T79" i="34"/>
  <c r="T88" i="34"/>
  <c r="W81" i="34"/>
  <c r="T81" i="34"/>
  <c r="T98" i="34"/>
  <c r="T94" i="34"/>
  <c r="W94" i="34"/>
  <c r="W80" i="34"/>
  <c r="T80" i="34"/>
  <c r="T73" i="34"/>
  <c r="T72" i="34"/>
  <c r="U71" i="34"/>
  <c r="V71" i="34" s="1"/>
  <c r="U68" i="34"/>
  <c r="V68" i="34" s="1"/>
  <c r="U69" i="34"/>
  <c r="V69" i="34" s="1"/>
  <c r="U72" i="34"/>
  <c r="V72" i="34" s="1"/>
  <c r="U70" i="34"/>
  <c r="V70" i="34" s="1"/>
  <c r="T71" i="34"/>
  <c r="J72" i="34"/>
  <c r="K72" i="34" s="1"/>
  <c r="L72" i="34" s="1"/>
  <c r="J70" i="34"/>
  <c r="K70" i="34" s="1"/>
  <c r="L70" i="34" s="1"/>
  <c r="J68" i="34"/>
  <c r="K68" i="34" s="1"/>
  <c r="L68" i="34" s="1"/>
  <c r="J71" i="34"/>
  <c r="K71" i="34" s="1"/>
  <c r="L71" i="34" s="1"/>
  <c r="J69" i="34"/>
  <c r="K69" i="34" s="1"/>
  <c r="L69" i="34" s="1"/>
  <c r="T70" i="34"/>
  <c r="T69" i="34"/>
  <c r="T68" i="34"/>
  <c r="J63" i="34"/>
  <c r="K63" i="34" s="1"/>
  <c r="L63" i="34" s="1"/>
  <c r="E20" i="34"/>
  <c r="J18" i="34"/>
  <c r="J65" i="34"/>
  <c r="K65" i="34" s="1"/>
  <c r="L65" i="34" s="1"/>
  <c r="Y20" i="34"/>
  <c r="U67" i="34"/>
  <c r="V67" i="34" s="1"/>
  <c r="J67" i="34"/>
  <c r="K67" i="34" s="1"/>
  <c r="L67" i="34" s="1"/>
  <c r="J66" i="34"/>
  <c r="K66" i="34" s="1"/>
  <c r="L66" i="34" s="1"/>
  <c r="U64" i="34"/>
  <c r="V64" i="34" s="1"/>
  <c r="E26" i="34"/>
  <c r="M65" i="34" s="1"/>
  <c r="O65" i="34" s="1"/>
  <c r="P65" i="34" s="1"/>
  <c r="J64" i="34"/>
  <c r="K64" i="34" s="1"/>
  <c r="L64" i="34" s="1"/>
  <c r="U65" i="34"/>
  <c r="V65" i="34" s="1"/>
  <c r="U63" i="34"/>
  <c r="V63" i="34" s="1"/>
  <c r="U66" i="34"/>
  <c r="V66" i="34" s="1"/>
  <c r="I21" i="34"/>
  <c r="F20" i="34"/>
  <c r="T65" i="34"/>
  <c r="I67" i="34"/>
  <c r="T66" i="34"/>
  <c r="T63" i="34"/>
  <c r="T64" i="34"/>
  <c r="T67" i="34"/>
  <c r="W96" i="34" l="1"/>
  <c r="W136" i="34"/>
  <c r="W125" i="34"/>
  <c r="W116" i="34"/>
  <c r="W77" i="34"/>
  <c r="W86" i="34"/>
  <c r="W123" i="34"/>
  <c r="W121" i="34"/>
  <c r="W73" i="34"/>
  <c r="W74" i="34"/>
  <c r="W112" i="34"/>
  <c r="W133" i="34"/>
  <c r="W69" i="34"/>
  <c r="W88" i="34"/>
  <c r="W89" i="34"/>
  <c r="W110" i="34"/>
  <c r="W134" i="34"/>
  <c r="W79" i="34"/>
  <c r="W115" i="34"/>
  <c r="M98" i="34"/>
  <c r="O98" i="34" s="1"/>
  <c r="P98" i="34" s="1"/>
  <c r="M137" i="34"/>
  <c r="O137" i="34" s="1"/>
  <c r="P137" i="34" s="1"/>
  <c r="M111" i="34"/>
  <c r="O111" i="34" s="1"/>
  <c r="P111" i="34" s="1"/>
  <c r="M126" i="34"/>
  <c r="O126" i="34" s="1"/>
  <c r="P126" i="34" s="1"/>
  <c r="M133" i="34"/>
  <c r="O133" i="34" s="1"/>
  <c r="P133" i="34" s="1"/>
  <c r="M140" i="34"/>
  <c r="O140" i="34" s="1"/>
  <c r="P140" i="34" s="1"/>
  <c r="M120" i="34"/>
  <c r="O120" i="34" s="1"/>
  <c r="P120" i="34" s="1"/>
  <c r="M114" i="34"/>
  <c r="O114" i="34" s="1"/>
  <c r="P114" i="34" s="1"/>
  <c r="M113" i="34"/>
  <c r="O113" i="34" s="1"/>
  <c r="P113" i="34" s="1"/>
  <c r="M90" i="34"/>
  <c r="O90" i="34" s="1"/>
  <c r="P90" i="34" s="1"/>
  <c r="W108" i="34"/>
  <c r="M119" i="34"/>
  <c r="O119" i="34" s="1"/>
  <c r="P119" i="34" s="1"/>
  <c r="M121" i="34"/>
  <c r="O121" i="34" s="1"/>
  <c r="P121" i="34" s="1"/>
  <c r="M118" i="34"/>
  <c r="O118" i="34" s="1"/>
  <c r="P118" i="34" s="1"/>
  <c r="M125" i="34"/>
  <c r="O125" i="34" s="1"/>
  <c r="P125" i="34" s="1"/>
  <c r="M132" i="34"/>
  <c r="O132" i="34" s="1"/>
  <c r="P132" i="34" s="1"/>
  <c r="M106" i="34"/>
  <c r="O106" i="34" s="1"/>
  <c r="P106" i="34" s="1"/>
  <c r="M81" i="34"/>
  <c r="O81" i="34" s="1"/>
  <c r="P81" i="34" s="1"/>
  <c r="W101" i="34"/>
  <c r="W109" i="34"/>
  <c r="W106" i="34"/>
  <c r="W126" i="34"/>
  <c r="W130" i="34"/>
  <c r="M135" i="34"/>
  <c r="O135" i="34" s="1"/>
  <c r="P135" i="34" s="1"/>
  <c r="M131" i="34"/>
  <c r="O131" i="34" s="1"/>
  <c r="P131" i="34" s="1"/>
  <c r="M105" i="34"/>
  <c r="O105" i="34" s="1"/>
  <c r="P105" i="34" s="1"/>
  <c r="M110" i="34"/>
  <c r="O110" i="34" s="1"/>
  <c r="P110" i="34" s="1"/>
  <c r="M117" i="34"/>
  <c r="O117" i="34" s="1"/>
  <c r="P117" i="34" s="1"/>
  <c r="M124" i="34"/>
  <c r="O124" i="34" s="1"/>
  <c r="P124" i="34" s="1"/>
  <c r="W114" i="34"/>
  <c r="W139" i="34"/>
  <c r="M73" i="34"/>
  <c r="O73" i="34" s="1"/>
  <c r="P73" i="34" s="1"/>
  <c r="W103" i="34"/>
  <c r="W118" i="34"/>
  <c r="M115" i="34"/>
  <c r="O115" i="34" s="1"/>
  <c r="P115" i="34" s="1"/>
  <c r="M128" i="34"/>
  <c r="O128" i="34" s="1"/>
  <c r="P128" i="34" s="1"/>
  <c r="M138" i="34"/>
  <c r="O138" i="34" s="1"/>
  <c r="P138" i="34" s="1"/>
  <c r="M102" i="34"/>
  <c r="O102" i="34" s="1"/>
  <c r="P102" i="34" s="1"/>
  <c r="M109" i="34"/>
  <c r="O109" i="34" s="1"/>
  <c r="P109" i="34" s="1"/>
  <c r="M116" i="34"/>
  <c r="O116" i="34" s="1"/>
  <c r="P116" i="34" s="1"/>
  <c r="W127" i="34"/>
  <c r="M79" i="34"/>
  <c r="O79" i="34" s="1"/>
  <c r="P79" i="34" s="1"/>
  <c r="W138" i="34"/>
  <c r="W124" i="34"/>
  <c r="W104" i="34"/>
  <c r="W107" i="34"/>
  <c r="M104" i="34"/>
  <c r="O104" i="34" s="1"/>
  <c r="P104" i="34" s="1"/>
  <c r="M99" i="34"/>
  <c r="O99" i="34" s="1"/>
  <c r="P99" i="34" s="1"/>
  <c r="M112" i="34"/>
  <c r="O112" i="34" s="1"/>
  <c r="P112" i="34" s="1"/>
  <c r="M123" i="34"/>
  <c r="O123" i="34" s="1"/>
  <c r="P123" i="34" s="1"/>
  <c r="M101" i="34"/>
  <c r="O101" i="34" s="1"/>
  <c r="P101" i="34" s="1"/>
  <c r="M108" i="34"/>
  <c r="O108" i="34" s="1"/>
  <c r="P108" i="34" s="1"/>
  <c r="W128" i="34"/>
  <c r="M94" i="34"/>
  <c r="O94" i="34" s="1"/>
  <c r="P94" i="34" s="1"/>
  <c r="W93" i="34"/>
  <c r="W102" i="34"/>
  <c r="W111" i="34"/>
  <c r="W119" i="34"/>
  <c r="M107" i="34"/>
  <c r="O107" i="34" s="1"/>
  <c r="P107" i="34" s="1"/>
  <c r="M100" i="34"/>
  <c r="O100" i="34" s="1"/>
  <c r="P100" i="34" s="1"/>
  <c r="W142" i="34"/>
  <c r="W97" i="34"/>
  <c r="W99" i="34"/>
  <c r="W113" i="34"/>
  <c r="W117" i="34"/>
  <c r="W105" i="34"/>
  <c r="W132" i="34"/>
  <c r="W140" i="34"/>
  <c r="W120" i="34"/>
  <c r="M103" i="34"/>
  <c r="O103" i="34" s="1"/>
  <c r="P103" i="34" s="1"/>
  <c r="M139" i="34"/>
  <c r="O139" i="34" s="1"/>
  <c r="P139" i="34" s="1"/>
  <c r="M142" i="34"/>
  <c r="O142" i="34" s="1"/>
  <c r="P142" i="34" s="1"/>
  <c r="M130" i="34"/>
  <c r="O130" i="34" s="1"/>
  <c r="P130" i="34" s="1"/>
  <c r="W141" i="34"/>
  <c r="W129" i="34"/>
  <c r="W137" i="34"/>
  <c r="H101" i="34"/>
  <c r="Q101" i="34" s="1"/>
  <c r="H109" i="34"/>
  <c r="Q109" i="34" s="1"/>
  <c r="H117" i="34"/>
  <c r="Q117" i="34" s="1"/>
  <c r="H125" i="34"/>
  <c r="Q125" i="34" s="1"/>
  <c r="H133" i="34"/>
  <c r="Q133" i="34" s="1"/>
  <c r="H141" i="34"/>
  <c r="Q141" i="34" s="1"/>
  <c r="H102" i="34"/>
  <c r="Q102" i="34" s="1"/>
  <c r="H110" i="34"/>
  <c r="Q110" i="34" s="1"/>
  <c r="H118" i="34"/>
  <c r="Q118" i="34" s="1"/>
  <c r="H126" i="34"/>
  <c r="Q126" i="34" s="1"/>
  <c r="H134" i="34"/>
  <c r="Q134" i="34" s="1"/>
  <c r="H142" i="34"/>
  <c r="Q142" i="34" s="1"/>
  <c r="I106" i="34"/>
  <c r="I114" i="34"/>
  <c r="I122" i="34"/>
  <c r="I130" i="34"/>
  <c r="I138" i="34"/>
  <c r="H104" i="34"/>
  <c r="Q104" i="34" s="1"/>
  <c r="H112" i="34"/>
  <c r="Q112" i="34" s="1"/>
  <c r="H120" i="34"/>
  <c r="Q120" i="34" s="1"/>
  <c r="H128" i="34"/>
  <c r="Q128" i="34" s="1"/>
  <c r="H136" i="34"/>
  <c r="Q136" i="34" s="1"/>
  <c r="I100" i="34"/>
  <c r="I108" i="34"/>
  <c r="I116" i="34"/>
  <c r="I124" i="34"/>
  <c r="I132" i="34"/>
  <c r="I140" i="34"/>
  <c r="H105" i="34"/>
  <c r="Q105" i="34" s="1"/>
  <c r="H113" i="34"/>
  <c r="Q113" i="34" s="1"/>
  <c r="H121" i="34"/>
  <c r="Q121" i="34" s="1"/>
  <c r="H129" i="34"/>
  <c r="Q129" i="34" s="1"/>
  <c r="H137" i="34"/>
  <c r="Q137" i="34" s="1"/>
  <c r="I101" i="34"/>
  <c r="I109" i="34"/>
  <c r="I117" i="34"/>
  <c r="I125" i="34"/>
  <c r="I133" i="34"/>
  <c r="I141" i="34"/>
  <c r="H106" i="34"/>
  <c r="Q106" i="34" s="1"/>
  <c r="H114" i="34"/>
  <c r="Q114" i="34" s="1"/>
  <c r="H122" i="34"/>
  <c r="Q122" i="34" s="1"/>
  <c r="H130" i="34"/>
  <c r="Q130" i="34" s="1"/>
  <c r="H138" i="34"/>
  <c r="Q138" i="34" s="1"/>
  <c r="I102" i="34"/>
  <c r="I110" i="34"/>
  <c r="I118" i="34"/>
  <c r="I126" i="34"/>
  <c r="I134" i="34"/>
  <c r="I142" i="34"/>
  <c r="H111" i="34"/>
  <c r="Q111" i="34" s="1"/>
  <c r="H132" i="34"/>
  <c r="Q132" i="34" s="1"/>
  <c r="I105" i="34"/>
  <c r="I121" i="34"/>
  <c r="I137" i="34"/>
  <c r="H115" i="34"/>
  <c r="Q115" i="34" s="1"/>
  <c r="H135" i="34"/>
  <c r="Q135" i="34" s="1"/>
  <c r="I107" i="34"/>
  <c r="I123" i="34"/>
  <c r="I139" i="34"/>
  <c r="H116" i="34"/>
  <c r="Q116" i="34" s="1"/>
  <c r="H139" i="34"/>
  <c r="Q139" i="34" s="1"/>
  <c r="I111" i="34"/>
  <c r="I127" i="34"/>
  <c r="H99" i="34"/>
  <c r="Q99" i="34" s="1"/>
  <c r="H119" i="34"/>
  <c r="Q119" i="34" s="1"/>
  <c r="H140" i="34"/>
  <c r="Q140" i="34" s="1"/>
  <c r="I112" i="34"/>
  <c r="I128" i="34"/>
  <c r="H100" i="34"/>
  <c r="Q100" i="34" s="1"/>
  <c r="H123" i="34"/>
  <c r="Q123" i="34" s="1"/>
  <c r="I113" i="34"/>
  <c r="I129" i="34"/>
  <c r="H103" i="34"/>
  <c r="Q103" i="34" s="1"/>
  <c r="H124" i="34"/>
  <c r="Q124" i="34" s="1"/>
  <c r="I99" i="34"/>
  <c r="I115" i="34"/>
  <c r="I131" i="34"/>
  <c r="I104" i="34"/>
  <c r="H107" i="34"/>
  <c r="Q107" i="34" s="1"/>
  <c r="I119" i="34"/>
  <c r="H108" i="34"/>
  <c r="Q108" i="34" s="1"/>
  <c r="I120" i="34"/>
  <c r="H127" i="34"/>
  <c r="Q127" i="34" s="1"/>
  <c r="I135" i="34"/>
  <c r="H131" i="34"/>
  <c r="Q131" i="34" s="1"/>
  <c r="I136" i="34"/>
  <c r="I103" i="34"/>
  <c r="M136" i="34"/>
  <c r="O136" i="34" s="1"/>
  <c r="P136" i="34" s="1"/>
  <c r="M129" i="34"/>
  <c r="O129" i="34" s="1"/>
  <c r="P129" i="34" s="1"/>
  <c r="M127" i="34"/>
  <c r="O127" i="34" s="1"/>
  <c r="P127" i="34" s="1"/>
  <c r="M134" i="34"/>
  <c r="O134" i="34" s="1"/>
  <c r="P134" i="34" s="1"/>
  <c r="M141" i="34"/>
  <c r="O141" i="34" s="1"/>
  <c r="P141" i="34" s="1"/>
  <c r="M122" i="34"/>
  <c r="O122" i="34" s="1"/>
  <c r="P122" i="34" s="1"/>
  <c r="W135" i="34"/>
  <c r="M82" i="34"/>
  <c r="O82" i="34" s="1"/>
  <c r="P82" i="34" s="1"/>
  <c r="M93" i="34"/>
  <c r="O93" i="34" s="1"/>
  <c r="P93" i="34" s="1"/>
  <c r="M86" i="34"/>
  <c r="O86" i="34" s="1"/>
  <c r="P86" i="34" s="1"/>
  <c r="M74" i="34"/>
  <c r="O74" i="34" s="1"/>
  <c r="P74" i="34" s="1"/>
  <c r="M96" i="34"/>
  <c r="O96" i="34" s="1"/>
  <c r="P96" i="34" s="1"/>
  <c r="M78" i="34"/>
  <c r="O78" i="34" s="1"/>
  <c r="P78" i="34" s="1"/>
  <c r="W76" i="34"/>
  <c r="W84" i="34"/>
  <c r="W92" i="34"/>
  <c r="W98" i="34"/>
  <c r="M84" i="34"/>
  <c r="O84" i="34" s="1"/>
  <c r="P84" i="34" s="1"/>
  <c r="M88" i="34"/>
  <c r="O88" i="34" s="1"/>
  <c r="P88" i="34" s="1"/>
  <c r="M85" i="34"/>
  <c r="O85" i="34" s="1"/>
  <c r="P85" i="34" s="1"/>
  <c r="H77" i="34"/>
  <c r="Q77" i="34" s="1"/>
  <c r="H85" i="34"/>
  <c r="Q85" i="34" s="1"/>
  <c r="H93" i="34"/>
  <c r="Q93" i="34" s="1"/>
  <c r="I75" i="34"/>
  <c r="I83" i="34"/>
  <c r="I91" i="34"/>
  <c r="H95" i="34"/>
  <c r="Q95" i="34" s="1"/>
  <c r="I93" i="34"/>
  <c r="H80" i="34"/>
  <c r="Q80" i="34" s="1"/>
  <c r="H88" i="34"/>
  <c r="Q88" i="34" s="1"/>
  <c r="H96" i="34"/>
  <c r="Q96" i="34" s="1"/>
  <c r="I78" i="34"/>
  <c r="I86" i="34"/>
  <c r="I94" i="34"/>
  <c r="H73" i="34"/>
  <c r="Q73" i="34" s="1"/>
  <c r="H81" i="34"/>
  <c r="Q81" i="34" s="1"/>
  <c r="H89" i="34"/>
  <c r="Q89" i="34" s="1"/>
  <c r="H97" i="34"/>
  <c r="Q97" i="34" s="1"/>
  <c r="I79" i="34"/>
  <c r="I87" i="34"/>
  <c r="I95" i="34"/>
  <c r="H74" i="34"/>
  <c r="Q74" i="34" s="1"/>
  <c r="H82" i="34"/>
  <c r="Q82" i="34" s="1"/>
  <c r="H90" i="34"/>
  <c r="Q90" i="34" s="1"/>
  <c r="H98" i="34"/>
  <c r="Q98" i="34" s="1"/>
  <c r="I80" i="34"/>
  <c r="I88" i="34"/>
  <c r="I96" i="34"/>
  <c r="H86" i="34"/>
  <c r="Q86" i="34" s="1"/>
  <c r="I92" i="34"/>
  <c r="H79" i="34"/>
  <c r="Q79" i="34" s="1"/>
  <c r="I85" i="34"/>
  <c r="H75" i="34"/>
  <c r="Q75" i="34" s="1"/>
  <c r="H83" i="34"/>
  <c r="Q83" i="34" s="1"/>
  <c r="H91" i="34"/>
  <c r="Q91" i="34" s="1"/>
  <c r="I73" i="34"/>
  <c r="I81" i="34"/>
  <c r="I89" i="34"/>
  <c r="I97" i="34"/>
  <c r="I76" i="34"/>
  <c r="H76" i="34"/>
  <c r="Q76" i="34" s="1"/>
  <c r="H84" i="34"/>
  <c r="Q84" i="34" s="1"/>
  <c r="H92" i="34"/>
  <c r="Q92" i="34" s="1"/>
  <c r="I74" i="34"/>
  <c r="I82" i="34"/>
  <c r="I90" i="34"/>
  <c r="I98" i="34"/>
  <c r="H78" i="34"/>
  <c r="Q78" i="34" s="1"/>
  <c r="H94" i="34"/>
  <c r="Q94" i="34" s="1"/>
  <c r="I84" i="34"/>
  <c r="H87" i="34"/>
  <c r="Q87" i="34" s="1"/>
  <c r="I77" i="34"/>
  <c r="M76" i="34"/>
  <c r="O76" i="34" s="1"/>
  <c r="P76" i="34" s="1"/>
  <c r="M80" i="34"/>
  <c r="O80" i="34" s="1"/>
  <c r="P80" i="34" s="1"/>
  <c r="M91" i="34"/>
  <c r="O91" i="34" s="1"/>
  <c r="P91" i="34" s="1"/>
  <c r="W85" i="34"/>
  <c r="W78" i="34"/>
  <c r="M77" i="34"/>
  <c r="O77" i="34" s="1"/>
  <c r="P77" i="34" s="1"/>
  <c r="M97" i="34"/>
  <c r="O97" i="34" s="1"/>
  <c r="P97" i="34" s="1"/>
  <c r="M95" i="34"/>
  <c r="O95" i="34" s="1"/>
  <c r="P95" i="34" s="1"/>
  <c r="M83" i="34"/>
  <c r="O83" i="34" s="1"/>
  <c r="P83" i="34" s="1"/>
  <c r="W87" i="34"/>
  <c r="W75" i="34"/>
  <c r="W82" i="34"/>
  <c r="W83" i="34"/>
  <c r="M92" i="34"/>
  <c r="O92" i="34" s="1"/>
  <c r="P92" i="34" s="1"/>
  <c r="M89" i="34"/>
  <c r="O89" i="34" s="1"/>
  <c r="P89" i="34" s="1"/>
  <c r="M87" i="34"/>
  <c r="O87" i="34" s="1"/>
  <c r="P87" i="34" s="1"/>
  <c r="M75" i="34"/>
  <c r="O75" i="34" s="1"/>
  <c r="P75" i="34" s="1"/>
  <c r="W95" i="34"/>
  <c r="W68" i="34"/>
  <c r="W70" i="34"/>
  <c r="M68" i="34"/>
  <c r="O68" i="34" s="1"/>
  <c r="P68" i="34" s="1"/>
  <c r="M70" i="34"/>
  <c r="O70" i="34" s="1"/>
  <c r="P70" i="34" s="1"/>
  <c r="M72" i="34"/>
  <c r="O72" i="34" s="1"/>
  <c r="P72" i="34" s="1"/>
  <c r="M71" i="34"/>
  <c r="O71" i="34" s="1"/>
  <c r="P71" i="34" s="1"/>
  <c r="W71" i="34"/>
  <c r="W72" i="34"/>
  <c r="I63" i="34"/>
  <c r="I69" i="34"/>
  <c r="I70" i="34"/>
  <c r="H68" i="34"/>
  <c r="Q68" i="34" s="1"/>
  <c r="I71" i="34"/>
  <c r="H70" i="34"/>
  <c r="Q70" i="34" s="1"/>
  <c r="I68" i="34"/>
  <c r="H69" i="34"/>
  <c r="Q69" i="34" s="1"/>
  <c r="I72" i="34"/>
  <c r="H72" i="34"/>
  <c r="Q72" i="34" s="1"/>
  <c r="H71" i="34"/>
  <c r="Q71" i="34" s="1"/>
  <c r="M69" i="34"/>
  <c r="O69" i="34" s="1"/>
  <c r="P69" i="34" s="1"/>
  <c r="H64" i="34"/>
  <c r="Q64" i="34" s="1"/>
  <c r="I64" i="34"/>
  <c r="F19" i="34"/>
  <c r="F23" i="34" s="1"/>
  <c r="F24" i="34" s="1"/>
  <c r="W11" i="34"/>
  <c r="W10" i="34"/>
  <c r="I20" i="34"/>
  <c r="J20" i="34" s="1"/>
  <c r="I66" i="34"/>
  <c r="H65" i="34"/>
  <c r="Q65" i="34" s="1"/>
  <c r="I65" i="34"/>
  <c r="H67" i="34"/>
  <c r="Q67" i="34" s="1"/>
  <c r="H66" i="34"/>
  <c r="Q66" i="34" s="1"/>
  <c r="H63" i="34"/>
  <c r="Q63" i="34" s="1"/>
  <c r="W67" i="34"/>
  <c r="F14" i="34"/>
  <c r="W66" i="34"/>
  <c r="W64" i="34"/>
  <c r="M63" i="34"/>
  <c r="O63" i="34" s="1"/>
  <c r="P63" i="34" s="1"/>
  <c r="V60" i="34"/>
  <c r="M66" i="34"/>
  <c r="O66" i="34" s="1"/>
  <c r="P66" i="34" s="1"/>
  <c r="W63" i="34"/>
  <c r="W65" i="34"/>
  <c r="J21" i="34"/>
  <c r="M67" i="34"/>
  <c r="O67" i="34" s="1"/>
  <c r="P67" i="34" s="1"/>
  <c r="M64" i="34"/>
  <c r="O64" i="34" s="1"/>
  <c r="P64" i="34" s="1"/>
  <c r="X20" i="34"/>
  <c r="X21" i="34"/>
  <c r="X19" i="34"/>
  <c r="D14" i="34"/>
  <c r="T60" i="34"/>
  <c r="F17" i="34" l="1"/>
  <c r="F18" i="34"/>
  <c r="F16" i="34" s="1"/>
  <c r="I25" i="34"/>
  <c r="W60" i="34"/>
  <c r="W59" i="34" s="1"/>
  <c r="E27" i="3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Dardenne</author>
    <author>Pierre Dardenne</author>
    <author>Pierre DARDENNE</author>
    <author>dardenne</author>
  </authors>
  <commentList>
    <comment ref="W1" authorId="0" shapeId="0" xr:uid="{0808A772-0AC1-4BB9-B386-BB0FF4E57F31}">
      <text>
        <r>
          <rPr>
            <b/>
            <sz val="8"/>
            <color indexed="81"/>
            <rFont val="Tahoma"/>
            <family val="2"/>
          </rPr>
          <t xml:space="preserve">
DO NOT CHANGE ANY FORMULA
ONLY COPY PASTE Sample Number Yvar and Xvar at the position C60 , D60 and F60 (or 59 if the variable names are included) repectively 
ALL THE CALCULATIONS WOULD BE DONE !! 
if the autolabbeling is wrong, 
- delete the labels, 
- verify the column to be used as spl ID
DELETE the empty lines to update  the graph or the lines with 0.0 as REF and /or PRED
reload XY Chart Labels and Add the chosen column into the field (the update of the graph can take several seconds ...... be patient ! 
subroutines needed (add-ins) to be installed in excel 2007 addins
       autochart.xla
       XYchartlabeler.xla (XYChartLabeler.exe) 
REGRESSION LINES :
                 </t>
        </r>
        <r>
          <rPr>
            <b/>
            <sz val="8"/>
            <color indexed="10"/>
            <rFont val="Tahoma"/>
            <family val="2"/>
          </rPr>
          <t>RED</t>
        </r>
        <r>
          <rPr>
            <b/>
            <sz val="8"/>
            <color indexed="81"/>
            <rFont val="Tahoma"/>
            <family val="2"/>
          </rPr>
          <t xml:space="preserve">   :  45 ° line  
                 </t>
        </r>
        <r>
          <rPr>
            <b/>
            <sz val="8"/>
            <color indexed="12"/>
            <rFont val="Tahoma"/>
            <family val="2"/>
          </rPr>
          <t>BLUE</t>
        </r>
        <r>
          <rPr>
            <b/>
            <sz val="8"/>
            <color indexed="81"/>
            <rFont val="Tahoma"/>
            <family val="2"/>
          </rPr>
          <t xml:space="preserve"> :  45° line bias correction 
                 BLACK : trend line y=a+b.x
                 </t>
        </r>
        <r>
          <rPr>
            <b/>
            <sz val="8"/>
            <color indexed="52"/>
            <rFont val="Tahoma"/>
            <family val="2"/>
          </rPr>
          <t>ORANGE</t>
        </r>
        <r>
          <rPr>
            <b/>
            <sz val="8"/>
            <color indexed="81"/>
            <rFont val="Tahoma"/>
            <family val="2"/>
          </rPr>
          <t xml:space="preserve"> : least rectangles (y(x),x(y))
The autochart labeller has a problem when adding or deleting samples 
if you add or delete line (s), remove the labekking of the points, add or remove lines
(to add, fisrt insert and copy only SPL ID , Yref and Xnirs) 
after adding or deleting, click XYxhart Labels and enter a new vector to be added in the graph. 
     </t>
        </r>
      </text>
    </comment>
    <comment ref="C3" authorId="1" shapeId="0" xr:uid="{5819A302-1FC7-4339-B7FC-D6D48F8FAE01}">
      <text>
        <r>
          <rPr>
            <b/>
            <sz val="9"/>
            <color indexed="81"/>
            <rFont val="Tahoma"/>
            <family val="2"/>
          </rPr>
          <t>Pierre Dardenne:</t>
        </r>
        <r>
          <rPr>
            <sz val="9"/>
            <color indexed="81"/>
            <rFont val="Tahoma"/>
            <family val="2"/>
          </rPr>
          <t xml:space="preserve">
this title is auto reported in the graph 
</t>
        </r>
      </text>
    </comment>
    <comment ref="F18" authorId="2" shapeId="0" xr:uid="{4B5C93F4-6B34-41D8-8420-770C7163287F}">
      <text>
        <r>
          <rPr>
            <sz val="11"/>
            <color indexed="81"/>
            <rFont val="Tahoma"/>
            <family val="2"/>
          </rPr>
          <t xml:space="preserve">
Median of Absolute Deviation of the residuals corrected for bias
for a normal distribution
MAD*1.4826 = STD 
MAD represents a robust estimation of the errrors </t>
        </r>
      </text>
    </comment>
    <comment ref="H18" authorId="3" shapeId="0" xr:uid="{AB9CBB17-16B6-4A33-83EE-DA69C8355B4F}">
      <text>
        <r>
          <rPr>
            <sz val="9"/>
            <color indexed="81"/>
            <rFont val="Tahoma"/>
            <family val="2"/>
          </rPr>
          <t xml:space="preserve">UNCERTAINTY CONFIDENCE LIMIT ACCORDING ISO 12099
if the SEPC is &lt; this value, the calibration is working well
if the SEPC is &gt; this value, the calibration must be updated or the ref values rechecked (or the NIR values) </t>
        </r>
      </text>
    </comment>
    <comment ref="F19" authorId="2" shapeId="0" xr:uid="{DAAC0E77-817F-4D70-9B14-1FB4DF2E731D}">
      <text>
        <r>
          <rPr>
            <sz val="11"/>
            <color indexed="81"/>
            <rFont val="Tahoma"/>
            <family val="2"/>
          </rPr>
          <t xml:space="preserve">Median of Absolute Deviation of the residuals of the regression y=a+b.x
for a normal distribution
MAD*1.4826 = STD 
MAD represents a robust estimation of the errors 
</t>
        </r>
      </text>
    </comment>
    <comment ref="H20" authorId="3" shapeId="0" xr:uid="{B6C0243B-0AA2-4BA7-AB7C-601C4A9E22BA}">
      <text>
        <r>
          <rPr>
            <sz val="9"/>
            <color indexed="81"/>
            <rFont val="Tahoma"/>
            <family val="2"/>
          </rPr>
          <t xml:space="preserve">Tobs on BIAS ACCORDING ISO12099
</t>
        </r>
      </text>
    </comment>
    <comment ref="H21" authorId="3" shapeId="0" xr:uid="{B162C0A6-8689-48EC-8887-77BC1717CE2C}">
      <text>
        <r>
          <rPr>
            <sz val="16"/>
            <color indexed="81"/>
            <rFont val="Tahoma"/>
            <family val="2"/>
          </rPr>
          <t>T obs  on the slope according ISO 12099</t>
        </r>
        <r>
          <rPr>
            <sz val="9"/>
            <color indexed="81"/>
            <rFont val="Tahoma"/>
            <family val="2"/>
          </rPr>
          <t xml:space="preserve">
</t>
        </r>
      </text>
    </comment>
    <comment ref="C25" authorId="0" shapeId="0" xr:uid="{548EF4AD-057B-4022-A3F6-5CFC7BEFFE25}">
      <text>
        <r>
          <rPr>
            <b/>
            <sz val="8"/>
            <color indexed="81"/>
            <rFont val="Tahoma"/>
            <family val="2"/>
          </rPr>
          <t>Dardenne:</t>
        </r>
        <r>
          <rPr>
            <sz val="8"/>
            <color indexed="81"/>
            <rFont val="Tahoma"/>
            <family val="2"/>
          </rPr>
          <t xml:space="preserve">
b=sy/sx
inter=ybar-b.xbar
</t>
        </r>
      </text>
    </comment>
    <comment ref="D61" authorId="1" shapeId="0" xr:uid="{69B64855-5CF7-4C2E-9DD3-66CFD1FE5E80}">
      <text>
        <r>
          <rPr>
            <b/>
            <sz val="9"/>
            <color indexed="81"/>
            <rFont val="Tahoma"/>
            <family val="2"/>
          </rPr>
          <t>Pierre Dardenne:</t>
        </r>
        <r>
          <rPr>
            <sz val="9"/>
            <color indexed="81"/>
            <rFont val="Tahoma"/>
            <family val="2"/>
          </rPr>
          <t xml:space="preserve">
the Y title is auto reported in the graph 
</t>
        </r>
      </text>
    </comment>
    <comment ref="F61" authorId="1" shapeId="0" xr:uid="{FF5D90B5-90C7-48B9-894E-8DE749FEFDAA}">
      <text>
        <r>
          <rPr>
            <b/>
            <sz val="9"/>
            <color indexed="81"/>
            <rFont val="Tahoma"/>
            <family val="2"/>
          </rPr>
          <t>Pierre Dardenne:</t>
        </r>
        <r>
          <rPr>
            <sz val="9"/>
            <color indexed="81"/>
            <rFont val="Tahoma"/>
            <family val="2"/>
          </rPr>
          <t xml:space="preserve">
the X title is auto reported in the graph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Dardenne</author>
    <author>Pierre Dardenne</author>
    <author>Pierre DARDENNE</author>
    <author>dardenne</author>
  </authors>
  <commentList>
    <comment ref="W1" authorId="0" shapeId="0" xr:uid="{D7647EEC-C2B3-4894-83D7-8454D794608B}">
      <text>
        <r>
          <rPr>
            <b/>
            <sz val="8"/>
            <color indexed="81"/>
            <rFont val="Tahoma"/>
            <family val="2"/>
          </rPr>
          <t xml:space="preserve">
DO NOT CHANGE ANY FORMULA
ONLY COPY PASTE Sample Number Yvar and Xvar at the position C60 , D60 and F60 (or 59 if the variable names are included) repectively 
ALL THE CALCULATIONS WOULD BE DONE !! 
if the autolabbeling is wrong, 
- delete the labels, 
- verify the column to be used as spl ID
DELETE the empty lines to update  the graph or the lines with 0.0 as REF and /or PRED
reload XY Chart Labels and Add the chosen column into the field (the update of the graph can take several seconds ...... be patient ! 
subroutines needed (add-ins) to be installed in excel 2007 addins
       autochart.xla
       XYchartlabeler.xla (XYChartLabeler.exe) 
REGRESSION LINES :
                 </t>
        </r>
        <r>
          <rPr>
            <b/>
            <sz val="8"/>
            <color indexed="10"/>
            <rFont val="Tahoma"/>
            <family val="2"/>
          </rPr>
          <t>RED</t>
        </r>
        <r>
          <rPr>
            <b/>
            <sz val="8"/>
            <color indexed="81"/>
            <rFont val="Tahoma"/>
            <family val="2"/>
          </rPr>
          <t xml:space="preserve">   :  45 ° line  
                 </t>
        </r>
        <r>
          <rPr>
            <b/>
            <sz val="8"/>
            <color indexed="12"/>
            <rFont val="Tahoma"/>
            <family val="2"/>
          </rPr>
          <t>BLUE</t>
        </r>
        <r>
          <rPr>
            <b/>
            <sz val="8"/>
            <color indexed="81"/>
            <rFont val="Tahoma"/>
            <family val="2"/>
          </rPr>
          <t xml:space="preserve"> :  45° line bias correction 
                 BLACK : trend line y=a+b.x
                 </t>
        </r>
        <r>
          <rPr>
            <b/>
            <sz val="8"/>
            <color indexed="52"/>
            <rFont val="Tahoma"/>
            <family val="2"/>
          </rPr>
          <t>ORANGE</t>
        </r>
        <r>
          <rPr>
            <b/>
            <sz val="8"/>
            <color indexed="81"/>
            <rFont val="Tahoma"/>
            <family val="2"/>
          </rPr>
          <t xml:space="preserve"> : least rectangles (y(x),x(y))
The autochart labeller has a problem when adding or deleting samples 
if you add or delete line (s), remove the labekking of the points, add or remove lines
(to add, fisrt insert and copy only SPL ID , Yref and Xnirs) 
after adding or deleting, click XYxhart Labels and enter a new vector to be added in the graph. 
     </t>
        </r>
      </text>
    </comment>
    <comment ref="C3" authorId="1" shapeId="0" xr:uid="{405BB1CA-6B89-49ED-B2FE-5559A3829F95}">
      <text>
        <r>
          <rPr>
            <b/>
            <sz val="9"/>
            <color indexed="81"/>
            <rFont val="Tahoma"/>
            <family val="2"/>
          </rPr>
          <t>Pierre Dardenne:</t>
        </r>
        <r>
          <rPr>
            <sz val="9"/>
            <color indexed="81"/>
            <rFont val="Tahoma"/>
            <family val="2"/>
          </rPr>
          <t xml:space="preserve">
this title is auto reported in the graph 
</t>
        </r>
      </text>
    </comment>
    <comment ref="F18" authorId="2" shapeId="0" xr:uid="{4469E24B-00F2-40DD-B126-7775772C37DC}">
      <text>
        <r>
          <rPr>
            <sz val="11"/>
            <color indexed="81"/>
            <rFont val="Tahoma"/>
            <family val="2"/>
          </rPr>
          <t xml:space="preserve">
Median of Absolute Deviation of the residuals corrected for bias
for a normal distribution
MAD*1.4826 = STD 
MAD represents a robust estimation of the errrors </t>
        </r>
      </text>
    </comment>
    <comment ref="H18" authorId="3" shapeId="0" xr:uid="{34354C96-7F15-454D-ABDB-EFFFBBD34167}">
      <text>
        <r>
          <rPr>
            <sz val="9"/>
            <color indexed="81"/>
            <rFont val="Tahoma"/>
            <family val="2"/>
          </rPr>
          <t xml:space="preserve">UNCERTAINTY CONFIDENCE LIMIT ACCORDING ISO 12099
if the SEPC is &lt; this value, the calibration is working well
if the SEPC is &gt; this value, the calibration must be updated or the ref values rechecked (or the NIR values) </t>
        </r>
      </text>
    </comment>
    <comment ref="F19" authorId="2" shapeId="0" xr:uid="{B9512483-F290-4A36-9CBA-574B16348192}">
      <text>
        <r>
          <rPr>
            <sz val="11"/>
            <color indexed="81"/>
            <rFont val="Tahoma"/>
            <family val="2"/>
          </rPr>
          <t xml:space="preserve">Median of Absolute Deviation of the residuals of the regression y=a+b.x
for a normal distribution
MAD*1.4826 = STD 
MAD represents a robust estimation of the errors 
</t>
        </r>
      </text>
    </comment>
    <comment ref="H20" authorId="3" shapeId="0" xr:uid="{D7C61FC2-9842-4D31-843E-A7CF55433045}">
      <text>
        <r>
          <rPr>
            <sz val="9"/>
            <color indexed="81"/>
            <rFont val="Tahoma"/>
            <family val="2"/>
          </rPr>
          <t xml:space="preserve">Tobs on BIAS ACCORDING ISO12099
</t>
        </r>
      </text>
    </comment>
    <comment ref="H21" authorId="3" shapeId="0" xr:uid="{2C8E2D6E-F445-4EEF-A3B6-EBB140CEA924}">
      <text>
        <r>
          <rPr>
            <sz val="16"/>
            <color indexed="81"/>
            <rFont val="Tahoma"/>
            <family val="2"/>
          </rPr>
          <t>T obs  on the slope according ISO 12099</t>
        </r>
        <r>
          <rPr>
            <sz val="9"/>
            <color indexed="81"/>
            <rFont val="Tahoma"/>
            <family val="2"/>
          </rPr>
          <t xml:space="preserve">
</t>
        </r>
      </text>
    </comment>
    <comment ref="C25" authorId="0" shapeId="0" xr:uid="{86A9ED2A-7CC3-4E7C-A095-AB13E8300A9E}">
      <text>
        <r>
          <rPr>
            <b/>
            <sz val="8"/>
            <color indexed="81"/>
            <rFont val="Tahoma"/>
            <family val="2"/>
          </rPr>
          <t>Dardenne:</t>
        </r>
        <r>
          <rPr>
            <sz val="8"/>
            <color indexed="81"/>
            <rFont val="Tahoma"/>
            <family val="2"/>
          </rPr>
          <t xml:space="preserve">
b=sy/sx
inter=ybar-b.xbar
</t>
        </r>
      </text>
    </comment>
    <comment ref="D61" authorId="1" shapeId="0" xr:uid="{79F50DD7-DF98-4021-905A-9123E6DBA340}">
      <text>
        <r>
          <rPr>
            <b/>
            <sz val="9"/>
            <color indexed="81"/>
            <rFont val="Tahoma"/>
            <family val="2"/>
          </rPr>
          <t>Pierre Dardenne:</t>
        </r>
        <r>
          <rPr>
            <sz val="9"/>
            <color indexed="81"/>
            <rFont val="Tahoma"/>
            <family val="2"/>
          </rPr>
          <t xml:space="preserve">
the Y title is auto reported in the graph 
</t>
        </r>
      </text>
    </comment>
    <comment ref="F61" authorId="1" shapeId="0" xr:uid="{D5026CC0-002F-43E9-935A-88F916C0C074}">
      <text>
        <r>
          <rPr>
            <b/>
            <sz val="9"/>
            <color indexed="81"/>
            <rFont val="Tahoma"/>
            <family val="2"/>
          </rPr>
          <t>Pierre Dardenne:</t>
        </r>
        <r>
          <rPr>
            <sz val="9"/>
            <color indexed="81"/>
            <rFont val="Tahoma"/>
            <family val="2"/>
          </rPr>
          <t xml:space="preserve">
the X title is auto reported in the graph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Dardenne</author>
    <author>Pierre Dardenne</author>
    <author>Pierre DARDENNE</author>
    <author>dardenne</author>
  </authors>
  <commentList>
    <comment ref="W1" authorId="0" shapeId="0" xr:uid="{EBDADCE9-0AB0-448D-8FAC-B2B2D09AB184}">
      <text>
        <r>
          <rPr>
            <b/>
            <sz val="8"/>
            <color indexed="81"/>
            <rFont val="Tahoma"/>
            <family val="2"/>
          </rPr>
          <t xml:space="preserve">
DO NOT CHANGE ANY FORMULA
ONLY COPY PASTE Sample Number Yvar and Xvar at the position C60 , D60 and F60 (or 59 if the variable names are included) repectively 
ALL THE CALCULATIONS WOULD BE DONE !! 
if the autolabbeling is wrong, 
- delete the labels, 
- verify the column to be used as spl ID
DELETE the empty lines to update  the graph or the lines with 0.0 as REF and /or PRED
reload XY Chart Labels and Add the chosen column into the field (the update of the graph can take several seconds ...... be patient ! 
subroutines needed (add-ins) to be installed in excel 2007 addins
       autochart.xla
       XYchartlabeler.xla (XYChartLabeler.exe) 
REGRESSION LINES :
                 </t>
        </r>
        <r>
          <rPr>
            <b/>
            <sz val="8"/>
            <color indexed="10"/>
            <rFont val="Tahoma"/>
            <family val="2"/>
          </rPr>
          <t>RED</t>
        </r>
        <r>
          <rPr>
            <b/>
            <sz val="8"/>
            <color indexed="81"/>
            <rFont val="Tahoma"/>
            <family val="2"/>
          </rPr>
          <t xml:space="preserve">   :  45 ° line  
                 </t>
        </r>
        <r>
          <rPr>
            <b/>
            <sz val="8"/>
            <color indexed="12"/>
            <rFont val="Tahoma"/>
            <family val="2"/>
          </rPr>
          <t>BLUE</t>
        </r>
        <r>
          <rPr>
            <b/>
            <sz val="8"/>
            <color indexed="81"/>
            <rFont val="Tahoma"/>
            <family val="2"/>
          </rPr>
          <t xml:space="preserve"> :  45° line bias correction 
                 BLACK : trend line y=a+b.x
                 </t>
        </r>
        <r>
          <rPr>
            <b/>
            <sz val="8"/>
            <color indexed="52"/>
            <rFont val="Tahoma"/>
            <family val="2"/>
          </rPr>
          <t>ORANGE</t>
        </r>
        <r>
          <rPr>
            <b/>
            <sz val="8"/>
            <color indexed="81"/>
            <rFont val="Tahoma"/>
            <family val="2"/>
          </rPr>
          <t xml:space="preserve"> : least rectangles (y(x),x(y))
The autochart labeller has a problem when adding or deleting samples 
if you add or delete line (s), remove the labekking of the points, add or remove lines
(to add, fisrt insert and copy only SPL ID , Yref and Xnirs) 
after adding or deleting, click XYxhart Labels and enter a new vector to be added in the graph. 
     </t>
        </r>
      </text>
    </comment>
    <comment ref="C3" authorId="1" shapeId="0" xr:uid="{C1DE989A-7A9B-42AC-91B4-BA6D9B76C3F2}">
      <text>
        <r>
          <rPr>
            <b/>
            <sz val="9"/>
            <color indexed="81"/>
            <rFont val="Tahoma"/>
            <family val="2"/>
          </rPr>
          <t>Pierre Dardenne:</t>
        </r>
        <r>
          <rPr>
            <sz val="9"/>
            <color indexed="81"/>
            <rFont val="Tahoma"/>
            <family val="2"/>
          </rPr>
          <t xml:space="preserve">
this title is auto reported in the graph 
</t>
        </r>
      </text>
    </comment>
    <comment ref="F18" authorId="2" shapeId="0" xr:uid="{21118B09-B2EE-42A1-A0EE-8ECA2396B417}">
      <text>
        <r>
          <rPr>
            <sz val="11"/>
            <color indexed="81"/>
            <rFont val="Tahoma"/>
            <family val="2"/>
          </rPr>
          <t xml:space="preserve">
Median of Absolute Deviation of the residuals corrected for bias
for a normal distribution
MAD*1.4826 = STD 
MAD represents a robust estimation of the errrors </t>
        </r>
      </text>
    </comment>
    <comment ref="H18" authorId="3" shapeId="0" xr:uid="{BFD02ABB-B3A6-4739-929A-7D3CF4123EA6}">
      <text>
        <r>
          <rPr>
            <sz val="9"/>
            <color indexed="81"/>
            <rFont val="Tahoma"/>
            <family val="2"/>
          </rPr>
          <t xml:space="preserve">UNCERTAINTY CONFIDENCE LIMIT ACCORDING ISO 12099
if the SEPC is &lt; this value, the calibration is working well
if the SEPC is &gt; this value, the calibration must be updated or the ref values rechecked (or the NIR values) </t>
        </r>
      </text>
    </comment>
    <comment ref="F19" authorId="2" shapeId="0" xr:uid="{EBEF08C4-BB4D-4CF1-AC64-B7E7795A6246}">
      <text>
        <r>
          <rPr>
            <sz val="11"/>
            <color indexed="81"/>
            <rFont val="Tahoma"/>
            <family val="2"/>
          </rPr>
          <t xml:space="preserve">Median of Absolute Deviation of the residuals of the regression y=a+b.x
for a normal distribution
MAD*1.4826 = STD 
MAD represents a robust estimation of the errors 
</t>
        </r>
      </text>
    </comment>
    <comment ref="H20" authorId="3" shapeId="0" xr:uid="{5DE5A02D-CF6C-46D5-B6E4-125DE75ACF4B}">
      <text>
        <r>
          <rPr>
            <sz val="9"/>
            <color indexed="81"/>
            <rFont val="Tahoma"/>
            <family val="2"/>
          </rPr>
          <t xml:space="preserve">Tobs on BIAS ACCORDING ISO12099
</t>
        </r>
      </text>
    </comment>
    <comment ref="H21" authorId="3" shapeId="0" xr:uid="{E9021142-E3CB-4B9B-9B65-E84F1B67AD87}">
      <text>
        <r>
          <rPr>
            <sz val="16"/>
            <color indexed="81"/>
            <rFont val="Tahoma"/>
            <family val="2"/>
          </rPr>
          <t>T obs  on the slope according ISO 12099</t>
        </r>
        <r>
          <rPr>
            <sz val="9"/>
            <color indexed="81"/>
            <rFont val="Tahoma"/>
            <family val="2"/>
          </rPr>
          <t xml:space="preserve">
</t>
        </r>
      </text>
    </comment>
    <comment ref="C25" authorId="0" shapeId="0" xr:uid="{B833F166-EF2B-4F8C-A3F9-E35925C80CA0}">
      <text>
        <r>
          <rPr>
            <b/>
            <sz val="8"/>
            <color indexed="81"/>
            <rFont val="Tahoma"/>
            <family val="2"/>
          </rPr>
          <t>Dardenne:</t>
        </r>
        <r>
          <rPr>
            <sz val="8"/>
            <color indexed="81"/>
            <rFont val="Tahoma"/>
            <family val="2"/>
          </rPr>
          <t xml:space="preserve">
b=sy/sx
inter=ybar-b.xbar
</t>
        </r>
      </text>
    </comment>
    <comment ref="D61" authorId="1" shapeId="0" xr:uid="{4A7B2724-FED0-497E-8852-ED8A762DA479}">
      <text>
        <r>
          <rPr>
            <b/>
            <sz val="9"/>
            <color indexed="81"/>
            <rFont val="Tahoma"/>
            <family val="2"/>
          </rPr>
          <t>Pierre Dardenne:</t>
        </r>
        <r>
          <rPr>
            <sz val="9"/>
            <color indexed="81"/>
            <rFont val="Tahoma"/>
            <family val="2"/>
          </rPr>
          <t xml:space="preserve">
the Y title is auto reported in the graph 
</t>
        </r>
      </text>
    </comment>
    <comment ref="F61" authorId="1" shapeId="0" xr:uid="{42898D04-AA2C-4BCF-BA11-E0CB00DB14E6}">
      <text>
        <r>
          <rPr>
            <b/>
            <sz val="9"/>
            <color indexed="81"/>
            <rFont val="Tahoma"/>
            <family val="2"/>
          </rPr>
          <t>Pierre Dardenne:</t>
        </r>
        <r>
          <rPr>
            <sz val="9"/>
            <color indexed="81"/>
            <rFont val="Tahoma"/>
            <family val="2"/>
          </rPr>
          <t xml:space="preserve">
the X title is auto reported in the graph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Dardenne</author>
    <author>Pierre Dardenne</author>
    <author>Pierre DARDENNE</author>
    <author>dardenne</author>
  </authors>
  <commentList>
    <comment ref="W1" authorId="0" shapeId="0" xr:uid="{5200E9CE-B8B8-417B-A407-68CEAB5E33D2}">
      <text>
        <r>
          <rPr>
            <b/>
            <sz val="8"/>
            <color indexed="81"/>
            <rFont val="Tahoma"/>
            <family val="2"/>
          </rPr>
          <t xml:space="preserve">
DO NOT CHANGE ANY FORMULA
ONLY COPY PASTE Sample Number Yvar and Xvar at the position C60 , D60 and F60 (or 59 if the variable names are included) repectively 
ALL THE CALCULATIONS WOULD BE DONE !! 
if the autolabbeling is wrong, 
- delete the labels, 
- verify the column to be used as spl ID
DELETE the empty lines to update  the graph or the lines with 0.0 as REF and /or PRED
reload XY Chart Labels and Add the chosen column into the field (the update of the graph can take several seconds ...... be patient ! 
subroutines needed (add-ins) to be installed in excel 2007 addins
       autochart.xla
       XYchartlabeler.xla (XYChartLabeler.exe) 
REGRESSION LINES :
                 </t>
        </r>
        <r>
          <rPr>
            <b/>
            <sz val="8"/>
            <color indexed="10"/>
            <rFont val="Tahoma"/>
            <family val="2"/>
          </rPr>
          <t>RED</t>
        </r>
        <r>
          <rPr>
            <b/>
            <sz val="8"/>
            <color indexed="81"/>
            <rFont val="Tahoma"/>
            <family val="2"/>
          </rPr>
          <t xml:space="preserve">   :  45 ° line  
                 </t>
        </r>
        <r>
          <rPr>
            <b/>
            <sz val="8"/>
            <color indexed="12"/>
            <rFont val="Tahoma"/>
            <family val="2"/>
          </rPr>
          <t>BLUE</t>
        </r>
        <r>
          <rPr>
            <b/>
            <sz val="8"/>
            <color indexed="81"/>
            <rFont val="Tahoma"/>
            <family val="2"/>
          </rPr>
          <t xml:space="preserve"> :  45° line bias correction 
                 BLACK : trend line y=a+b.x
                 </t>
        </r>
        <r>
          <rPr>
            <b/>
            <sz val="8"/>
            <color indexed="52"/>
            <rFont val="Tahoma"/>
            <family val="2"/>
          </rPr>
          <t>ORANGE</t>
        </r>
        <r>
          <rPr>
            <b/>
            <sz val="8"/>
            <color indexed="81"/>
            <rFont val="Tahoma"/>
            <family val="2"/>
          </rPr>
          <t xml:space="preserve"> : least rectangles (y(x),x(y))
The autochart labeller has a problem when adding or deleting samples 
if you add or delete line (s), remove the labekking of the points, add or remove lines
(to add, fisrt insert and copy only SPL ID , Yref and Xnirs) 
after adding or deleting, click XYxhart Labels and enter a new vector to be added in the graph. 
     </t>
        </r>
      </text>
    </comment>
    <comment ref="C3" authorId="1" shapeId="0" xr:uid="{CEED021D-7D4D-4C42-AE6E-9A599E2F71A0}">
      <text>
        <r>
          <rPr>
            <b/>
            <sz val="9"/>
            <color indexed="81"/>
            <rFont val="Tahoma"/>
            <family val="2"/>
          </rPr>
          <t>Pierre Dardenne:</t>
        </r>
        <r>
          <rPr>
            <sz val="9"/>
            <color indexed="81"/>
            <rFont val="Tahoma"/>
            <family val="2"/>
          </rPr>
          <t xml:space="preserve">
this title is auto reported in the graph 
</t>
        </r>
      </text>
    </comment>
    <comment ref="F18" authorId="2" shapeId="0" xr:uid="{64AABF84-8979-4D2E-8EEE-1ABAE4B88CB5}">
      <text>
        <r>
          <rPr>
            <sz val="11"/>
            <color indexed="81"/>
            <rFont val="Tahoma"/>
            <family val="2"/>
          </rPr>
          <t xml:space="preserve">
Median of Absolute Deviation of the residuals corrected for bias
for a normal distribution
MAD*1.4826 = STD 
MAD represents a robust estimation of the errrors </t>
        </r>
      </text>
    </comment>
    <comment ref="H18" authorId="3" shapeId="0" xr:uid="{F6802885-84CA-4C8B-A37F-9C72C9B2C36C}">
      <text>
        <r>
          <rPr>
            <sz val="9"/>
            <color indexed="81"/>
            <rFont val="Tahoma"/>
            <family val="2"/>
          </rPr>
          <t xml:space="preserve">UNCERTAINTY CONFIDENCE LIMIT ACCORDING ISO 12099
if the SEPC is &lt; this value, the calibration is working well
if the SEPC is &gt; this value, the calibration must be updated or the ref values rechecked (or the NIR values) </t>
        </r>
      </text>
    </comment>
    <comment ref="F19" authorId="2" shapeId="0" xr:uid="{48F802A7-4526-4563-845E-087A04E0DED6}">
      <text>
        <r>
          <rPr>
            <sz val="11"/>
            <color indexed="81"/>
            <rFont val="Tahoma"/>
            <family val="2"/>
          </rPr>
          <t xml:space="preserve">Median of Absolute Deviation of the residuals of the regression y=a+b.x
for a normal distribution
MAD*1.4826 = STD 
MAD represents a robust estimation of the errors 
</t>
        </r>
      </text>
    </comment>
    <comment ref="H20" authorId="3" shapeId="0" xr:uid="{90F655C9-60ED-47F4-9581-C4E0CA6E5F09}">
      <text>
        <r>
          <rPr>
            <sz val="9"/>
            <color indexed="81"/>
            <rFont val="Tahoma"/>
            <family val="2"/>
          </rPr>
          <t xml:space="preserve">Tobs on BIAS ACCORDING ISO12099
</t>
        </r>
      </text>
    </comment>
    <comment ref="H21" authorId="3" shapeId="0" xr:uid="{B2AE9A5D-0684-4B82-9237-1FC4B6802B87}">
      <text>
        <r>
          <rPr>
            <sz val="16"/>
            <color indexed="81"/>
            <rFont val="Tahoma"/>
            <family val="2"/>
          </rPr>
          <t>T obs  on the slope according ISO 12099</t>
        </r>
        <r>
          <rPr>
            <sz val="9"/>
            <color indexed="81"/>
            <rFont val="Tahoma"/>
            <family val="2"/>
          </rPr>
          <t xml:space="preserve">
</t>
        </r>
      </text>
    </comment>
    <comment ref="C25" authorId="0" shapeId="0" xr:uid="{1608BF20-5F3B-4F61-AC93-D8395DCB03C2}">
      <text>
        <r>
          <rPr>
            <b/>
            <sz val="8"/>
            <color indexed="81"/>
            <rFont val="Tahoma"/>
            <family val="2"/>
          </rPr>
          <t>Dardenne:</t>
        </r>
        <r>
          <rPr>
            <sz val="8"/>
            <color indexed="81"/>
            <rFont val="Tahoma"/>
            <family val="2"/>
          </rPr>
          <t xml:space="preserve">
b=sy/sx
inter=ybar-b.xbar
</t>
        </r>
      </text>
    </comment>
    <comment ref="D61" authorId="1" shapeId="0" xr:uid="{8A4D216B-2BDF-42F5-B711-5C66114D2D62}">
      <text>
        <r>
          <rPr>
            <b/>
            <sz val="9"/>
            <color indexed="81"/>
            <rFont val="Tahoma"/>
            <family val="2"/>
          </rPr>
          <t>Pierre Dardenne:</t>
        </r>
        <r>
          <rPr>
            <sz val="9"/>
            <color indexed="81"/>
            <rFont val="Tahoma"/>
            <family val="2"/>
          </rPr>
          <t xml:space="preserve">
the Y title is auto reported in the graph 
</t>
        </r>
      </text>
    </comment>
    <comment ref="F61" authorId="1" shapeId="0" xr:uid="{836BFEF5-54E6-4ACE-BD63-06AFEFA764D9}">
      <text>
        <r>
          <rPr>
            <b/>
            <sz val="9"/>
            <color indexed="81"/>
            <rFont val="Tahoma"/>
            <family val="2"/>
          </rPr>
          <t>Pierre Dardenne:</t>
        </r>
        <r>
          <rPr>
            <sz val="9"/>
            <color indexed="81"/>
            <rFont val="Tahoma"/>
            <family val="2"/>
          </rPr>
          <t xml:space="preserve">
the X title is auto reported in the graph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Dardenne</author>
    <author>Pierre Dardenne</author>
    <author>Pierre DARDENNE</author>
    <author>dardenne</author>
  </authors>
  <commentList>
    <comment ref="W1" authorId="0" shapeId="0" xr:uid="{0C02A112-C1D7-4085-B25D-680BABA79CB8}">
      <text>
        <r>
          <rPr>
            <b/>
            <sz val="8"/>
            <color indexed="81"/>
            <rFont val="Tahoma"/>
            <family val="2"/>
          </rPr>
          <t xml:space="preserve">
DO NOT CHANGE ANY FORMULA
ONLY COPY PASTE Sample Number Yvar and Xvar at the position C60 , D60 and F60 (or 59 if the variable names are included) repectively 
ALL THE CALCULATIONS WOULD BE DONE !! 
if the autolabbeling is wrong, 
- delete the labels, 
- verify the column to be used as spl ID
DELETE the empty lines to update  the graph or the lines with 0.0 as REF and /or PRED
reload XY Chart Labels and Add the chosen column into the field (the update of the graph can take several seconds ...... be patient ! 
subroutines needed (add-ins) to be installed in excel 2007 addins
       autochart.xla
       XYchartlabeler.xla (XYChartLabeler.exe) 
REGRESSION LINES :
                 </t>
        </r>
        <r>
          <rPr>
            <b/>
            <sz val="8"/>
            <color indexed="10"/>
            <rFont val="Tahoma"/>
            <family val="2"/>
          </rPr>
          <t>RED</t>
        </r>
        <r>
          <rPr>
            <b/>
            <sz val="8"/>
            <color indexed="81"/>
            <rFont val="Tahoma"/>
            <family val="2"/>
          </rPr>
          <t xml:space="preserve">   :  45 ° line  
                 </t>
        </r>
        <r>
          <rPr>
            <b/>
            <sz val="8"/>
            <color indexed="12"/>
            <rFont val="Tahoma"/>
            <family val="2"/>
          </rPr>
          <t>BLUE</t>
        </r>
        <r>
          <rPr>
            <b/>
            <sz val="8"/>
            <color indexed="81"/>
            <rFont val="Tahoma"/>
            <family val="2"/>
          </rPr>
          <t xml:space="preserve"> :  45° line bias correction 
                 BLACK : trend line y=a+b.x
                 </t>
        </r>
        <r>
          <rPr>
            <b/>
            <sz val="8"/>
            <color indexed="52"/>
            <rFont val="Tahoma"/>
            <family val="2"/>
          </rPr>
          <t>ORANGE</t>
        </r>
        <r>
          <rPr>
            <b/>
            <sz val="8"/>
            <color indexed="81"/>
            <rFont val="Tahoma"/>
            <family val="2"/>
          </rPr>
          <t xml:space="preserve"> : least rectangles (y(x),x(y))
The autochart labeller has a problem when adding or deleting samples 
if you add or delete line (s), remove the labekking of the points, add or remove lines
(to add, fisrt insert and copy only SPL ID , Yref and Xnirs) 
after adding or deleting, click XYxhart Labels and enter a new vector to be added in the graph. 
     </t>
        </r>
      </text>
    </comment>
    <comment ref="C3" authorId="1" shapeId="0" xr:uid="{E2C08EA9-57C4-4753-99BC-E78E4F4E1AE5}">
      <text>
        <r>
          <rPr>
            <b/>
            <sz val="9"/>
            <color indexed="81"/>
            <rFont val="Tahoma"/>
            <family val="2"/>
          </rPr>
          <t>Pierre Dardenne:</t>
        </r>
        <r>
          <rPr>
            <sz val="9"/>
            <color indexed="81"/>
            <rFont val="Tahoma"/>
            <family val="2"/>
          </rPr>
          <t xml:space="preserve">
this title is auto reported in the graph 
</t>
        </r>
      </text>
    </comment>
    <comment ref="F18" authorId="2" shapeId="0" xr:uid="{8C1A3F0E-B0E6-4928-A780-01951A2E9B15}">
      <text>
        <r>
          <rPr>
            <sz val="11"/>
            <color indexed="81"/>
            <rFont val="Tahoma"/>
            <family val="2"/>
          </rPr>
          <t xml:space="preserve">
Median of Absolute Deviation of the residuals corrected for bias
for a normal distribution
MAD*1.4826 = STD 
MAD represents a robust estimation of the errrors </t>
        </r>
      </text>
    </comment>
    <comment ref="H18" authorId="3" shapeId="0" xr:uid="{5F085EB6-E278-45C1-8FAD-688EB5BDCE6C}">
      <text>
        <r>
          <rPr>
            <sz val="9"/>
            <color indexed="81"/>
            <rFont val="Tahoma"/>
            <family val="2"/>
          </rPr>
          <t xml:space="preserve">UNCERTAINTY CONFIDENCE LIMIT ACCORDING ISO 12099
if the SEPC is &lt; this value, the calibration is working well
if the SEPC is &gt; this value, the calibration must be updated or the ref values rechecked (or the NIR values) </t>
        </r>
      </text>
    </comment>
    <comment ref="F19" authorId="2" shapeId="0" xr:uid="{3031BDB3-406A-49DC-A05B-4EC0364829D5}">
      <text>
        <r>
          <rPr>
            <sz val="11"/>
            <color indexed="81"/>
            <rFont val="Tahoma"/>
            <family val="2"/>
          </rPr>
          <t xml:space="preserve">Median of Absolute Deviation of the residuals of the regression y=a+b.x
for a normal distribution
MAD*1.4826 = STD 
MAD represents a robust estimation of the errors 
</t>
        </r>
      </text>
    </comment>
    <comment ref="H20" authorId="3" shapeId="0" xr:uid="{DA465C1B-67B2-458B-B7C2-38726B664EF3}">
      <text>
        <r>
          <rPr>
            <sz val="9"/>
            <color indexed="81"/>
            <rFont val="Tahoma"/>
            <family val="2"/>
          </rPr>
          <t xml:space="preserve">Tobs on BIAS ACCORDING ISO12099
</t>
        </r>
      </text>
    </comment>
    <comment ref="H21" authorId="3" shapeId="0" xr:uid="{81F4958D-C75A-4894-A871-1C35B274DB81}">
      <text>
        <r>
          <rPr>
            <sz val="16"/>
            <color indexed="81"/>
            <rFont val="Tahoma"/>
            <family val="2"/>
          </rPr>
          <t>T obs  on the slope according ISO 12099</t>
        </r>
        <r>
          <rPr>
            <sz val="9"/>
            <color indexed="81"/>
            <rFont val="Tahoma"/>
            <family val="2"/>
          </rPr>
          <t xml:space="preserve">
</t>
        </r>
      </text>
    </comment>
    <comment ref="C25" authorId="0" shapeId="0" xr:uid="{4153DDA8-0D2E-4651-9DC6-9416E5F79789}">
      <text>
        <r>
          <rPr>
            <b/>
            <sz val="8"/>
            <color indexed="81"/>
            <rFont val="Tahoma"/>
            <family val="2"/>
          </rPr>
          <t>Dardenne:</t>
        </r>
        <r>
          <rPr>
            <sz val="8"/>
            <color indexed="81"/>
            <rFont val="Tahoma"/>
            <family val="2"/>
          </rPr>
          <t xml:space="preserve">
b=sy/sx
inter=ybar-b.xbar
</t>
        </r>
      </text>
    </comment>
    <comment ref="D61" authorId="1" shapeId="0" xr:uid="{D873F614-5178-44B3-9455-D602D8335861}">
      <text>
        <r>
          <rPr>
            <b/>
            <sz val="9"/>
            <color indexed="81"/>
            <rFont val="Tahoma"/>
            <family val="2"/>
          </rPr>
          <t>Pierre Dardenne:</t>
        </r>
        <r>
          <rPr>
            <sz val="9"/>
            <color indexed="81"/>
            <rFont val="Tahoma"/>
            <family val="2"/>
          </rPr>
          <t xml:space="preserve">
the Y title is auto reported in the graph 
</t>
        </r>
      </text>
    </comment>
    <comment ref="F61" authorId="1" shapeId="0" xr:uid="{8FF1D959-15CF-4E2D-8DA0-85AEC8289144}">
      <text>
        <r>
          <rPr>
            <b/>
            <sz val="9"/>
            <color indexed="81"/>
            <rFont val="Tahoma"/>
            <family val="2"/>
          </rPr>
          <t>Pierre Dardenne:</t>
        </r>
        <r>
          <rPr>
            <sz val="9"/>
            <color indexed="81"/>
            <rFont val="Tahoma"/>
            <family val="2"/>
          </rPr>
          <t xml:space="preserve">
the X title is auto reported in the graph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Dardenne</author>
    <author>Pierre Dardenne</author>
    <author>Pierre DARDENNE</author>
    <author>dardenne</author>
  </authors>
  <commentList>
    <comment ref="W1" authorId="0" shapeId="0" xr:uid="{B204F6F0-F53E-4BC5-966B-CAB4F77E4ABC}">
      <text>
        <r>
          <rPr>
            <b/>
            <sz val="8"/>
            <color indexed="81"/>
            <rFont val="Tahoma"/>
            <family val="2"/>
          </rPr>
          <t xml:space="preserve">
DO NOT CHANGE ANY FORMULA
ONLY COPY PASTE Sample Number Yvar and Xvar at the position C60 , D60 and F60 (or 59 if the variable names are included) repectively 
ALL THE CALCULATIONS WOULD BE DONE !! 
if the autolabbeling is wrong, 
- delete the labels, 
- verify the column to be used as spl ID
DELETE the empty lines to update  the graph or the lines with 0.0 as REF and /or PRED
reload XY Chart Labels and Add the chosen column into the field (the update of the graph can take several seconds ...... be patient ! 
subroutines needed (add-ins) to be installed in excel 2007 addins
       autochart.xla
       XYchartlabeler.xla (XYChartLabeler.exe) 
REGRESSION LINES :
                 </t>
        </r>
        <r>
          <rPr>
            <b/>
            <sz val="8"/>
            <color indexed="10"/>
            <rFont val="Tahoma"/>
            <family val="2"/>
          </rPr>
          <t>RED</t>
        </r>
        <r>
          <rPr>
            <b/>
            <sz val="8"/>
            <color indexed="81"/>
            <rFont val="Tahoma"/>
            <family val="2"/>
          </rPr>
          <t xml:space="preserve">   :  45 ° line  
                 </t>
        </r>
        <r>
          <rPr>
            <b/>
            <sz val="8"/>
            <color indexed="12"/>
            <rFont val="Tahoma"/>
            <family val="2"/>
          </rPr>
          <t>BLUE</t>
        </r>
        <r>
          <rPr>
            <b/>
            <sz val="8"/>
            <color indexed="81"/>
            <rFont val="Tahoma"/>
            <family val="2"/>
          </rPr>
          <t xml:space="preserve"> :  45° line bias correction 
                 BLACK : trend line y=a+b.x
                 </t>
        </r>
        <r>
          <rPr>
            <b/>
            <sz val="8"/>
            <color indexed="52"/>
            <rFont val="Tahoma"/>
            <family val="2"/>
          </rPr>
          <t>ORANGE</t>
        </r>
        <r>
          <rPr>
            <b/>
            <sz val="8"/>
            <color indexed="81"/>
            <rFont val="Tahoma"/>
            <family val="2"/>
          </rPr>
          <t xml:space="preserve"> : least rectangles (y(x),x(y))
The autochart labeller has a problem when adding or deleting samples 
if you add or delete line (s), remove the labekking of the points, add or remove lines
(to add, fisrt insert and copy only SPL ID , Yref and Xnirs) 
after adding or deleting, click XYxhart Labels and enter a new vector to be added in the graph. 
     </t>
        </r>
      </text>
    </comment>
    <comment ref="C3" authorId="1" shapeId="0" xr:uid="{4FD1295B-646D-45C7-83FC-1489AE465BD1}">
      <text>
        <r>
          <rPr>
            <b/>
            <sz val="9"/>
            <color indexed="81"/>
            <rFont val="Tahoma"/>
            <family val="2"/>
          </rPr>
          <t>Pierre Dardenne:</t>
        </r>
        <r>
          <rPr>
            <sz val="9"/>
            <color indexed="81"/>
            <rFont val="Tahoma"/>
            <family val="2"/>
          </rPr>
          <t xml:space="preserve">
this title is auto reported in the graph 
</t>
        </r>
      </text>
    </comment>
    <comment ref="F18" authorId="2" shapeId="0" xr:uid="{15A3BF21-C91B-413C-9103-4F156CCAECD5}">
      <text>
        <r>
          <rPr>
            <sz val="11"/>
            <color indexed="81"/>
            <rFont val="Tahoma"/>
            <family val="2"/>
          </rPr>
          <t xml:space="preserve">
Median of Absolute Deviation of the residuals corrected for bias
for a normal distribution
MAD*1.4826 = STD 
MAD represents a robust estimation of the errrors </t>
        </r>
      </text>
    </comment>
    <comment ref="H18" authorId="3" shapeId="0" xr:uid="{6FE06FD7-06E2-42C4-8D21-7C2AAAB63E7C}">
      <text>
        <r>
          <rPr>
            <sz val="9"/>
            <color indexed="81"/>
            <rFont val="Tahoma"/>
            <family val="2"/>
          </rPr>
          <t xml:space="preserve">UNCERTAINTY CONFIDENCE LIMIT ACCORDING ISO 12099
if the SEPC is &lt; this value, the calibration is working well
if the SEPC is &gt; this value, the calibration must be updated or the ref values rechecked (or the NIR values) </t>
        </r>
      </text>
    </comment>
    <comment ref="F19" authorId="2" shapeId="0" xr:uid="{52C3537C-02C6-4ECF-9A82-D31141FAA480}">
      <text>
        <r>
          <rPr>
            <sz val="11"/>
            <color indexed="81"/>
            <rFont val="Tahoma"/>
            <family val="2"/>
          </rPr>
          <t xml:space="preserve">Median of Absolute Deviation of the residuals of the regression y=a+b.x
for a normal distribution
MAD*1.4826 = STD 
MAD represents a robust estimation of the errors 
</t>
        </r>
      </text>
    </comment>
    <comment ref="H20" authorId="3" shapeId="0" xr:uid="{896380E2-C0A6-4635-82EF-95D367B89816}">
      <text>
        <r>
          <rPr>
            <sz val="9"/>
            <color indexed="81"/>
            <rFont val="Tahoma"/>
            <family val="2"/>
          </rPr>
          <t xml:space="preserve">Tobs on BIAS ACCORDING ISO12099
</t>
        </r>
      </text>
    </comment>
    <comment ref="H21" authorId="3" shapeId="0" xr:uid="{186C7CF8-541F-4893-A9A3-B2DEBAF633A3}">
      <text>
        <r>
          <rPr>
            <sz val="16"/>
            <color indexed="81"/>
            <rFont val="Tahoma"/>
            <family val="2"/>
          </rPr>
          <t>T obs  on the slope according ISO 12099</t>
        </r>
        <r>
          <rPr>
            <sz val="9"/>
            <color indexed="81"/>
            <rFont val="Tahoma"/>
            <family val="2"/>
          </rPr>
          <t xml:space="preserve">
</t>
        </r>
      </text>
    </comment>
    <comment ref="C25" authorId="0" shapeId="0" xr:uid="{AEF781CE-E5A6-4680-B535-5F6CE6EC7A73}">
      <text>
        <r>
          <rPr>
            <b/>
            <sz val="8"/>
            <color indexed="81"/>
            <rFont val="Tahoma"/>
            <family val="2"/>
          </rPr>
          <t>Dardenne:</t>
        </r>
        <r>
          <rPr>
            <sz val="8"/>
            <color indexed="81"/>
            <rFont val="Tahoma"/>
            <family val="2"/>
          </rPr>
          <t xml:space="preserve">
b=sy/sx
inter=ybar-b.xbar
</t>
        </r>
      </text>
    </comment>
    <comment ref="D61" authorId="1" shapeId="0" xr:uid="{2FE7A799-DF3B-4277-A80E-D0405260F4ED}">
      <text>
        <r>
          <rPr>
            <b/>
            <sz val="9"/>
            <color indexed="81"/>
            <rFont val="Tahoma"/>
            <family val="2"/>
          </rPr>
          <t>Pierre Dardenne:</t>
        </r>
        <r>
          <rPr>
            <sz val="9"/>
            <color indexed="81"/>
            <rFont val="Tahoma"/>
            <family val="2"/>
          </rPr>
          <t xml:space="preserve">
the Y title is auto reported in the graph 
</t>
        </r>
      </text>
    </comment>
    <comment ref="F61" authorId="1" shapeId="0" xr:uid="{0DA4DBC6-FAED-4EC9-9815-7773A87C5174}">
      <text>
        <r>
          <rPr>
            <b/>
            <sz val="9"/>
            <color indexed="81"/>
            <rFont val="Tahoma"/>
            <family val="2"/>
          </rPr>
          <t>Pierre Dardenne:</t>
        </r>
        <r>
          <rPr>
            <sz val="9"/>
            <color indexed="81"/>
            <rFont val="Tahoma"/>
            <family val="2"/>
          </rPr>
          <t xml:space="preserve">
the X title is auto reported in the graph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Dardenne</author>
    <author>Pierre Dardenne</author>
    <author>Pierre DARDENNE</author>
    <author>dardenne</author>
  </authors>
  <commentList>
    <comment ref="W1" authorId="0" shapeId="0" xr:uid="{B0E4B30B-4B4F-4267-BC80-99F849822901}">
      <text>
        <r>
          <rPr>
            <b/>
            <sz val="8"/>
            <color indexed="81"/>
            <rFont val="Tahoma"/>
            <family val="2"/>
          </rPr>
          <t xml:space="preserve">
DO NOT CHANGE ANY FORMULA
ONLY COPY PASTE Sample Number Yvar and Xvar at the position C60 , D60 and F60 (or 59 if the variable names are included) repectively 
ALL THE CALCULATIONS WOULD BE DONE !! 
if the autolabbeling is wrong, 
- delete the labels, 
- verify the column to be used as spl ID
DELETE the empty lines to update  the graph or the lines with 0.0 as REF and /or PRED
reload XY Chart Labels and Add the chosen column into the field (the update of the graph can take several seconds ...... be patient ! 
subroutines needed (add-ins) to be installed in excel 2007 addins
       autochart.xla
       XYchartlabeler.xla (XYChartLabeler.exe) 
REGRESSION LINES :
                 </t>
        </r>
        <r>
          <rPr>
            <b/>
            <sz val="8"/>
            <color indexed="10"/>
            <rFont val="Tahoma"/>
            <family val="2"/>
          </rPr>
          <t>RED</t>
        </r>
        <r>
          <rPr>
            <b/>
            <sz val="8"/>
            <color indexed="81"/>
            <rFont val="Tahoma"/>
            <family val="2"/>
          </rPr>
          <t xml:space="preserve">   :  45 ° line  
                 </t>
        </r>
        <r>
          <rPr>
            <b/>
            <sz val="8"/>
            <color indexed="12"/>
            <rFont val="Tahoma"/>
            <family val="2"/>
          </rPr>
          <t>BLUE</t>
        </r>
        <r>
          <rPr>
            <b/>
            <sz val="8"/>
            <color indexed="81"/>
            <rFont val="Tahoma"/>
            <family val="2"/>
          </rPr>
          <t xml:space="preserve"> :  45° line bias correction 
                 BLACK : trend line y=a+b.x
                 </t>
        </r>
        <r>
          <rPr>
            <b/>
            <sz val="8"/>
            <color indexed="52"/>
            <rFont val="Tahoma"/>
            <family val="2"/>
          </rPr>
          <t>ORANGE</t>
        </r>
        <r>
          <rPr>
            <b/>
            <sz val="8"/>
            <color indexed="81"/>
            <rFont val="Tahoma"/>
            <family val="2"/>
          </rPr>
          <t xml:space="preserve"> : least rectangles (y(x),x(y))
The autochart labeller has a problem when adding or deleting samples 
if you add or delete line (s), remove the labekking of the points, add or remove lines
(to add, fisrt insert and copy only SPL ID , Yref and Xnirs) 
after adding or deleting, click XYxhart Labels and enter a new vector to be added in the graph. 
     </t>
        </r>
      </text>
    </comment>
    <comment ref="C3" authorId="1" shapeId="0" xr:uid="{929FE68A-3C18-408B-9B27-3F30729B42A0}">
      <text>
        <r>
          <rPr>
            <b/>
            <sz val="9"/>
            <color indexed="81"/>
            <rFont val="Tahoma"/>
            <family val="2"/>
          </rPr>
          <t>Pierre Dardenne:</t>
        </r>
        <r>
          <rPr>
            <sz val="9"/>
            <color indexed="81"/>
            <rFont val="Tahoma"/>
            <family val="2"/>
          </rPr>
          <t xml:space="preserve">
this title is auto reported in the graph 
</t>
        </r>
      </text>
    </comment>
    <comment ref="F18" authorId="2" shapeId="0" xr:uid="{338FD120-1680-4777-A6F1-430154C26734}">
      <text>
        <r>
          <rPr>
            <sz val="11"/>
            <color indexed="81"/>
            <rFont val="Tahoma"/>
            <family val="2"/>
          </rPr>
          <t xml:space="preserve">
Median of Absolute Deviation of the residuals corrected for bias
for a normal distribution
MAD*1.4826 = STD 
MAD represents a robust estimation of the errrors </t>
        </r>
      </text>
    </comment>
    <comment ref="H18" authorId="3" shapeId="0" xr:uid="{4139B606-DAAE-425C-865E-373232112C78}">
      <text>
        <r>
          <rPr>
            <sz val="9"/>
            <color indexed="81"/>
            <rFont val="Tahoma"/>
            <family val="2"/>
          </rPr>
          <t xml:space="preserve">UNCERTAINTY CONFIDENCE LIMIT ACCORDING ISO 12099
if the SEPC is &lt; this value, the calibration is working well
if the SEPC is &gt; this value, the calibration must be updated or the ref values rechecked (or the NIR values) </t>
        </r>
      </text>
    </comment>
    <comment ref="F19" authorId="2" shapeId="0" xr:uid="{B361D846-2971-4A85-8CD9-BA79CE7CBC29}">
      <text>
        <r>
          <rPr>
            <sz val="11"/>
            <color indexed="81"/>
            <rFont val="Tahoma"/>
            <family val="2"/>
          </rPr>
          <t xml:space="preserve">Median of Absolute Deviation of the residuals of the regression y=a+b.x
for a normal distribution
MAD*1.4826 = STD 
MAD represents a robust estimation of the errors 
</t>
        </r>
      </text>
    </comment>
    <comment ref="H20" authorId="3" shapeId="0" xr:uid="{CF3B4A0D-076D-46D0-8FE5-F6C5A6FF44EA}">
      <text>
        <r>
          <rPr>
            <sz val="9"/>
            <color indexed="81"/>
            <rFont val="Tahoma"/>
            <family val="2"/>
          </rPr>
          <t xml:space="preserve">Tobs on BIAS ACCORDING ISO12099
</t>
        </r>
      </text>
    </comment>
    <comment ref="H21" authorId="3" shapeId="0" xr:uid="{584209DD-DDD3-454A-9BB9-3BF08F6C109A}">
      <text>
        <r>
          <rPr>
            <sz val="16"/>
            <color indexed="81"/>
            <rFont val="Tahoma"/>
            <family val="2"/>
          </rPr>
          <t>T obs  on the slope according ISO 12099</t>
        </r>
        <r>
          <rPr>
            <sz val="9"/>
            <color indexed="81"/>
            <rFont val="Tahoma"/>
            <family val="2"/>
          </rPr>
          <t xml:space="preserve">
</t>
        </r>
      </text>
    </comment>
    <comment ref="C25" authorId="0" shapeId="0" xr:uid="{90E223F5-404B-42AA-BC16-4139D0166C60}">
      <text>
        <r>
          <rPr>
            <b/>
            <sz val="8"/>
            <color indexed="81"/>
            <rFont val="Tahoma"/>
            <family val="2"/>
          </rPr>
          <t>Dardenne:</t>
        </r>
        <r>
          <rPr>
            <sz val="8"/>
            <color indexed="81"/>
            <rFont val="Tahoma"/>
            <family val="2"/>
          </rPr>
          <t xml:space="preserve">
b=sy/sx
inter=ybar-b.xbar
</t>
        </r>
      </text>
    </comment>
    <comment ref="D61" authorId="1" shapeId="0" xr:uid="{8DC6099E-2A0D-4B24-83C6-7ACB7362107E}">
      <text>
        <r>
          <rPr>
            <b/>
            <sz val="9"/>
            <color indexed="81"/>
            <rFont val="Tahoma"/>
            <family val="2"/>
          </rPr>
          <t>Pierre Dardenne:</t>
        </r>
        <r>
          <rPr>
            <sz val="9"/>
            <color indexed="81"/>
            <rFont val="Tahoma"/>
            <family val="2"/>
          </rPr>
          <t xml:space="preserve">
the Y title is auto reported in the graph 
</t>
        </r>
      </text>
    </comment>
    <comment ref="F61" authorId="1" shapeId="0" xr:uid="{721C0D34-42CB-446B-AE93-2A855B9970B8}">
      <text>
        <r>
          <rPr>
            <b/>
            <sz val="9"/>
            <color indexed="81"/>
            <rFont val="Tahoma"/>
            <family val="2"/>
          </rPr>
          <t>Pierre Dardenne:</t>
        </r>
        <r>
          <rPr>
            <sz val="9"/>
            <color indexed="81"/>
            <rFont val="Tahoma"/>
            <family val="2"/>
          </rPr>
          <t xml:space="preserve">
the X title is auto reported in the graph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Dardenne</author>
    <author>Pierre Dardenne</author>
    <author>Pierre DARDENNE</author>
    <author>dardenne</author>
  </authors>
  <commentList>
    <comment ref="W1" authorId="0" shapeId="0" xr:uid="{FCD7F413-AE87-498F-A91A-18D40D53B0DC}">
      <text>
        <r>
          <rPr>
            <b/>
            <sz val="8"/>
            <color indexed="81"/>
            <rFont val="Tahoma"/>
            <family val="2"/>
          </rPr>
          <t xml:space="preserve">
DO NOT CHANGE ANY FORMULA
ONLY COPY PASTE Sample Number Yvar and Xvar at the position C60 , D60 and F60 (or 59 if the variable names are included) repectively 
ALL THE CALCULATIONS WOULD BE DONE !! 
if the autolabbeling is wrong, 
- delete the labels, 
- verify the column to be used as spl ID
DELETE the empty lines to update  the graph or the lines with 0.0 as REF and /or PRED
reload XY Chart Labels and Add the chosen column into the field (the update of the graph can take several seconds ...... be patient ! 
subroutines needed (add-ins) to be installed in excel 2007 addins
       autochart.xla
       XYchartlabeler.xla (XYChartLabeler.exe) 
REGRESSION LINES :
                 </t>
        </r>
        <r>
          <rPr>
            <b/>
            <sz val="8"/>
            <color indexed="10"/>
            <rFont val="Tahoma"/>
            <family val="2"/>
          </rPr>
          <t>RED</t>
        </r>
        <r>
          <rPr>
            <b/>
            <sz val="8"/>
            <color indexed="81"/>
            <rFont val="Tahoma"/>
            <family val="2"/>
          </rPr>
          <t xml:space="preserve">   :  45 ° line  
                 </t>
        </r>
        <r>
          <rPr>
            <b/>
            <sz val="8"/>
            <color indexed="12"/>
            <rFont val="Tahoma"/>
            <family val="2"/>
          </rPr>
          <t>BLUE</t>
        </r>
        <r>
          <rPr>
            <b/>
            <sz val="8"/>
            <color indexed="81"/>
            <rFont val="Tahoma"/>
            <family val="2"/>
          </rPr>
          <t xml:space="preserve"> :  45° line bias correction 
                 BLACK : trend line y=a+b.x
                 </t>
        </r>
        <r>
          <rPr>
            <b/>
            <sz val="8"/>
            <color indexed="52"/>
            <rFont val="Tahoma"/>
            <family val="2"/>
          </rPr>
          <t>ORANGE</t>
        </r>
        <r>
          <rPr>
            <b/>
            <sz val="8"/>
            <color indexed="81"/>
            <rFont val="Tahoma"/>
            <family val="2"/>
          </rPr>
          <t xml:space="preserve"> : least rectangles (y(x),x(y))
The autochart labeller has a problem when adding or deleting samples 
if you add or delete line (s), remove the labekking of the points, add or remove lines
(to add, fisrt insert and copy only SPL ID , Yref and Xnirs) 
after adding or deleting, click XYxhart Labels and enter a new vector to be added in the graph. 
     </t>
        </r>
      </text>
    </comment>
    <comment ref="C3" authorId="1" shapeId="0" xr:uid="{7D6CC05F-A5D7-452E-A0FB-512813F13E4C}">
      <text>
        <r>
          <rPr>
            <b/>
            <sz val="9"/>
            <color indexed="81"/>
            <rFont val="Tahoma"/>
            <family val="2"/>
          </rPr>
          <t>Pierre Dardenne:</t>
        </r>
        <r>
          <rPr>
            <sz val="9"/>
            <color indexed="81"/>
            <rFont val="Tahoma"/>
            <family val="2"/>
          </rPr>
          <t xml:space="preserve">
this title is auto reported in the graph 
</t>
        </r>
      </text>
    </comment>
    <comment ref="F18" authorId="2" shapeId="0" xr:uid="{CCD647A8-78B7-4A00-BB89-B19A97BCBD0B}">
      <text>
        <r>
          <rPr>
            <sz val="11"/>
            <color indexed="81"/>
            <rFont val="Tahoma"/>
            <family val="2"/>
          </rPr>
          <t xml:space="preserve">
Median of Absolute Deviation of the residuals corrected for bias
for a normal distribution
MAD*1.4826 = STD 
MAD represents a robust estimation of the errrors </t>
        </r>
      </text>
    </comment>
    <comment ref="H18" authorId="3" shapeId="0" xr:uid="{BD9FFA72-BE9C-4AC7-B73B-2A2D69F55FA3}">
      <text>
        <r>
          <rPr>
            <sz val="9"/>
            <color indexed="81"/>
            <rFont val="Tahoma"/>
            <family val="2"/>
          </rPr>
          <t xml:space="preserve">UNCERTAINTY CONFIDENCE LIMIT ACCORDING ISO 12099
if the SEPC is &lt; this value, the calibration is working well
if the SEPC is &gt; this value, the calibration must be updated or the ref values rechecked (or the NIR values) </t>
        </r>
      </text>
    </comment>
    <comment ref="F19" authorId="2" shapeId="0" xr:uid="{9F09DA84-8961-4883-AD70-A01C9C846B4A}">
      <text>
        <r>
          <rPr>
            <sz val="11"/>
            <color indexed="81"/>
            <rFont val="Tahoma"/>
            <family val="2"/>
          </rPr>
          <t xml:space="preserve">Median of Absolute Deviation of the residuals of the regression y=a+b.x
for a normal distribution
MAD*1.4826 = STD 
MAD represents a robust estimation of the errors 
</t>
        </r>
      </text>
    </comment>
    <comment ref="H20" authorId="3" shapeId="0" xr:uid="{606CA11A-0E00-4E8E-8367-74DBDADB4008}">
      <text>
        <r>
          <rPr>
            <sz val="9"/>
            <color indexed="81"/>
            <rFont val="Tahoma"/>
            <family val="2"/>
          </rPr>
          <t xml:space="preserve">Tobs on BIAS ACCORDING ISO12099
</t>
        </r>
      </text>
    </comment>
    <comment ref="H21" authorId="3" shapeId="0" xr:uid="{898CA258-274D-42E1-A144-09804F5D3B12}">
      <text>
        <r>
          <rPr>
            <sz val="16"/>
            <color indexed="81"/>
            <rFont val="Tahoma"/>
            <family val="2"/>
          </rPr>
          <t>T obs  on the slope according ISO 12099</t>
        </r>
        <r>
          <rPr>
            <sz val="9"/>
            <color indexed="81"/>
            <rFont val="Tahoma"/>
            <family val="2"/>
          </rPr>
          <t xml:space="preserve">
</t>
        </r>
      </text>
    </comment>
    <comment ref="C25" authorId="0" shapeId="0" xr:uid="{D0BA7831-C8E6-47BD-B108-B1EA58888958}">
      <text>
        <r>
          <rPr>
            <b/>
            <sz val="8"/>
            <color indexed="81"/>
            <rFont val="Tahoma"/>
            <family val="2"/>
          </rPr>
          <t>Dardenne:</t>
        </r>
        <r>
          <rPr>
            <sz val="8"/>
            <color indexed="81"/>
            <rFont val="Tahoma"/>
            <family val="2"/>
          </rPr>
          <t xml:space="preserve">
b=sy/sx
inter=ybar-b.xbar
</t>
        </r>
      </text>
    </comment>
    <comment ref="D61" authorId="1" shapeId="0" xr:uid="{BF82E0A0-C215-4638-AC66-7D40FFB609C5}">
      <text>
        <r>
          <rPr>
            <b/>
            <sz val="9"/>
            <color indexed="81"/>
            <rFont val="Tahoma"/>
            <family val="2"/>
          </rPr>
          <t>Pierre Dardenne:</t>
        </r>
        <r>
          <rPr>
            <sz val="9"/>
            <color indexed="81"/>
            <rFont val="Tahoma"/>
            <family val="2"/>
          </rPr>
          <t xml:space="preserve">
the Y title is auto reported in the graph 
</t>
        </r>
      </text>
    </comment>
    <comment ref="F61" authorId="1" shapeId="0" xr:uid="{214A3DC0-91F8-45D2-8B96-6638A1C29198}">
      <text>
        <r>
          <rPr>
            <b/>
            <sz val="9"/>
            <color indexed="81"/>
            <rFont val="Tahoma"/>
            <family val="2"/>
          </rPr>
          <t>Pierre Dardenne:</t>
        </r>
        <r>
          <rPr>
            <sz val="9"/>
            <color indexed="81"/>
            <rFont val="Tahoma"/>
            <family val="2"/>
          </rPr>
          <t xml:space="preserve">
the X title is auto reported in the graph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Dardenne</author>
    <author>Pierre Dardenne</author>
    <author>Pierre DARDENNE</author>
    <author>dardenne</author>
  </authors>
  <commentList>
    <comment ref="W1" authorId="0" shapeId="0" xr:uid="{417FFD57-7BA1-4598-B90D-A4D59EA602A7}">
      <text>
        <r>
          <rPr>
            <b/>
            <sz val="8"/>
            <color indexed="81"/>
            <rFont val="Tahoma"/>
            <family val="2"/>
          </rPr>
          <t xml:space="preserve">
DO NOT CHANGE ANY FORMULA
ONLY COPY PASTE Sample Number Yvar and Xvar at the position C60 , D60 and F60 (or 59 if the variable names are included) repectively 
ALL THE CALCULATIONS WOULD BE DONE !! 
if the autolabbeling is wrong, 
- delete the labels, 
- verify the column to be used as spl ID
DELETE the empty lines to update  the graph or the lines with 0.0 as REF and /or PRED
reload XY Chart Labels and Add the chosen column into the field (the update of the graph can take several seconds ...... be patient ! 
subroutines needed (add-ins) to be installed in excel 2007 addins
       autochart.xla
       XYchartlabeler.xla (XYChartLabeler.exe) 
REGRESSION LINES :
                 </t>
        </r>
        <r>
          <rPr>
            <b/>
            <sz val="8"/>
            <color indexed="10"/>
            <rFont val="Tahoma"/>
            <family val="2"/>
          </rPr>
          <t>RED</t>
        </r>
        <r>
          <rPr>
            <b/>
            <sz val="8"/>
            <color indexed="81"/>
            <rFont val="Tahoma"/>
            <family val="2"/>
          </rPr>
          <t xml:space="preserve">   :  45 ° line  
                 </t>
        </r>
        <r>
          <rPr>
            <b/>
            <sz val="8"/>
            <color indexed="12"/>
            <rFont val="Tahoma"/>
            <family val="2"/>
          </rPr>
          <t>BLUE</t>
        </r>
        <r>
          <rPr>
            <b/>
            <sz val="8"/>
            <color indexed="81"/>
            <rFont val="Tahoma"/>
            <family val="2"/>
          </rPr>
          <t xml:space="preserve"> :  45° line bias correction 
                 BLACK : trend line y=a+b.x
                 </t>
        </r>
        <r>
          <rPr>
            <b/>
            <sz val="8"/>
            <color indexed="52"/>
            <rFont val="Tahoma"/>
            <family val="2"/>
          </rPr>
          <t>ORANGE</t>
        </r>
        <r>
          <rPr>
            <b/>
            <sz val="8"/>
            <color indexed="81"/>
            <rFont val="Tahoma"/>
            <family val="2"/>
          </rPr>
          <t xml:space="preserve"> : least rectangles (y(x),x(y))
The autochart labeller has a problem when adding or deleting samples 
if you add or delete line (s), remove the labekking of the points, add or remove lines
(to add, fisrt insert and copy only SPL ID , Yref and Xnirs) 
after adding or deleting, click XYxhart Labels and enter a new vector to be added in the graph. 
     </t>
        </r>
      </text>
    </comment>
    <comment ref="C3" authorId="1" shapeId="0" xr:uid="{4A04AC42-CF79-466D-BC56-4985DAC6D152}">
      <text>
        <r>
          <rPr>
            <b/>
            <sz val="9"/>
            <color indexed="81"/>
            <rFont val="Tahoma"/>
            <family val="2"/>
          </rPr>
          <t>Pierre Dardenne:</t>
        </r>
        <r>
          <rPr>
            <sz val="9"/>
            <color indexed="81"/>
            <rFont val="Tahoma"/>
            <family val="2"/>
          </rPr>
          <t xml:space="preserve">
this title is auto reported in the graph 
</t>
        </r>
      </text>
    </comment>
    <comment ref="F18" authorId="2" shapeId="0" xr:uid="{5E2B6F08-F45A-438C-AEAD-1F00CCEF9A6E}">
      <text>
        <r>
          <rPr>
            <sz val="11"/>
            <color indexed="81"/>
            <rFont val="Tahoma"/>
            <family val="2"/>
          </rPr>
          <t xml:space="preserve">
Median of Absolute Deviation of the residuals corrected for bias
for a normal distribution
MAD*1.4826 = STD 
MAD represents a robust estimation of the errrors </t>
        </r>
      </text>
    </comment>
    <comment ref="H18" authorId="3" shapeId="0" xr:uid="{0C9BCF7A-DAF7-4B4A-BE35-F4A806D13EDA}">
      <text>
        <r>
          <rPr>
            <sz val="9"/>
            <color indexed="81"/>
            <rFont val="Tahoma"/>
            <family val="2"/>
          </rPr>
          <t xml:space="preserve">UNCERTAINTY CONFIDENCE LIMIT ACCORDING ISO 12099
if the SEPC is &lt; this value, the calibration is working well
if the SEPC is &gt; this value, the calibration must be updated or the ref values rechecked (or the NIR values) </t>
        </r>
      </text>
    </comment>
    <comment ref="F19" authorId="2" shapeId="0" xr:uid="{E5B24EEC-A4DD-4078-922C-5E94218B1BAC}">
      <text>
        <r>
          <rPr>
            <sz val="11"/>
            <color indexed="81"/>
            <rFont val="Tahoma"/>
            <family val="2"/>
          </rPr>
          <t xml:space="preserve">Median of Absolute Deviation of the residuals of the regression y=a+b.x
for a normal distribution
MAD*1.4826 = STD 
MAD represents a robust estimation of the errors 
</t>
        </r>
      </text>
    </comment>
    <comment ref="H20" authorId="3" shapeId="0" xr:uid="{0DCD5F50-A0EB-4E86-9283-67B1BC92604E}">
      <text>
        <r>
          <rPr>
            <sz val="9"/>
            <color indexed="81"/>
            <rFont val="Tahoma"/>
            <family val="2"/>
          </rPr>
          <t xml:space="preserve">Tobs on BIAS ACCORDING ISO12099
</t>
        </r>
      </text>
    </comment>
    <comment ref="H21" authorId="3" shapeId="0" xr:uid="{B7132C6B-A73F-4480-B508-6010FE8D6D25}">
      <text>
        <r>
          <rPr>
            <sz val="16"/>
            <color indexed="81"/>
            <rFont val="Tahoma"/>
            <family val="2"/>
          </rPr>
          <t>T obs  on the slope according ISO 12099</t>
        </r>
        <r>
          <rPr>
            <sz val="9"/>
            <color indexed="81"/>
            <rFont val="Tahoma"/>
            <family val="2"/>
          </rPr>
          <t xml:space="preserve">
</t>
        </r>
      </text>
    </comment>
    <comment ref="C25" authorId="0" shapeId="0" xr:uid="{BC5487CB-B2C7-4F43-985D-799B9C04D36D}">
      <text>
        <r>
          <rPr>
            <b/>
            <sz val="8"/>
            <color indexed="81"/>
            <rFont val="Tahoma"/>
            <family val="2"/>
          </rPr>
          <t>Dardenne:</t>
        </r>
        <r>
          <rPr>
            <sz val="8"/>
            <color indexed="81"/>
            <rFont val="Tahoma"/>
            <family val="2"/>
          </rPr>
          <t xml:space="preserve">
b=sy/sx
inter=ybar-b.xbar
</t>
        </r>
      </text>
    </comment>
    <comment ref="D61" authorId="1" shapeId="0" xr:uid="{249878FE-CF62-468F-BF90-A8A094D34FAF}">
      <text>
        <r>
          <rPr>
            <b/>
            <sz val="9"/>
            <color indexed="81"/>
            <rFont val="Tahoma"/>
            <family val="2"/>
          </rPr>
          <t>Pierre Dardenne:</t>
        </r>
        <r>
          <rPr>
            <sz val="9"/>
            <color indexed="81"/>
            <rFont val="Tahoma"/>
            <family val="2"/>
          </rPr>
          <t xml:space="preserve">
the Y title is auto reported in the graph 
</t>
        </r>
      </text>
    </comment>
    <comment ref="F61" authorId="1" shapeId="0" xr:uid="{C97CEB89-21DA-4988-8CF2-27C610FD8036}">
      <text>
        <r>
          <rPr>
            <b/>
            <sz val="9"/>
            <color indexed="81"/>
            <rFont val="Tahoma"/>
            <family val="2"/>
          </rPr>
          <t>Pierre Dardenne:</t>
        </r>
        <r>
          <rPr>
            <sz val="9"/>
            <color indexed="81"/>
            <rFont val="Tahoma"/>
            <family val="2"/>
          </rPr>
          <t xml:space="preserve">
the X title is auto reported in the graph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Dardenne</author>
    <author>Pierre Dardenne</author>
    <author>Pierre DARDENNE</author>
    <author>dardenne</author>
  </authors>
  <commentList>
    <comment ref="W1" authorId="0" shapeId="0" xr:uid="{35575A0F-4ED4-43E9-AB6A-A57B24B64002}">
      <text>
        <r>
          <rPr>
            <b/>
            <sz val="8"/>
            <color indexed="81"/>
            <rFont val="Tahoma"/>
            <family val="2"/>
          </rPr>
          <t xml:space="preserve">
DO NOT CHANGE ANY FORMULA
ONLY COPY PASTE Sample Number Yvar and Xvar at the position C60 , D60 and F60 (or 59 if the variable names are included) repectively 
ALL THE CALCULATIONS WOULD BE DONE !! 
if the autolabbeling is wrong, 
- delete the labels, 
- verify the column to be used as spl ID
DELETE the empty lines to update  the graph or the lines with 0.0 as REF and /or PRED
reload XY Chart Labels and Add the chosen column into the field (the update of the graph can take several seconds ...... be patient ! 
subroutines needed (add-ins) to be installed in excel 2007 addins
       autochart.xla
       XYchartlabeler.xla (XYChartLabeler.exe) 
REGRESSION LINES :
                 </t>
        </r>
        <r>
          <rPr>
            <b/>
            <sz val="8"/>
            <color indexed="10"/>
            <rFont val="Tahoma"/>
            <family val="2"/>
          </rPr>
          <t>RED</t>
        </r>
        <r>
          <rPr>
            <b/>
            <sz val="8"/>
            <color indexed="81"/>
            <rFont val="Tahoma"/>
            <family val="2"/>
          </rPr>
          <t xml:space="preserve">   :  45 ° line  
                 </t>
        </r>
        <r>
          <rPr>
            <b/>
            <sz val="8"/>
            <color indexed="12"/>
            <rFont val="Tahoma"/>
            <family val="2"/>
          </rPr>
          <t>BLUE</t>
        </r>
        <r>
          <rPr>
            <b/>
            <sz val="8"/>
            <color indexed="81"/>
            <rFont val="Tahoma"/>
            <family val="2"/>
          </rPr>
          <t xml:space="preserve"> :  45° line bias correction 
                 BLACK : trend line y=a+b.x
                 </t>
        </r>
        <r>
          <rPr>
            <b/>
            <sz val="8"/>
            <color indexed="52"/>
            <rFont val="Tahoma"/>
            <family val="2"/>
          </rPr>
          <t>ORANGE</t>
        </r>
        <r>
          <rPr>
            <b/>
            <sz val="8"/>
            <color indexed="81"/>
            <rFont val="Tahoma"/>
            <family val="2"/>
          </rPr>
          <t xml:space="preserve"> : least rectangles (y(x),x(y))
The autochart labeller has a problem when adding or deleting samples 
if you add or delete line (s), remove the labekking of the points, add or remove lines
(to add, fisrt insert and copy only SPL ID , Yref and Xnirs) 
after adding or deleting, click XYxhart Labels and enter a new vector to be added in the graph. 
     </t>
        </r>
      </text>
    </comment>
    <comment ref="C3" authorId="1" shapeId="0" xr:uid="{D702594F-13E3-4205-8A30-58E8A9D873C7}">
      <text>
        <r>
          <rPr>
            <b/>
            <sz val="9"/>
            <color indexed="81"/>
            <rFont val="Tahoma"/>
            <family val="2"/>
          </rPr>
          <t>Pierre Dardenne:</t>
        </r>
        <r>
          <rPr>
            <sz val="9"/>
            <color indexed="81"/>
            <rFont val="Tahoma"/>
            <family val="2"/>
          </rPr>
          <t xml:space="preserve">
this title is auto reported in the graph 
</t>
        </r>
      </text>
    </comment>
    <comment ref="F18" authorId="2" shapeId="0" xr:uid="{2C7CC3C9-9BB4-48FE-8D17-04B8FBB08279}">
      <text>
        <r>
          <rPr>
            <sz val="11"/>
            <color indexed="81"/>
            <rFont val="Tahoma"/>
            <family val="2"/>
          </rPr>
          <t xml:space="preserve">
Median of Absolute Deviation of the residuals corrected for bias
for a normal distribution
MAD*1.4826 = STD 
MAD represents a robust estimation of the errrors </t>
        </r>
      </text>
    </comment>
    <comment ref="H18" authorId="3" shapeId="0" xr:uid="{3BD0AA0F-91AB-4467-B709-61F343EAA870}">
      <text>
        <r>
          <rPr>
            <sz val="9"/>
            <color indexed="81"/>
            <rFont val="Tahoma"/>
            <family val="2"/>
          </rPr>
          <t xml:space="preserve">UNCERTAINTY CONFIDENCE LIMIT ACCORDING ISO 12099
if the SEPC is &lt; this value, the calibration is working well
if the SEPC is &gt; this value, the calibration must be updated or the ref values rechecked (or the NIR values) </t>
        </r>
      </text>
    </comment>
    <comment ref="F19" authorId="2" shapeId="0" xr:uid="{25DF802D-E49F-44F1-95D3-C8E1B0EE5418}">
      <text>
        <r>
          <rPr>
            <sz val="11"/>
            <color indexed="81"/>
            <rFont val="Tahoma"/>
            <family val="2"/>
          </rPr>
          <t xml:space="preserve">Median of Absolute Deviation of the residuals of the regression y=a+b.x
for a normal distribution
MAD*1.4826 = STD 
MAD represents a robust estimation of the errors 
</t>
        </r>
      </text>
    </comment>
    <comment ref="H20" authorId="3" shapeId="0" xr:uid="{847DF5A1-F9E3-47A4-94EB-ED3F56AA4765}">
      <text>
        <r>
          <rPr>
            <sz val="9"/>
            <color indexed="81"/>
            <rFont val="Tahoma"/>
            <family val="2"/>
          </rPr>
          <t xml:space="preserve">Tobs on BIAS ACCORDING ISO12099
</t>
        </r>
      </text>
    </comment>
    <comment ref="H21" authorId="3" shapeId="0" xr:uid="{B93D2388-1B59-4DA0-9D39-66895C8DB55A}">
      <text>
        <r>
          <rPr>
            <sz val="16"/>
            <color indexed="81"/>
            <rFont val="Tahoma"/>
            <family val="2"/>
          </rPr>
          <t>T obs  on the slope according ISO 12099</t>
        </r>
        <r>
          <rPr>
            <sz val="9"/>
            <color indexed="81"/>
            <rFont val="Tahoma"/>
            <family val="2"/>
          </rPr>
          <t xml:space="preserve">
</t>
        </r>
      </text>
    </comment>
    <comment ref="C25" authorId="0" shapeId="0" xr:uid="{AAC8DA32-C164-42A2-9CAD-B11288F513F2}">
      <text>
        <r>
          <rPr>
            <b/>
            <sz val="8"/>
            <color indexed="81"/>
            <rFont val="Tahoma"/>
            <family val="2"/>
          </rPr>
          <t>Dardenne:</t>
        </r>
        <r>
          <rPr>
            <sz val="8"/>
            <color indexed="81"/>
            <rFont val="Tahoma"/>
            <family val="2"/>
          </rPr>
          <t xml:space="preserve">
b=sy/sx
inter=ybar-b.xbar
</t>
        </r>
      </text>
    </comment>
    <comment ref="D61" authorId="1" shapeId="0" xr:uid="{B2D2C90F-FB19-4CF6-95EB-85472C0556DD}">
      <text>
        <r>
          <rPr>
            <b/>
            <sz val="9"/>
            <color indexed="81"/>
            <rFont val="Tahoma"/>
            <family val="2"/>
          </rPr>
          <t>Pierre Dardenne:</t>
        </r>
        <r>
          <rPr>
            <sz val="9"/>
            <color indexed="81"/>
            <rFont val="Tahoma"/>
            <family val="2"/>
          </rPr>
          <t xml:space="preserve">
the Y title is auto reported in the graph 
</t>
        </r>
      </text>
    </comment>
    <comment ref="F61" authorId="1" shapeId="0" xr:uid="{6C24EA1F-A1B0-4CC8-85BC-8F4C589D08AB}">
      <text>
        <r>
          <rPr>
            <b/>
            <sz val="9"/>
            <color indexed="81"/>
            <rFont val="Tahoma"/>
            <family val="2"/>
          </rPr>
          <t>Pierre Dardenne:</t>
        </r>
        <r>
          <rPr>
            <sz val="9"/>
            <color indexed="81"/>
            <rFont val="Tahoma"/>
            <family val="2"/>
          </rPr>
          <t xml:space="preserve">
the X title is auto reported in the graph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Dardenne</author>
    <author>Pierre Dardenne</author>
    <author>Pierre DARDENNE</author>
    <author>dardenne</author>
  </authors>
  <commentList>
    <comment ref="W1" authorId="0" shapeId="0" xr:uid="{73829DF1-54C8-4CB0-BEAC-B715E5C4D448}">
      <text>
        <r>
          <rPr>
            <b/>
            <sz val="8"/>
            <color indexed="81"/>
            <rFont val="Tahoma"/>
            <family val="2"/>
          </rPr>
          <t xml:space="preserve">
DO NOT CHANGE ANY FORMULA
ONLY COPY PASTE Sample Number Yvar and Xvar at the position C60 , D60 and F60 (or 59 if the variable names are included) repectively 
ALL THE CALCULATIONS WOULD BE DONE !! 
if the autolabbeling is wrong, 
- delete the labels, 
- verify the column to be used as spl ID
DELETE the empty lines to update  the graph or the lines with 0.0 as REF and /or PRED
reload XY Chart Labels and Add the chosen column into the field (the update of the graph can take several seconds ...... be patient ! 
subroutines needed (add-ins) to be installed in excel 2007 addins
       autochart.xla
       XYchartlabeler.xla (XYChartLabeler.exe) 
REGRESSION LINES :
                 </t>
        </r>
        <r>
          <rPr>
            <b/>
            <sz val="8"/>
            <color indexed="10"/>
            <rFont val="Tahoma"/>
            <family val="2"/>
          </rPr>
          <t>RED</t>
        </r>
        <r>
          <rPr>
            <b/>
            <sz val="8"/>
            <color indexed="81"/>
            <rFont val="Tahoma"/>
            <family val="2"/>
          </rPr>
          <t xml:space="preserve">   :  45 ° line  
                 </t>
        </r>
        <r>
          <rPr>
            <b/>
            <sz val="8"/>
            <color indexed="12"/>
            <rFont val="Tahoma"/>
            <family val="2"/>
          </rPr>
          <t>BLUE</t>
        </r>
        <r>
          <rPr>
            <b/>
            <sz val="8"/>
            <color indexed="81"/>
            <rFont val="Tahoma"/>
            <family val="2"/>
          </rPr>
          <t xml:space="preserve"> :  45° line bias correction 
                 BLACK : trend line y=a+b.x
                 </t>
        </r>
        <r>
          <rPr>
            <b/>
            <sz val="8"/>
            <color indexed="52"/>
            <rFont val="Tahoma"/>
            <family val="2"/>
          </rPr>
          <t>ORANGE</t>
        </r>
        <r>
          <rPr>
            <b/>
            <sz val="8"/>
            <color indexed="81"/>
            <rFont val="Tahoma"/>
            <family val="2"/>
          </rPr>
          <t xml:space="preserve"> : least rectangles (y(x),x(y))
The autochart labeller has a problem when adding or deleting samples 
if you add or delete line (s), remove the labekking of the points, add or remove lines
(to add, fisrt insert and copy only SPL ID , Yref and Xnirs) 
after adding or deleting, click XYxhart Labels and enter a new vector to be added in the graph. 
     </t>
        </r>
      </text>
    </comment>
    <comment ref="C3" authorId="1" shapeId="0" xr:uid="{35725D61-E4B2-401E-826A-49989848F007}">
      <text>
        <r>
          <rPr>
            <b/>
            <sz val="9"/>
            <color indexed="81"/>
            <rFont val="Tahoma"/>
            <family val="2"/>
          </rPr>
          <t>Pierre Dardenne:</t>
        </r>
        <r>
          <rPr>
            <sz val="9"/>
            <color indexed="81"/>
            <rFont val="Tahoma"/>
            <family val="2"/>
          </rPr>
          <t xml:space="preserve">
this title is auto reported in the graph 
</t>
        </r>
      </text>
    </comment>
    <comment ref="F18" authorId="2" shapeId="0" xr:uid="{6F1256C5-C2E0-4F4C-BFA9-CB2367139AD4}">
      <text>
        <r>
          <rPr>
            <sz val="11"/>
            <color indexed="81"/>
            <rFont val="Tahoma"/>
            <family val="2"/>
          </rPr>
          <t xml:space="preserve">
Median of Absolute Deviation of the residuals corrected for bias
for a normal distribution
MAD*1.4826 = STD 
MAD represents a robust estimation of the errrors </t>
        </r>
      </text>
    </comment>
    <comment ref="H18" authorId="3" shapeId="0" xr:uid="{CD2ED0DB-FE50-4615-A98C-100DAFA2DB4C}">
      <text>
        <r>
          <rPr>
            <sz val="9"/>
            <color indexed="81"/>
            <rFont val="Tahoma"/>
            <family val="2"/>
          </rPr>
          <t xml:space="preserve">UNCERTAINTY CONFIDENCE LIMIT ACCORDING ISO 12099
if the SEPC is &lt; this value, the calibration is working well
if the SEPC is &gt; this value, the calibration must be updated or the ref values rechecked (or the NIR values) </t>
        </r>
      </text>
    </comment>
    <comment ref="F19" authorId="2" shapeId="0" xr:uid="{E39290EF-8710-4B55-9BFA-01E0395A78E6}">
      <text>
        <r>
          <rPr>
            <sz val="11"/>
            <color indexed="81"/>
            <rFont val="Tahoma"/>
            <family val="2"/>
          </rPr>
          <t xml:space="preserve">Median of Absolute Deviation of the residuals of the regression y=a+b.x
for a normal distribution
MAD*1.4826 = STD 
MAD represents a robust estimation of the errors 
</t>
        </r>
      </text>
    </comment>
    <comment ref="H20" authorId="3" shapeId="0" xr:uid="{AF8BC087-72AC-4D95-A5AC-7C1AF17BB75C}">
      <text>
        <r>
          <rPr>
            <sz val="9"/>
            <color indexed="81"/>
            <rFont val="Tahoma"/>
            <family val="2"/>
          </rPr>
          <t xml:space="preserve">Tobs on BIAS ACCORDING ISO12099
</t>
        </r>
      </text>
    </comment>
    <comment ref="H21" authorId="3" shapeId="0" xr:uid="{3C252454-A06D-4C9C-BC00-FE7B2AF6C8E6}">
      <text>
        <r>
          <rPr>
            <sz val="16"/>
            <color indexed="81"/>
            <rFont val="Tahoma"/>
            <family val="2"/>
          </rPr>
          <t>T obs  on the slope according ISO 12099</t>
        </r>
        <r>
          <rPr>
            <sz val="9"/>
            <color indexed="81"/>
            <rFont val="Tahoma"/>
            <family val="2"/>
          </rPr>
          <t xml:space="preserve">
</t>
        </r>
      </text>
    </comment>
    <comment ref="C25" authorId="0" shapeId="0" xr:uid="{F6899F93-050E-435A-81E3-AEE1FF1C32EA}">
      <text>
        <r>
          <rPr>
            <b/>
            <sz val="8"/>
            <color indexed="81"/>
            <rFont val="Tahoma"/>
            <family val="2"/>
          </rPr>
          <t>Dardenne:</t>
        </r>
        <r>
          <rPr>
            <sz val="8"/>
            <color indexed="81"/>
            <rFont val="Tahoma"/>
            <family val="2"/>
          </rPr>
          <t xml:space="preserve">
b=sy/sx
inter=ybar-b.xbar
</t>
        </r>
      </text>
    </comment>
    <comment ref="D61" authorId="1" shapeId="0" xr:uid="{4574D97C-87A7-4771-B8DD-A6CD07BBD175}">
      <text>
        <r>
          <rPr>
            <b/>
            <sz val="9"/>
            <color indexed="81"/>
            <rFont val="Tahoma"/>
            <family val="2"/>
          </rPr>
          <t>Pierre Dardenne:</t>
        </r>
        <r>
          <rPr>
            <sz val="9"/>
            <color indexed="81"/>
            <rFont val="Tahoma"/>
            <family val="2"/>
          </rPr>
          <t xml:space="preserve">
the Y title is auto reported in the graph 
</t>
        </r>
      </text>
    </comment>
    <comment ref="F61" authorId="1" shapeId="0" xr:uid="{A4457BD2-4E28-4111-AC47-549A335F0F95}">
      <text>
        <r>
          <rPr>
            <b/>
            <sz val="9"/>
            <color indexed="81"/>
            <rFont val="Tahoma"/>
            <family val="2"/>
          </rPr>
          <t>Pierre Dardenne:</t>
        </r>
        <r>
          <rPr>
            <sz val="9"/>
            <color indexed="81"/>
            <rFont val="Tahoma"/>
            <family val="2"/>
          </rPr>
          <t xml:space="preserve">
the X title is auto reported in the graph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Dardenne</author>
    <author>Pierre Dardenne</author>
    <author>Pierre DARDENNE</author>
    <author>dardenne</author>
  </authors>
  <commentList>
    <comment ref="W1" authorId="0" shapeId="0" xr:uid="{FB3FB41F-85F2-4873-916D-CB41A88B08C2}">
      <text>
        <r>
          <rPr>
            <b/>
            <sz val="8"/>
            <color indexed="81"/>
            <rFont val="Tahoma"/>
            <family val="2"/>
          </rPr>
          <t xml:space="preserve">
DO NOT CHANGE ANY FORMULA
ONLY COPY PASTE Sample Number Yvar and Xvar at the position C60 , D60 and F60 (or 59 if the variable names are included) repectively 
ALL THE CALCULATIONS WOULD BE DONE !! 
if the autolabbeling is wrong, 
- delete the labels, 
- verify the column to be used as spl ID
DELETE the empty lines to update  the graph or the lines with 0.0 as REF and /or PRED
reload XY Chart Labels and Add the chosen column into the field (the update of the graph can take several seconds ...... be patient ! 
subroutines needed (add-ins) to be installed in excel 2007 addins
       autochart.xla
       XYchartlabeler.xla (XYChartLabeler.exe) 
REGRESSION LINES :
                 </t>
        </r>
        <r>
          <rPr>
            <b/>
            <sz val="8"/>
            <color indexed="10"/>
            <rFont val="Tahoma"/>
            <family val="2"/>
          </rPr>
          <t>RED</t>
        </r>
        <r>
          <rPr>
            <b/>
            <sz val="8"/>
            <color indexed="81"/>
            <rFont val="Tahoma"/>
            <family val="2"/>
          </rPr>
          <t xml:space="preserve">   :  45 ° line  
                 </t>
        </r>
        <r>
          <rPr>
            <b/>
            <sz val="8"/>
            <color indexed="12"/>
            <rFont val="Tahoma"/>
            <family val="2"/>
          </rPr>
          <t>BLUE</t>
        </r>
        <r>
          <rPr>
            <b/>
            <sz val="8"/>
            <color indexed="81"/>
            <rFont val="Tahoma"/>
            <family val="2"/>
          </rPr>
          <t xml:space="preserve"> :  45° line bias correction 
                 BLACK : trend line y=a+b.x
                 </t>
        </r>
        <r>
          <rPr>
            <b/>
            <sz val="8"/>
            <color indexed="52"/>
            <rFont val="Tahoma"/>
            <family val="2"/>
          </rPr>
          <t>ORANGE</t>
        </r>
        <r>
          <rPr>
            <b/>
            <sz val="8"/>
            <color indexed="81"/>
            <rFont val="Tahoma"/>
            <family val="2"/>
          </rPr>
          <t xml:space="preserve"> : least rectangles (y(x),x(y))
The autochart labeller has a problem when adding or deleting samples 
if you add or delete line (s), remove the labekking of the points, add or remove lines
(to add, fisrt insert and copy only SPL ID , Yref and Xnirs) 
after adding or deleting, click XYxhart Labels and enter a new vector to be added in the graph. 
     </t>
        </r>
      </text>
    </comment>
    <comment ref="C3" authorId="1" shapeId="0" xr:uid="{4D0791F4-9C52-40E9-8493-466B5C230C0D}">
      <text>
        <r>
          <rPr>
            <b/>
            <sz val="9"/>
            <color indexed="81"/>
            <rFont val="Tahoma"/>
            <family val="2"/>
          </rPr>
          <t>Pierre Dardenne:</t>
        </r>
        <r>
          <rPr>
            <sz val="9"/>
            <color indexed="81"/>
            <rFont val="Tahoma"/>
            <family val="2"/>
          </rPr>
          <t xml:space="preserve">
this title is auto reported in the graph 
</t>
        </r>
      </text>
    </comment>
    <comment ref="F18" authorId="2" shapeId="0" xr:uid="{D3565610-62EB-442C-9456-2D5BEF85C133}">
      <text>
        <r>
          <rPr>
            <sz val="11"/>
            <color indexed="81"/>
            <rFont val="Tahoma"/>
            <family val="2"/>
          </rPr>
          <t xml:space="preserve">
Median of Absolute Deviation of the residuals corrected for bias
for a normal distribution
MAD*1.4826 = STD 
MAD represents a robust estimation of the errrors </t>
        </r>
      </text>
    </comment>
    <comment ref="H18" authorId="3" shapeId="0" xr:uid="{DB522A33-A6A4-4D0F-A8E7-5432F708BFC2}">
      <text>
        <r>
          <rPr>
            <sz val="9"/>
            <color indexed="81"/>
            <rFont val="Tahoma"/>
            <family val="2"/>
          </rPr>
          <t xml:space="preserve">UNCERTAINTY CONFIDENCE LIMIT ACCORDING ISO 12099
if the SEPC is &lt; this value, the calibration is working well
if the SEPC is &gt; this value, the calibration must be updated or the ref values rechecked (or the NIR values) </t>
        </r>
      </text>
    </comment>
    <comment ref="F19" authorId="2" shapeId="0" xr:uid="{323F84B2-B7D1-4251-9662-3C112E36C028}">
      <text>
        <r>
          <rPr>
            <sz val="11"/>
            <color indexed="81"/>
            <rFont val="Tahoma"/>
            <family val="2"/>
          </rPr>
          <t xml:space="preserve">Median of Absolute Deviation of the residuals of the regression y=a+b.x
for a normal distribution
MAD*1.4826 = STD 
MAD represents a robust estimation of the errors 
</t>
        </r>
      </text>
    </comment>
    <comment ref="H20" authorId="3" shapeId="0" xr:uid="{F5CB45C4-2BE1-43D0-A218-258792EB4581}">
      <text>
        <r>
          <rPr>
            <sz val="9"/>
            <color indexed="81"/>
            <rFont val="Tahoma"/>
            <family val="2"/>
          </rPr>
          <t xml:space="preserve">Tobs on BIAS ACCORDING ISO12099
</t>
        </r>
      </text>
    </comment>
    <comment ref="H21" authorId="3" shapeId="0" xr:uid="{2F0EAE77-4F19-4E0E-96C9-80323C83D4A8}">
      <text>
        <r>
          <rPr>
            <sz val="16"/>
            <color indexed="81"/>
            <rFont val="Tahoma"/>
            <family val="2"/>
          </rPr>
          <t>T obs  on the slope according ISO 12099</t>
        </r>
        <r>
          <rPr>
            <sz val="9"/>
            <color indexed="81"/>
            <rFont val="Tahoma"/>
            <family val="2"/>
          </rPr>
          <t xml:space="preserve">
</t>
        </r>
      </text>
    </comment>
    <comment ref="C25" authorId="0" shapeId="0" xr:uid="{1D56989F-5398-483F-87D1-98DCED7AE8C8}">
      <text>
        <r>
          <rPr>
            <b/>
            <sz val="8"/>
            <color indexed="81"/>
            <rFont val="Tahoma"/>
            <family val="2"/>
          </rPr>
          <t>Dardenne:</t>
        </r>
        <r>
          <rPr>
            <sz val="8"/>
            <color indexed="81"/>
            <rFont val="Tahoma"/>
            <family val="2"/>
          </rPr>
          <t xml:space="preserve">
b=sy/sx
inter=ybar-b.xbar
</t>
        </r>
      </text>
    </comment>
    <comment ref="D61" authorId="1" shapeId="0" xr:uid="{806ED414-9CC9-44FC-AFBF-F49B51FF9EAB}">
      <text>
        <r>
          <rPr>
            <b/>
            <sz val="9"/>
            <color indexed="81"/>
            <rFont val="Tahoma"/>
            <family val="2"/>
          </rPr>
          <t>Pierre Dardenne:</t>
        </r>
        <r>
          <rPr>
            <sz val="9"/>
            <color indexed="81"/>
            <rFont val="Tahoma"/>
            <family val="2"/>
          </rPr>
          <t xml:space="preserve">
the Y title is auto reported in the graph 
</t>
        </r>
      </text>
    </comment>
    <comment ref="F61" authorId="1" shapeId="0" xr:uid="{BDF8BE0F-7FD3-4D48-99B9-838C20F4021C}">
      <text>
        <r>
          <rPr>
            <b/>
            <sz val="9"/>
            <color indexed="81"/>
            <rFont val="Tahoma"/>
            <family val="2"/>
          </rPr>
          <t>Pierre Dardenne:</t>
        </r>
        <r>
          <rPr>
            <sz val="9"/>
            <color indexed="81"/>
            <rFont val="Tahoma"/>
            <family val="2"/>
          </rPr>
          <t xml:space="preserve">
the X title is auto reported in the graph 
</t>
        </r>
      </text>
    </comment>
  </commentList>
</comments>
</file>

<file path=xl/sharedStrings.xml><?xml version="1.0" encoding="utf-8"?>
<sst xmlns="http://schemas.openxmlformats.org/spreadsheetml/2006/main" count="2126" uniqueCount="233">
  <si>
    <t>Position</t>
  </si>
  <si>
    <t>Y</t>
  </si>
  <si>
    <t>X</t>
  </si>
  <si>
    <t>diff-bias</t>
  </si>
  <si>
    <t>Yest</t>
  </si>
  <si>
    <t>yest_rect</t>
  </si>
  <si>
    <t>Average=</t>
  </si>
  <si>
    <t>Min=</t>
  </si>
  <si>
    <t>Max=</t>
  </si>
  <si>
    <t>SD=</t>
  </si>
  <si>
    <t>RMSEP=</t>
  </si>
  <si>
    <t>SEPC=</t>
  </si>
  <si>
    <t>RSDyx=</t>
  </si>
  <si>
    <t>Slope=</t>
  </si>
  <si>
    <t>Intercept=</t>
  </si>
  <si>
    <t>RSQ=</t>
  </si>
  <si>
    <t>BIAS=</t>
  </si>
  <si>
    <t>Least rectangle slope=</t>
  </si>
  <si>
    <t>Least rectangle intercept=</t>
  </si>
  <si>
    <t>cov(x,y)=</t>
  </si>
  <si>
    <t>sign(cov)</t>
  </si>
  <si>
    <t>RMSEPrec=</t>
  </si>
  <si>
    <t>N=</t>
  </si>
  <si>
    <t>Xbiased</t>
  </si>
  <si>
    <t>y1rect=</t>
  </si>
  <si>
    <t>y2rect=</t>
  </si>
  <si>
    <t>ym=</t>
  </si>
  <si>
    <t>Xrec</t>
  </si>
  <si>
    <t>Yrec</t>
  </si>
  <si>
    <t>RPD=</t>
  </si>
  <si>
    <t>last point=</t>
  </si>
  <si>
    <t>dif rec</t>
  </si>
  <si>
    <t>dif^2</t>
  </si>
  <si>
    <t>dif_rec^2</t>
  </si>
  <si>
    <t xml:space="preserve">the last point must be changed in serie 1 for X and Y </t>
  </si>
  <si>
    <t>click in the graph</t>
  </si>
  <si>
    <t xml:space="preserve">select data </t>
  </si>
  <si>
    <t>max resid=</t>
  </si>
  <si>
    <t>CALIBRATION INFORMATION</t>
  </si>
  <si>
    <t>SECV=</t>
  </si>
  <si>
    <t xml:space="preserve">Alpha= </t>
  </si>
  <si>
    <t>Tvalue=</t>
  </si>
  <si>
    <t>Fvalue=</t>
  </si>
  <si>
    <t>Number of Terms =</t>
  </si>
  <si>
    <t>F_sep=</t>
  </si>
  <si>
    <t>Tobs_slope=</t>
  </si>
  <si>
    <t>Tobs_bias=</t>
  </si>
  <si>
    <t>Quartile75=</t>
  </si>
  <si>
    <t>X-Y</t>
  </si>
  <si>
    <t>Column3</t>
  </si>
  <si>
    <t>abs_errors</t>
  </si>
  <si>
    <t>RESyx</t>
  </si>
  <si>
    <t>Abs_erroryx</t>
  </si>
  <si>
    <t>INSTRUCTIONS</t>
  </si>
  <si>
    <t>min resid=</t>
  </si>
  <si>
    <t>Median ABS errors=</t>
  </si>
  <si>
    <t>Medians=</t>
  </si>
  <si>
    <t>SD_medians=</t>
  </si>
  <si>
    <t>lab-med</t>
  </si>
  <si>
    <t>anl-med</t>
  </si>
  <si>
    <t>abs(lab)</t>
  </si>
  <si>
    <t>abs(anl)</t>
  </si>
  <si>
    <t>Produits Lab x Anl</t>
  </si>
  <si>
    <t xml:space="preserve">Robust(medians) </t>
  </si>
  <si>
    <t xml:space="preserve">RPD2= </t>
  </si>
  <si>
    <t>REF</t>
  </si>
  <si>
    <t>Column1</t>
  </si>
  <si>
    <t>SN</t>
  </si>
  <si>
    <t>Ypred</t>
  </si>
  <si>
    <t>S001</t>
  </si>
  <si>
    <t>S002</t>
  </si>
  <si>
    <t>S003</t>
  </si>
  <si>
    <t>S004</t>
  </si>
  <si>
    <t>S005</t>
  </si>
  <si>
    <t>S006</t>
  </si>
  <si>
    <t>S007</t>
  </si>
  <si>
    <t>S008</t>
  </si>
  <si>
    <t>S009</t>
  </si>
  <si>
    <t>S010</t>
  </si>
  <si>
    <t>S011</t>
  </si>
  <si>
    <t>S012</t>
  </si>
  <si>
    <t>S013</t>
  </si>
  <si>
    <t>S014</t>
  </si>
  <si>
    <t>S015</t>
  </si>
  <si>
    <t>S016</t>
  </si>
  <si>
    <t>S017</t>
  </si>
  <si>
    <t>S018</t>
  </si>
  <si>
    <t>S019</t>
  </si>
  <si>
    <t>S020</t>
  </si>
  <si>
    <t>S021</t>
  </si>
  <si>
    <t>S022</t>
  </si>
  <si>
    <t>S023</t>
  </si>
  <si>
    <t>S024</t>
  </si>
  <si>
    <t>S025</t>
  </si>
  <si>
    <t>S026</t>
  </si>
  <si>
    <t>S027</t>
  </si>
  <si>
    <t>S028</t>
  </si>
  <si>
    <t>S029</t>
  </si>
  <si>
    <t>S030</t>
  </si>
  <si>
    <t>S031</t>
  </si>
  <si>
    <t>S032</t>
  </si>
  <si>
    <t>S033</t>
  </si>
  <si>
    <t>S034</t>
  </si>
  <si>
    <t>S035</t>
  </si>
  <si>
    <t>S036</t>
  </si>
  <si>
    <t>S037</t>
  </si>
  <si>
    <t>S038</t>
  </si>
  <si>
    <t>S039</t>
  </si>
  <si>
    <t>S040</t>
  </si>
  <si>
    <t>S041</t>
  </si>
  <si>
    <t>S042</t>
  </si>
  <si>
    <t>S043</t>
  </si>
  <si>
    <t>S044</t>
  </si>
  <si>
    <t>S045</t>
  </si>
  <si>
    <t>S046</t>
  </si>
  <si>
    <t>S047</t>
  </si>
  <si>
    <t>S048</t>
  </si>
  <si>
    <t>S049</t>
  </si>
  <si>
    <t>S050</t>
  </si>
  <si>
    <t>S051</t>
  </si>
  <si>
    <t>S052</t>
  </si>
  <si>
    <t>S053</t>
  </si>
  <si>
    <t>S054</t>
  </si>
  <si>
    <t>S055</t>
  </si>
  <si>
    <t>S056</t>
  </si>
  <si>
    <t>S057</t>
  </si>
  <si>
    <t>S058</t>
  </si>
  <si>
    <t>S059</t>
  </si>
  <si>
    <t>S060</t>
  </si>
  <si>
    <t>S061</t>
  </si>
  <si>
    <t>S062</t>
  </si>
  <si>
    <t>S063</t>
  </si>
  <si>
    <t>S064</t>
  </si>
  <si>
    <t>S065</t>
  </si>
  <si>
    <t>S066</t>
  </si>
  <si>
    <t>S067</t>
  </si>
  <si>
    <t>S068</t>
  </si>
  <si>
    <t>S069</t>
  </si>
  <si>
    <t>S070</t>
  </si>
  <si>
    <t>S071</t>
  </si>
  <si>
    <t>S072</t>
  </si>
  <si>
    <t>S073</t>
  </si>
  <si>
    <t>S074</t>
  </si>
  <si>
    <t>S075</t>
  </si>
  <si>
    <t>S076</t>
  </si>
  <si>
    <t>S077</t>
  </si>
  <si>
    <t>S078</t>
  </si>
  <si>
    <t>S079</t>
  </si>
  <si>
    <t>S080</t>
  </si>
  <si>
    <t xml:space="preserve">Challenge 2022 Emmanuel D. </t>
  </si>
  <si>
    <t xml:space="preserve">AgroSup Dijon </t>
  </si>
  <si>
    <t xml:space="preserve">OPEX-Brest </t>
  </si>
  <si>
    <t xml:space="preserve">Cleaning Val, Interpol, Smooth, SNV, D1, Reassignment WL, PLS (2lv) </t>
  </si>
  <si>
    <t>R2</t>
  </si>
  <si>
    <t xml:space="preserve">OPEX STUDENTS </t>
  </si>
  <si>
    <t>yval</t>
  </si>
  <si>
    <t xml:space="preserve">Yves Lihour </t>
  </si>
  <si>
    <t>realignement Warping DIPLS (Domaine Invariant PLS)</t>
  </si>
  <si>
    <t xml:space="preserve">Lijour </t>
  </si>
  <si>
    <t>Mohammed LOUDIYI</t>
  </si>
  <si>
    <t>GEVES</t>
  </si>
  <si>
    <t xml:space="preserve">realignement linéaire  </t>
  </si>
  <si>
    <t>Loudiyi Mohammed</t>
  </si>
  <si>
    <t>Y_pred</t>
  </si>
  <si>
    <t>Lesnoff</t>
  </si>
  <si>
    <t>Matthieu Lesnoff</t>
  </si>
  <si>
    <t>CIRAD</t>
  </si>
  <si>
    <t xml:space="preserve">Rassigne WL, MLR historical WL for protein, </t>
  </si>
  <si>
    <t>Roger</t>
  </si>
  <si>
    <t>INRAe</t>
  </si>
  <si>
    <t>Dansler Lucas</t>
  </si>
  <si>
    <t>Lucas D</t>
  </si>
  <si>
    <t>Akka Technologies </t>
  </si>
  <si>
    <t xml:space="preserve">Abdelghafour Florent </t>
  </si>
  <si>
    <t xml:space="preserve">Florent </t>
  </si>
  <si>
    <t>Joris</t>
  </si>
  <si>
    <t xml:space="preserve">Joris </t>
  </si>
  <si>
    <t>Joris ROKITOWSKI</t>
  </si>
  <si>
    <t>Ferring International Center S.A.,</t>
  </si>
  <si>
    <t>x</t>
  </si>
  <si>
    <t>Resume</t>
  </si>
  <si>
    <t>Af</t>
  </si>
  <si>
    <t>Name</t>
  </si>
  <si>
    <t>N</t>
  </si>
  <si>
    <t xml:space="preserve">Dardenne </t>
  </si>
  <si>
    <t xml:space="preserve">Westerhaus Mark </t>
  </si>
  <si>
    <t>ex-Foss</t>
  </si>
  <si>
    <t>ex-CRAW</t>
  </si>
  <si>
    <t>MeanCenter+D1_SG(31p/2dP)-PLS(6F)_PredMedianY</t>
  </si>
  <si>
    <t>PCA cleaning, normalize + warping (PTW), PLS 9F</t>
  </si>
  <si>
    <t>Lag-remove EPO-transfer KNN1-avg</t>
  </si>
  <si>
    <t xml:space="preserve">Reassign WL, Common PC's, MPLS </t>
  </si>
  <si>
    <t xml:space="preserve">Median filter, shift correction, calibration transfer uDOP. </t>
  </si>
  <si>
    <t xml:space="preserve">Clean interpol smooth SNV SG1 OSC realign PLS (2F) </t>
  </si>
  <si>
    <t>Clean (interpol), realign (filtres Gaus.), SNV, SG5,3,2 UDOP, PLS pred Image</t>
  </si>
  <si>
    <r>
      <t>Emmanuel DENIMAL</t>
    </r>
    <r>
      <rPr>
        <sz val="14"/>
        <color rgb="FF000000"/>
        <rFont val="Arial"/>
        <family val="2"/>
      </rPr>
      <t xml:space="preserve"> </t>
    </r>
  </si>
  <si>
    <t>Florent Abdelghafour &amp; Maxime Ryckewaert</t>
  </si>
  <si>
    <t xml:space="preserve">OPEX 11 students (Julien Boyer)  </t>
  </si>
  <si>
    <t>Jean-Michel Roger</t>
  </si>
  <si>
    <t>p</t>
  </si>
  <si>
    <t xml:space="preserve">Rassigne WL, none, MLR historical 3WL for protein, </t>
  </si>
  <si>
    <t>Reassign WL, Common PC's D1;6,1 , MPLS  cv2 blocks 6F</t>
  </si>
  <si>
    <t xml:space="preserve">Yves Lijour </t>
  </si>
  <si>
    <t>Files C:\&amp;DATA\&amp;Pierre2\2022 06 BrestChallenge\Chal8\imager80_wavelengthsreassigned_trimmed.cal vs. C:\&amp;DATA\&amp;Pierre2\2022 06 BrestChallenge\Chal8\mlr_filter-eqa.anl</t>
  </si>
  <si>
    <t>Yref vs. Yref</t>
  </si>
  <si>
    <t>SEP:</t>
  </si>
  <si>
    <t>Num. Samps:</t>
  </si>
  <si>
    <t>Means:</t>
  </si>
  <si>
    <t>Std. Devs:</t>
  </si>
  <si>
    <t>Bias:</t>
  </si>
  <si>
    <t>Bias Limit:</t>
  </si>
  <si>
    <t>SEP(C):</t>
  </si>
  <si>
    <t>SED(C) Limit:</t>
  </si>
  <si>
    <t>Slope:</t>
  </si>
  <si>
    <t>RSQ:</t>
  </si>
  <si>
    <t>Ave. Global H:</t>
  </si>
  <si>
    <t>Ave. Neigh. H:</t>
  </si>
  <si>
    <t>Pos.</t>
  </si>
  <si>
    <t>Sample No.</t>
  </si>
  <si>
    <t>Lab</t>
  </si>
  <si>
    <t>ANL</t>
  </si>
  <si>
    <t>Residual</t>
  </si>
  <si>
    <t>Bias</t>
  </si>
  <si>
    <t>GH1</t>
  </si>
  <si>
    <t>NH1</t>
  </si>
  <si>
    <t>Pierre</t>
  </si>
  <si>
    <t>Files C:\&amp;DATA\&amp;Pierre2\2022 06 BrestChallenge\Chal8\pca80.cal vs. C:\&amp;DATA\&amp;Pierre2\2022 06 BrestChallenge\Chal8\pcaeqa3-eqa.anl</t>
  </si>
  <si>
    <t>pierre</t>
  </si>
  <si>
    <t>mark w</t>
  </si>
  <si>
    <t xml:space="preserve">mark w </t>
  </si>
  <si>
    <t>doug</t>
  </si>
  <si>
    <t>Doug Rutledge</t>
  </si>
  <si>
    <t>RSDxy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</si>
</sst>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0"/>
    <numFmt numFmtId="165" formatCode="0.0000"/>
    <numFmt numFmtId="166" formatCode="0.000E+00"/>
  </numFmts>
  <fonts count="36"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b/>
      <sz val="10"/>
      <name val="Arial"/>
      <family val="2"/>
    </font>
    <font>
      <sz val="8"/>
      <color indexed="81"/>
      <name val="Tahoma"/>
      <family val="2"/>
    </font>
    <font>
      <b/>
      <sz val="8"/>
      <color indexed="81"/>
      <name val="Tahoma"/>
      <family val="2"/>
    </font>
    <font>
      <b/>
      <sz val="12"/>
      <name val="Arial"/>
      <family val="2"/>
    </font>
    <font>
      <b/>
      <sz val="8"/>
      <color indexed="10"/>
      <name val="Tahoma"/>
      <family val="2"/>
    </font>
    <font>
      <b/>
      <sz val="8"/>
      <color indexed="12"/>
      <name val="Tahoma"/>
      <family val="2"/>
    </font>
    <font>
      <b/>
      <sz val="8"/>
      <color indexed="52"/>
      <name val="Tahoma"/>
      <family val="2"/>
    </font>
    <font>
      <b/>
      <sz val="14"/>
      <name val="Arial"/>
      <family val="2"/>
    </font>
    <font>
      <b/>
      <sz val="14"/>
      <color indexed="10"/>
      <name val="Arial"/>
      <family val="2"/>
    </font>
    <font>
      <sz val="12"/>
      <name val="Times New Roman"/>
      <family val="1"/>
    </font>
    <font>
      <sz val="12"/>
      <name val="Arial"/>
      <family val="2"/>
    </font>
    <font>
      <sz val="10"/>
      <name val="Arial"/>
      <family val="2"/>
    </font>
    <font>
      <sz val="11"/>
      <name val="Arial"/>
      <family val="2"/>
    </font>
    <font>
      <b/>
      <sz val="11"/>
      <name val="Arial"/>
      <family val="2"/>
    </font>
    <font>
      <sz val="9"/>
      <color indexed="81"/>
      <name val="Tahoma"/>
      <family val="2"/>
    </font>
    <font>
      <b/>
      <sz val="16"/>
      <name val="Arial"/>
      <family val="2"/>
    </font>
    <font>
      <sz val="16"/>
      <name val="Arial"/>
      <family val="2"/>
    </font>
    <font>
      <b/>
      <sz val="10"/>
      <color rgb="FF0070C0"/>
      <name val="Arial"/>
      <family val="2"/>
    </font>
    <font>
      <b/>
      <sz val="9"/>
      <color indexed="81"/>
      <name val="Tahoma"/>
      <family val="2"/>
    </font>
    <font>
      <sz val="11"/>
      <color indexed="81"/>
      <name val="Tahoma"/>
      <family val="2"/>
    </font>
    <font>
      <sz val="11"/>
      <name val="Arial"/>
      <family val="2"/>
    </font>
    <font>
      <b/>
      <sz val="14"/>
      <color rgb="FFFF0000"/>
      <name val="Arial"/>
      <family val="2"/>
    </font>
    <font>
      <sz val="16"/>
      <color indexed="81"/>
      <name val="Tahoma"/>
      <family val="2"/>
    </font>
    <font>
      <sz val="11"/>
      <color indexed="8"/>
      <name val="Calibri"/>
      <family val="2"/>
      <charset val="1"/>
    </font>
    <font>
      <b/>
      <sz val="16"/>
      <color rgb="FFFF0000"/>
      <name val="Arial"/>
      <family val="2"/>
    </font>
    <font>
      <b/>
      <sz val="18"/>
      <color rgb="FFFF0000"/>
      <name val="Arial"/>
      <family val="2"/>
    </font>
    <font>
      <b/>
      <sz val="11"/>
      <color theme="1"/>
      <name val="Calibri"/>
      <family val="2"/>
      <scheme val="minor"/>
    </font>
    <font>
      <sz val="14"/>
      <name val="Arial"/>
      <family val="2"/>
    </font>
    <font>
      <b/>
      <sz val="14"/>
      <color rgb="FF000000"/>
      <name val="Arial"/>
      <family val="2"/>
    </font>
    <font>
      <sz val="14"/>
      <color rgb="FF000000"/>
      <name val="Arial"/>
      <family val="2"/>
    </font>
    <font>
      <b/>
      <sz val="14"/>
      <name val="Calibri"/>
      <family val="2"/>
    </font>
    <font>
      <sz val="14"/>
      <name val="Calibri"/>
      <family val="2"/>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7">
    <xf numFmtId="0" fontId="0" fillId="0" borderId="0"/>
    <xf numFmtId="0" fontId="15" fillId="0" borderId="0"/>
    <xf numFmtId="0" fontId="15" fillId="0" borderId="0"/>
    <xf numFmtId="0" fontId="3" fillId="0" borderId="0"/>
    <xf numFmtId="0" fontId="27" fillId="0" borderId="0"/>
    <xf numFmtId="0" fontId="2" fillId="0" borderId="0"/>
    <xf numFmtId="0" fontId="1" fillId="0" borderId="0"/>
  </cellStyleXfs>
  <cellXfs count="99">
    <xf numFmtId="0" fontId="0" fillId="0" borderId="0" xfId="0"/>
    <xf numFmtId="0" fontId="4" fillId="0" borderId="0" xfId="0" applyFont="1" applyProtection="1">
      <protection locked="0"/>
    </xf>
    <xf numFmtId="0" fontId="0" fillId="0" borderId="0" xfId="0" applyProtection="1">
      <protection locked="0"/>
    </xf>
    <xf numFmtId="0" fontId="0" fillId="0" borderId="0" xfId="0" applyBorder="1" applyProtection="1">
      <protection locked="0"/>
    </xf>
    <xf numFmtId="2" fontId="0" fillId="0" borderId="0" xfId="0" applyNumberFormat="1" applyProtection="1">
      <protection locked="0"/>
    </xf>
    <xf numFmtId="2" fontId="7" fillId="0" borderId="0" xfId="0" applyNumberFormat="1" applyFont="1" applyProtection="1">
      <protection locked="0"/>
    </xf>
    <xf numFmtId="2" fontId="0" fillId="0" borderId="0" xfId="0" applyNumberFormat="1" applyBorder="1" applyProtection="1">
      <protection locked="0"/>
    </xf>
    <xf numFmtId="0" fontId="0" fillId="0" borderId="2" xfId="0" applyBorder="1" applyProtection="1">
      <protection locked="0"/>
    </xf>
    <xf numFmtId="0" fontId="0" fillId="0" borderId="3" xfId="0" applyBorder="1" applyProtection="1">
      <protection locked="0"/>
    </xf>
    <xf numFmtId="0" fontId="21" fillId="0" borderId="0" xfId="0" applyFont="1" applyBorder="1" applyProtection="1">
      <protection locked="0"/>
    </xf>
    <xf numFmtId="0" fontId="0" fillId="0" borderId="5" xfId="0" applyBorder="1" applyProtection="1">
      <protection locked="0"/>
    </xf>
    <xf numFmtId="0" fontId="7" fillId="0" borderId="0" xfId="0" applyFont="1" applyBorder="1" applyAlignment="1" applyProtection="1">
      <alignment horizontal="right"/>
      <protection locked="0"/>
    </xf>
    <xf numFmtId="0" fontId="7" fillId="0" borderId="0" xfId="0" applyFont="1" applyBorder="1" applyProtection="1">
      <protection locked="0"/>
    </xf>
    <xf numFmtId="0" fontId="0" fillId="0" borderId="7" xfId="0" applyBorder="1" applyProtection="1">
      <protection locked="0"/>
    </xf>
    <xf numFmtId="0" fontId="21" fillId="0" borderId="8" xfId="0" quotePrefix="1" applyFont="1" applyBorder="1" applyAlignment="1" applyProtection="1">
      <alignment horizontal="center"/>
      <protection locked="0"/>
    </xf>
    <xf numFmtId="2" fontId="0" fillId="0" borderId="9" xfId="0" applyNumberFormat="1" applyBorder="1" applyProtection="1">
      <protection locked="0"/>
    </xf>
    <xf numFmtId="2" fontId="0" fillId="0" borderId="10" xfId="0" applyNumberFormat="1" applyBorder="1" applyProtection="1">
      <protection locked="0"/>
    </xf>
    <xf numFmtId="164" fontId="0" fillId="0" borderId="0" xfId="0" applyNumberFormat="1" applyBorder="1" applyProtection="1">
      <protection locked="0"/>
    </xf>
    <xf numFmtId="164" fontId="7" fillId="0" borderId="0" xfId="0" applyNumberFormat="1" applyFont="1" applyBorder="1" applyProtection="1">
      <protection locked="0"/>
    </xf>
    <xf numFmtId="0" fontId="0" fillId="0" borderId="0" xfId="0" applyBorder="1" applyAlignment="1" applyProtection="1">
      <alignment horizontal="right"/>
      <protection locked="0"/>
    </xf>
    <xf numFmtId="0" fontId="16" fillId="0" borderId="0" xfId="0" applyFont="1" applyFill="1" applyAlignment="1" applyProtection="1">
      <alignment horizontal="left" vertical="top" wrapText="1"/>
      <protection locked="0"/>
    </xf>
    <xf numFmtId="0" fontId="16" fillId="0" borderId="0" xfId="0" applyFont="1" applyFill="1" applyBorder="1" applyAlignment="1" applyProtection="1">
      <alignment horizontal="left" vertical="top" wrapText="1"/>
      <protection locked="0"/>
    </xf>
    <xf numFmtId="0" fontId="15" fillId="0" borderId="0" xfId="0" applyFont="1" applyFill="1" applyAlignment="1" applyProtection="1">
      <alignment horizontal="left" vertical="top" wrapText="1"/>
      <protection locked="0"/>
    </xf>
    <xf numFmtId="0" fontId="7" fillId="0" borderId="0" xfId="0" applyFont="1" applyBorder="1" applyProtection="1"/>
    <xf numFmtId="2" fontId="7" fillId="0" borderId="0" xfId="0" applyNumberFormat="1" applyFont="1" applyBorder="1" applyProtection="1"/>
    <xf numFmtId="164" fontId="7" fillId="0" borderId="0" xfId="0" applyNumberFormat="1" applyFont="1" applyBorder="1" applyProtection="1"/>
    <xf numFmtId="164" fontId="11" fillId="0" borderId="0" xfId="0" applyNumberFormat="1" applyFont="1" applyBorder="1" applyProtection="1"/>
    <xf numFmtId="0" fontId="7" fillId="0" borderId="7" xfId="0" applyFont="1" applyBorder="1" applyProtection="1"/>
    <xf numFmtId="2" fontId="15" fillId="0" borderId="0" xfId="0" applyNumberFormat="1" applyFont="1" applyProtection="1"/>
    <xf numFmtId="2" fontId="0" fillId="0" borderId="0" xfId="0" applyNumberFormat="1" applyProtection="1"/>
    <xf numFmtId="0" fontId="0" fillId="0" borderId="0" xfId="0" applyProtection="1"/>
    <xf numFmtId="0" fontId="15" fillId="0" borderId="0" xfId="0" applyFont="1" applyProtection="1"/>
    <xf numFmtId="0" fontId="7" fillId="0" borderId="0" xfId="0" applyFont="1" applyProtection="1"/>
    <xf numFmtId="164" fontId="7" fillId="0" borderId="0" xfId="0" applyNumberFormat="1" applyFont="1" applyProtection="1"/>
    <xf numFmtId="0" fontId="19" fillId="0" borderId="0" xfId="0" applyFont="1" applyAlignment="1" applyProtection="1">
      <alignment horizontal="center"/>
    </xf>
    <xf numFmtId="164" fontId="0" fillId="0" borderId="0" xfId="0" applyNumberFormat="1" applyProtection="1"/>
    <xf numFmtId="0" fontId="0" fillId="0" borderId="0" xfId="0" applyBorder="1" applyProtection="1"/>
    <xf numFmtId="0" fontId="12" fillId="0" borderId="0" xfId="0" applyFont="1" applyProtection="1"/>
    <xf numFmtId="49" fontId="0" fillId="0" borderId="0" xfId="0" applyNumberFormat="1" applyAlignment="1" applyProtection="1">
      <alignment wrapText="1"/>
    </xf>
    <xf numFmtId="0" fontId="0" fillId="0" borderId="0" xfId="0" applyFill="1" applyBorder="1" applyProtection="1"/>
    <xf numFmtId="0" fontId="13" fillId="0" borderId="0" xfId="0" quotePrefix="1" applyFont="1" applyProtection="1"/>
    <xf numFmtId="0" fontId="4" fillId="0" borderId="0" xfId="0" applyFont="1" applyAlignment="1" applyProtection="1">
      <alignment horizontal="left"/>
    </xf>
    <xf numFmtId="0" fontId="15" fillId="0" borderId="0" xfId="0" applyFont="1" applyBorder="1" applyProtection="1">
      <protection locked="0"/>
    </xf>
    <xf numFmtId="0" fontId="17" fillId="0" borderId="0" xfId="0" applyFont="1" applyProtection="1">
      <protection locked="0"/>
    </xf>
    <xf numFmtId="0" fontId="15" fillId="0" borderId="0" xfId="0" applyFont="1" applyBorder="1" applyProtection="1"/>
    <xf numFmtId="0" fontId="11" fillId="0" borderId="0" xfId="0" applyFont="1" applyBorder="1" applyProtection="1"/>
    <xf numFmtId="0" fontId="0" fillId="0" borderId="0" xfId="0" applyNumberFormat="1" applyAlignment="1" applyProtection="1">
      <alignment horizontal="center"/>
      <protection locked="0"/>
    </xf>
    <xf numFmtId="0" fontId="0" fillId="0" borderId="1" xfId="0" applyBorder="1" applyProtection="1"/>
    <xf numFmtId="0" fontId="11" fillId="0" borderId="2" xfId="0" applyFont="1" applyBorder="1" applyProtection="1"/>
    <xf numFmtId="0" fontId="0" fillId="0" borderId="2" xfId="0" applyBorder="1" applyProtection="1"/>
    <xf numFmtId="0" fontId="0" fillId="0" borderId="4" xfId="0" applyBorder="1" applyProtection="1"/>
    <xf numFmtId="0" fontId="7" fillId="0" borderId="0" xfId="0" applyFont="1" applyBorder="1" applyAlignment="1" applyProtection="1">
      <alignment horizontal="right"/>
    </xf>
    <xf numFmtId="0" fontId="0" fillId="0" borderId="6" xfId="0" applyBorder="1" applyProtection="1"/>
    <xf numFmtId="0" fontId="7" fillId="0" borderId="7" xfId="0" applyFont="1" applyBorder="1" applyAlignment="1" applyProtection="1">
      <alignment horizontal="right"/>
    </xf>
    <xf numFmtId="165" fontId="0" fillId="0" borderId="0" xfId="0" applyNumberFormat="1" applyBorder="1" applyProtection="1"/>
    <xf numFmtId="166" fontId="0" fillId="0" borderId="0" xfId="0" applyNumberFormat="1" applyBorder="1" applyProtection="1"/>
    <xf numFmtId="2" fontId="0" fillId="0" borderId="0" xfId="0" applyNumberFormat="1" applyBorder="1" applyProtection="1"/>
    <xf numFmtId="0" fontId="0" fillId="0" borderId="0" xfId="0" applyNumberFormat="1" applyProtection="1"/>
    <xf numFmtId="0" fontId="14" fillId="0" borderId="0" xfId="0" applyFont="1" applyProtection="1"/>
    <xf numFmtId="0" fontId="13" fillId="0" borderId="0" xfId="0" applyFont="1" applyProtection="1"/>
    <xf numFmtId="0" fontId="12" fillId="0" borderId="0" xfId="0" quotePrefix="1" applyFont="1" applyProtection="1"/>
    <xf numFmtId="0" fontId="0" fillId="0" borderId="0" xfId="0" applyAlignment="1" applyProtection="1">
      <alignment horizontal="right"/>
      <protection locked="0"/>
    </xf>
    <xf numFmtId="164" fontId="7" fillId="0" borderId="0" xfId="0" quotePrefix="1" applyNumberFormat="1" applyFont="1" applyProtection="1"/>
    <xf numFmtId="2" fontId="12" fillId="0" borderId="0" xfId="0" applyNumberFormat="1" applyFont="1" applyProtection="1"/>
    <xf numFmtId="0" fontId="24" fillId="0" borderId="0" xfId="0" applyFont="1" applyFill="1" applyBorder="1" applyAlignment="1" applyProtection="1">
      <alignment horizontal="left" vertical="top" wrapText="1"/>
      <protection locked="0"/>
    </xf>
    <xf numFmtId="0" fontId="17" fillId="0" borderId="2" xfId="0" applyFont="1" applyBorder="1" applyProtection="1">
      <protection locked="0"/>
    </xf>
    <xf numFmtId="0" fontId="17" fillId="0" borderId="0" xfId="0" applyFont="1" applyBorder="1" applyProtection="1">
      <protection locked="0"/>
    </xf>
    <xf numFmtId="0" fontId="17" fillId="0" borderId="7" xfId="0" applyFont="1" applyFill="1" applyBorder="1" applyProtection="1">
      <protection locked="0"/>
    </xf>
    <xf numFmtId="0" fontId="17" fillId="0" borderId="9" xfId="0" applyFont="1" applyBorder="1" applyProtection="1">
      <protection locked="0"/>
    </xf>
    <xf numFmtId="0" fontId="15" fillId="0" borderId="5" xfId="0" applyFont="1" applyBorder="1" applyAlignment="1" applyProtection="1">
      <alignment horizontal="right"/>
      <protection locked="0"/>
    </xf>
    <xf numFmtId="2" fontId="0" fillId="0" borderId="5" xfId="0" applyNumberFormat="1" applyBorder="1" applyProtection="1">
      <protection locked="0"/>
    </xf>
    <xf numFmtId="0" fontId="0" fillId="0" borderId="8" xfId="0" applyBorder="1" applyProtection="1">
      <protection locked="0"/>
    </xf>
    <xf numFmtId="164" fontId="25" fillId="0" borderId="0" xfId="0" applyNumberFormat="1" applyFont="1" applyBorder="1" applyProtection="1"/>
    <xf numFmtId="164" fontId="11" fillId="0" borderId="7" xfId="0" applyNumberFormat="1" applyFont="1" applyBorder="1" applyProtection="1"/>
    <xf numFmtId="0" fontId="11" fillId="0" borderId="7" xfId="0" applyFont="1" applyBorder="1" applyProtection="1"/>
    <xf numFmtId="2" fontId="15" fillId="0" borderId="5" xfId="0" applyNumberFormat="1" applyFont="1" applyBorder="1" applyAlignment="1" applyProtection="1">
      <alignment horizontal="right"/>
      <protection locked="0"/>
    </xf>
    <xf numFmtId="0" fontId="7" fillId="2" borderId="0" xfId="0" applyFont="1" applyFill="1" applyProtection="1"/>
    <xf numFmtId="164" fontId="7" fillId="2" borderId="0" xfId="0" applyNumberFormat="1" applyFont="1" applyFill="1" applyProtection="1"/>
    <xf numFmtId="2" fontId="0" fillId="0" borderId="0" xfId="0" applyNumberFormat="1"/>
    <xf numFmtId="164" fontId="28" fillId="0" borderId="0" xfId="0" applyNumberFormat="1" applyFont="1" applyBorder="1" applyProtection="1"/>
    <xf numFmtId="164" fontId="29" fillId="0" borderId="0" xfId="0" applyNumberFormat="1" applyFont="1" applyBorder="1" applyProtection="1"/>
    <xf numFmtId="0" fontId="2" fillId="0" borderId="0" xfId="5"/>
    <xf numFmtId="0" fontId="15" fillId="0" borderId="0" xfId="0" applyFont="1"/>
    <xf numFmtId="164" fontId="0" fillId="0" borderId="0" xfId="0" applyNumberFormat="1" applyAlignment="1">
      <alignment horizontal="center"/>
    </xf>
    <xf numFmtId="0" fontId="1" fillId="0" borderId="0" xfId="6"/>
    <xf numFmtId="0" fontId="30" fillId="0" borderId="0" xfId="6" applyFont="1" applyAlignment="1">
      <alignment horizontal="center"/>
    </xf>
    <xf numFmtId="0" fontId="0" fillId="3" borderId="10" xfId="0" applyFill="1" applyBorder="1" applyAlignment="1">
      <alignment horizontal="center"/>
    </xf>
    <xf numFmtId="2" fontId="0" fillId="3" borderId="5" xfId="0" applyNumberFormat="1" applyFill="1" applyBorder="1" applyAlignment="1">
      <alignment horizontal="center"/>
    </xf>
    <xf numFmtId="2" fontId="0" fillId="3" borderId="8" xfId="0" applyNumberFormat="1" applyFill="1" applyBorder="1" applyAlignment="1">
      <alignment horizontal="center"/>
    </xf>
    <xf numFmtId="11" fontId="0" fillId="0" borderId="0" xfId="0" applyNumberFormat="1"/>
    <xf numFmtId="0" fontId="31" fillId="0" borderId="0" xfId="0" applyFont="1"/>
    <xf numFmtId="0" fontId="11" fillId="0" borderId="0" xfId="0" applyFont="1"/>
    <xf numFmtId="0" fontId="32" fillId="0" borderId="0" xfId="0" applyFont="1"/>
    <xf numFmtId="14" fontId="31" fillId="0" borderId="0" xfId="0" applyNumberFormat="1" applyFont="1"/>
    <xf numFmtId="164" fontId="11" fillId="0" borderId="0" xfId="0" applyNumberFormat="1" applyFont="1" applyAlignment="1">
      <alignment horizontal="center"/>
    </xf>
    <xf numFmtId="0" fontId="33" fillId="0" borderId="0" xfId="0" applyFont="1"/>
    <xf numFmtId="0" fontId="34" fillId="0" borderId="0" xfId="0" applyFont="1" applyAlignment="1">
      <alignment vertical="center"/>
    </xf>
    <xf numFmtId="0" fontId="35" fillId="0" borderId="0" xfId="0" applyFont="1"/>
    <xf numFmtId="2" fontId="20" fillId="0" borderId="0" xfId="0" applyNumberFormat="1" applyFont="1" applyBorder="1" applyProtection="1">
      <protection locked="0"/>
    </xf>
  </cellXfs>
  <cellStyles count="7">
    <cellStyle name="Excel Built-in Normal" xfId="4" xr:uid="{63CF90F7-FE24-4BE7-A1C3-ACCBB69133B5}"/>
    <cellStyle name="Normal" xfId="0" builtinId="0"/>
    <cellStyle name="Normal 2" xfId="1" xr:uid="{00000000-0005-0000-0000-000001000000}"/>
    <cellStyle name="Normal 3" xfId="5" xr:uid="{FEE1925E-1811-4987-901E-1CE9B3D29601}"/>
    <cellStyle name="Normal 4" xfId="6" xr:uid="{1D48796A-4848-455D-BCA7-34495D214554}"/>
    <cellStyle name="Normal 5" xfId="3" xr:uid="{00000000-0005-0000-0000-000002000000}"/>
    <cellStyle name="Normal_Sheet1" xfId="2" xr:uid="{00000000-0005-0000-0000-000003000000}"/>
  </cellStyles>
  <dxfs count="349">
    <dxf>
      <fill>
        <patternFill>
          <bgColor indexed="10"/>
        </patternFill>
      </fill>
    </dxf>
    <dxf>
      <numFmt numFmtId="2" formatCode="0.00"/>
      <protection locked="0" hidden="0"/>
    </dxf>
    <dxf>
      <numFmt numFmtId="2" formatCode="0.00"/>
      <protection locked="0" hidden="0"/>
    </dxf>
    <dxf>
      <numFmt numFmtId="2" formatCode="0.00"/>
      <protection locked="0" hidden="0"/>
    </dxf>
    <dxf>
      <numFmt numFmtId="2" formatCode="0.00"/>
      <protection locked="0" hidden="0"/>
    </dxf>
    <dxf>
      <numFmt numFmtId="2" formatCode="0.00"/>
      <protection locked="0" hidden="0"/>
    </dxf>
    <dxf>
      <numFmt numFmtId="0" formatCode="General"/>
      <protection locked="1" hidden="0"/>
    </dxf>
    <dxf>
      <numFmt numFmtId="0" formatCode="General"/>
      <protection locked="1" hidden="0"/>
    </dxf>
    <dxf>
      <numFmt numFmtId="0" formatCode="General"/>
      <protection locked="1" hidden="0"/>
    </dxf>
    <dxf>
      <numFmt numFmtId="0" formatCode="General"/>
      <protection locked="1" hidden="0"/>
    </dxf>
    <dxf>
      <numFmt numFmtId="2" formatCode="0.00"/>
      <protection locked="1" hidden="0"/>
    </dxf>
    <dxf>
      <border diagonalUp="0" diagonalDown="0" outline="0">
        <left/>
        <right style="thin">
          <color indexed="64"/>
        </right>
        <top/>
        <bottom/>
      </border>
    </dxf>
    <dxf>
      <numFmt numFmtId="2" formatCode="0.00"/>
      <protection locked="1" hidden="0"/>
    </dxf>
    <dxf>
      <numFmt numFmtId="2" formatCode="0.00"/>
      <protection locked="1" hidden="0"/>
    </dxf>
    <dxf>
      <numFmt numFmtId="2" formatCode="0.00"/>
      <protection locked="1" hidden="0"/>
    </dxf>
    <dxf>
      <numFmt numFmtId="2" formatCode="0.00"/>
      <protection locked="1" hidden="0"/>
    </dxf>
    <dxf>
      <numFmt numFmtId="2" formatCode="0.00"/>
      <protection locked="1" hidden="0"/>
    </dxf>
    <dxf>
      <numFmt numFmtId="2" formatCode="0.00"/>
      <protection locked="1" hidden="0"/>
    </dxf>
    <dxf>
      <numFmt numFmtId="2" formatCode="0.00"/>
      <protection locked="1" hidden="0"/>
    </dxf>
    <dxf>
      <font>
        <b/>
        <sz val="11"/>
        <color rgb="FFFF0000"/>
        <name val="Calibri"/>
        <scheme val="minor"/>
      </font>
      <numFmt numFmtId="15" formatCode="0.00E+00"/>
      <fill>
        <patternFill patternType="solid">
          <fgColor indexed="64"/>
          <bgColor theme="0"/>
        </patternFill>
      </fill>
      <alignment horizontal="center" vertical="bottom" textRotation="0" wrapText="0" indent="0" justifyLastLine="0" shrinkToFit="0" readingOrder="0"/>
      <border diagonalUp="0" diagonalDown="0" outline="0">
        <left/>
        <right style="medium">
          <color indexed="64"/>
        </right>
        <top/>
        <bottom/>
      </border>
      <protection locked="0" hidden="0"/>
    </dxf>
    <dxf>
      <font>
        <sz val="10.5"/>
        <color rgb="FF333333"/>
        <name val="Verdana"/>
        <family val="2"/>
      </font>
      <numFmt numFmtId="0" formatCode="General"/>
      <alignment horizontal="left" vertical="center" textRotation="0" wrapText="0" indent="5" justifyLastLine="0" shrinkToFit="0" readingOrder="0"/>
      <border diagonalUp="0" diagonalDown="0" outline="0">
        <left style="thin">
          <color indexed="64"/>
        </left>
        <right/>
        <top style="thin">
          <color indexed="64"/>
        </top>
        <bottom style="thin">
          <color indexed="64"/>
        </bottom>
      </border>
      <protection locked="0" hidden="0"/>
    </dxf>
    <dxf>
      <font>
        <b/>
        <sz val="10.5"/>
        <color rgb="FF333333"/>
        <name val="Verdana"/>
        <family val="2"/>
      </font>
      <numFmt numFmtId="1" formatCode="0"/>
      <fill>
        <patternFill patternType="solid">
          <fgColor indexed="64"/>
          <bgColor indexed="26"/>
        </patternFill>
      </fill>
      <alignment horizontal="left" vertical="center" textRotation="0" wrapText="0" indent="5"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left" vertical="bottom" textRotation="0" wrapText="0" relativeIndent="0" justifyLastLine="0" shrinkToFit="0" readingOrder="0"/>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center" vertical="bottom" textRotation="0" wrapText="0" relativeIndent="0" justifyLastLine="0" shrinkToFit="0" readingOrder="0"/>
    </dxf>
    <dxf>
      <numFmt numFmtId="0" formatCode="General"/>
      <alignment horizontal="center" vertical="bottom" textRotation="0" wrapText="0" indent="0" justifyLastLine="0" shrinkToFit="0" readingOrder="0"/>
      <protection locked="0" hidden="0"/>
    </dxf>
    <dxf>
      <protection locked="0" hidden="0"/>
    </dxf>
    <dxf>
      <font>
        <b val="0"/>
        <strike val="0"/>
        <outline val="0"/>
        <shadow val="0"/>
        <u val="none"/>
        <vertAlign val="baseline"/>
        <sz val="11"/>
        <color auto="1"/>
        <name val="Arial"/>
        <scheme val="none"/>
      </font>
      <fill>
        <patternFill patternType="none">
          <fgColor indexed="64"/>
          <bgColor indexed="65"/>
        </patternFill>
      </fill>
      <alignment horizontal="left" vertical="top" textRotation="0" wrapText="1" indent="0" justifyLastLine="0" shrinkToFit="0" readingOrder="0"/>
      <protection locked="0" hidden="0"/>
    </dxf>
    <dxf>
      <fill>
        <patternFill>
          <bgColor indexed="10"/>
        </patternFill>
      </fill>
    </dxf>
    <dxf>
      <fill>
        <patternFill>
          <bgColor indexed="10"/>
        </patternFill>
      </fill>
    </dxf>
    <dxf>
      <numFmt numFmtId="2" formatCode="0.00"/>
      <protection locked="0" hidden="0"/>
    </dxf>
    <dxf>
      <numFmt numFmtId="2" formatCode="0.00"/>
      <protection locked="0" hidden="0"/>
    </dxf>
    <dxf>
      <numFmt numFmtId="2" formatCode="0.00"/>
      <protection locked="0" hidden="0"/>
    </dxf>
    <dxf>
      <numFmt numFmtId="2" formatCode="0.00"/>
      <protection locked="0" hidden="0"/>
    </dxf>
    <dxf>
      <numFmt numFmtId="2" formatCode="0.00"/>
      <protection locked="0" hidden="0"/>
    </dxf>
    <dxf>
      <numFmt numFmtId="0" formatCode="General"/>
      <protection locked="1" hidden="0"/>
    </dxf>
    <dxf>
      <numFmt numFmtId="0" formatCode="General"/>
      <protection locked="1" hidden="0"/>
    </dxf>
    <dxf>
      <numFmt numFmtId="0" formatCode="General"/>
      <protection locked="1" hidden="0"/>
    </dxf>
    <dxf>
      <numFmt numFmtId="0" formatCode="General"/>
      <protection locked="1" hidden="0"/>
    </dxf>
    <dxf>
      <numFmt numFmtId="2" formatCode="0.00"/>
      <protection locked="1" hidden="0"/>
    </dxf>
    <dxf>
      <border diagonalUp="0" diagonalDown="0" outline="0">
        <left/>
        <right style="thin">
          <color indexed="64"/>
        </right>
        <top/>
        <bottom/>
      </border>
    </dxf>
    <dxf>
      <numFmt numFmtId="2" formatCode="0.00"/>
      <protection locked="1" hidden="0"/>
    </dxf>
    <dxf>
      <numFmt numFmtId="2" formatCode="0.00"/>
      <protection locked="1" hidden="0"/>
    </dxf>
    <dxf>
      <numFmt numFmtId="2" formatCode="0.00"/>
      <protection locked="1" hidden="0"/>
    </dxf>
    <dxf>
      <numFmt numFmtId="2" formatCode="0.00"/>
      <protection locked="1" hidden="0"/>
    </dxf>
    <dxf>
      <numFmt numFmtId="2" formatCode="0.00"/>
      <protection locked="1" hidden="0"/>
    </dxf>
    <dxf>
      <numFmt numFmtId="2" formatCode="0.00"/>
      <protection locked="1" hidden="0"/>
    </dxf>
    <dxf>
      <numFmt numFmtId="2" formatCode="0.00"/>
      <protection locked="1" hidden="0"/>
    </dxf>
    <dxf>
      <font>
        <b/>
        <sz val="11"/>
        <color rgb="FFFF0000"/>
        <name val="Calibri"/>
        <scheme val="minor"/>
      </font>
      <numFmt numFmtId="15" formatCode="0.00E+00"/>
      <fill>
        <patternFill patternType="solid">
          <fgColor indexed="64"/>
          <bgColor theme="0"/>
        </patternFill>
      </fill>
      <alignment horizontal="center" vertical="bottom" textRotation="0" wrapText="0" indent="0" justifyLastLine="0" shrinkToFit="0" readingOrder="0"/>
      <border diagonalUp="0" diagonalDown="0" outline="0">
        <left/>
        <right style="medium">
          <color indexed="64"/>
        </right>
        <top/>
        <bottom/>
      </border>
      <protection locked="0" hidden="0"/>
    </dxf>
    <dxf>
      <font>
        <sz val="10.5"/>
        <color rgb="FF333333"/>
        <name val="Verdana"/>
        <family val="2"/>
      </font>
      <numFmt numFmtId="0" formatCode="General"/>
      <alignment horizontal="left" vertical="center" textRotation="0" wrapText="0" indent="5" justifyLastLine="0" shrinkToFit="0" readingOrder="0"/>
      <border diagonalUp="0" diagonalDown="0" outline="0">
        <left style="thin">
          <color indexed="64"/>
        </left>
        <right/>
        <top style="thin">
          <color indexed="64"/>
        </top>
        <bottom style="thin">
          <color indexed="64"/>
        </bottom>
      </border>
      <protection locked="0" hidden="0"/>
    </dxf>
    <dxf>
      <font>
        <b/>
        <sz val="10.5"/>
        <color rgb="FF333333"/>
        <name val="Verdana"/>
        <family val="2"/>
      </font>
      <numFmt numFmtId="1" formatCode="0"/>
      <fill>
        <patternFill patternType="solid">
          <fgColor indexed="64"/>
          <bgColor indexed="26"/>
        </patternFill>
      </fill>
      <alignment horizontal="left" vertical="center" textRotation="0" wrapText="0" indent="5"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left" vertical="bottom" textRotation="0" wrapText="0" relativeIndent="0" justifyLastLine="0" shrinkToFit="0" readingOrder="0"/>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center" vertical="bottom" textRotation="0" wrapText="0" relativeIndent="0" justifyLastLine="0" shrinkToFit="0" readingOrder="0"/>
    </dxf>
    <dxf>
      <numFmt numFmtId="0" formatCode="General"/>
      <alignment horizontal="center" vertical="bottom" textRotation="0" wrapText="0" indent="0" justifyLastLine="0" shrinkToFit="0" readingOrder="0"/>
      <protection locked="0" hidden="0"/>
    </dxf>
    <dxf>
      <protection locked="0" hidden="0"/>
    </dxf>
    <dxf>
      <font>
        <b val="0"/>
        <strike val="0"/>
        <outline val="0"/>
        <shadow val="0"/>
        <u val="none"/>
        <vertAlign val="baseline"/>
        <sz val="11"/>
        <color auto="1"/>
        <name val="Arial"/>
        <scheme val="none"/>
      </font>
      <fill>
        <patternFill patternType="none">
          <fgColor indexed="64"/>
          <bgColor indexed="65"/>
        </patternFill>
      </fill>
      <alignment horizontal="left" vertical="top" textRotation="0" wrapText="1" indent="0" justifyLastLine="0" shrinkToFit="0" readingOrder="0"/>
      <protection locked="0" hidden="0"/>
    </dxf>
    <dxf>
      <fill>
        <patternFill>
          <bgColor indexed="10"/>
        </patternFill>
      </fill>
    </dxf>
    <dxf>
      <fill>
        <patternFill>
          <bgColor indexed="10"/>
        </patternFill>
      </fill>
    </dxf>
    <dxf>
      <numFmt numFmtId="2" formatCode="0.00"/>
      <protection locked="0" hidden="0"/>
    </dxf>
    <dxf>
      <numFmt numFmtId="2" formatCode="0.00"/>
      <protection locked="0" hidden="0"/>
    </dxf>
    <dxf>
      <numFmt numFmtId="2" formatCode="0.00"/>
      <protection locked="0" hidden="0"/>
    </dxf>
    <dxf>
      <numFmt numFmtId="2" formatCode="0.00"/>
      <protection locked="0" hidden="0"/>
    </dxf>
    <dxf>
      <numFmt numFmtId="2" formatCode="0.00"/>
      <protection locked="0" hidden="0"/>
    </dxf>
    <dxf>
      <numFmt numFmtId="0" formatCode="General"/>
      <protection locked="1" hidden="0"/>
    </dxf>
    <dxf>
      <numFmt numFmtId="0" formatCode="General"/>
      <protection locked="1" hidden="0"/>
    </dxf>
    <dxf>
      <numFmt numFmtId="0" formatCode="General"/>
      <protection locked="1" hidden="0"/>
    </dxf>
    <dxf>
      <numFmt numFmtId="0" formatCode="General"/>
      <protection locked="1" hidden="0"/>
    </dxf>
    <dxf>
      <numFmt numFmtId="2" formatCode="0.00"/>
      <protection locked="1" hidden="0"/>
    </dxf>
    <dxf>
      <border diagonalUp="0" diagonalDown="0" outline="0">
        <left/>
        <right style="thin">
          <color indexed="64"/>
        </right>
        <top/>
        <bottom/>
      </border>
    </dxf>
    <dxf>
      <numFmt numFmtId="2" formatCode="0.00"/>
      <protection locked="1" hidden="0"/>
    </dxf>
    <dxf>
      <numFmt numFmtId="2" formatCode="0.00"/>
      <protection locked="1" hidden="0"/>
    </dxf>
    <dxf>
      <numFmt numFmtId="2" formatCode="0.00"/>
      <protection locked="1" hidden="0"/>
    </dxf>
    <dxf>
      <numFmt numFmtId="2" formatCode="0.00"/>
      <protection locked="1" hidden="0"/>
    </dxf>
    <dxf>
      <numFmt numFmtId="2" formatCode="0.00"/>
      <protection locked="1" hidden="0"/>
    </dxf>
    <dxf>
      <numFmt numFmtId="2" formatCode="0.00"/>
      <protection locked="1" hidden="0"/>
    </dxf>
    <dxf>
      <numFmt numFmtId="2" formatCode="0.00"/>
      <protection locked="1" hidden="0"/>
    </dxf>
    <dxf>
      <font>
        <b/>
        <sz val="11"/>
        <color rgb="FFFF0000"/>
        <name val="Calibri"/>
        <scheme val="minor"/>
      </font>
      <numFmt numFmtId="15" formatCode="0.00E+00"/>
      <fill>
        <patternFill patternType="solid">
          <fgColor indexed="64"/>
          <bgColor theme="0"/>
        </patternFill>
      </fill>
      <alignment horizontal="center" vertical="bottom" textRotation="0" wrapText="0" indent="0" justifyLastLine="0" shrinkToFit="0" readingOrder="0"/>
      <border diagonalUp="0" diagonalDown="0" outline="0">
        <left/>
        <right style="medium">
          <color indexed="64"/>
        </right>
        <top/>
        <bottom/>
      </border>
      <protection locked="0" hidden="0"/>
    </dxf>
    <dxf>
      <font>
        <sz val="10.5"/>
        <color rgb="FF333333"/>
        <name val="Verdana"/>
        <family val="2"/>
      </font>
      <numFmt numFmtId="0" formatCode="General"/>
      <alignment horizontal="left" vertical="center" textRotation="0" wrapText="0" indent="5" justifyLastLine="0" shrinkToFit="0" readingOrder="0"/>
      <border diagonalUp="0" diagonalDown="0" outline="0">
        <left style="thin">
          <color indexed="64"/>
        </left>
        <right/>
        <top style="thin">
          <color indexed="64"/>
        </top>
        <bottom style="thin">
          <color indexed="64"/>
        </bottom>
      </border>
      <protection locked="0" hidden="0"/>
    </dxf>
    <dxf>
      <font>
        <b/>
        <sz val="10.5"/>
        <color rgb="FF333333"/>
        <name val="Verdana"/>
        <family val="2"/>
      </font>
      <numFmt numFmtId="1" formatCode="0"/>
      <fill>
        <patternFill patternType="solid">
          <fgColor indexed="64"/>
          <bgColor indexed="26"/>
        </patternFill>
      </fill>
      <alignment horizontal="left" vertical="center" textRotation="0" wrapText="0" indent="5"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left" vertical="bottom" textRotation="0" wrapText="0" relativeIndent="0" justifyLastLine="0" shrinkToFit="0" readingOrder="0"/>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center" vertical="bottom" textRotation="0" wrapText="0" relativeIndent="0" justifyLastLine="0" shrinkToFit="0" readingOrder="0"/>
    </dxf>
    <dxf>
      <numFmt numFmtId="0" formatCode="General"/>
      <alignment horizontal="center" vertical="bottom" textRotation="0" wrapText="0" indent="0" justifyLastLine="0" shrinkToFit="0" readingOrder="0"/>
      <protection locked="0" hidden="0"/>
    </dxf>
    <dxf>
      <protection locked="0" hidden="0"/>
    </dxf>
    <dxf>
      <font>
        <b val="0"/>
        <strike val="0"/>
        <outline val="0"/>
        <shadow val="0"/>
        <u val="none"/>
        <vertAlign val="baseline"/>
        <sz val="11"/>
        <color auto="1"/>
        <name val="Arial"/>
        <scheme val="none"/>
      </font>
      <fill>
        <patternFill patternType="none">
          <fgColor indexed="64"/>
          <bgColor indexed="65"/>
        </patternFill>
      </fill>
      <alignment horizontal="left" vertical="top" textRotation="0" wrapText="1" indent="0" justifyLastLine="0" shrinkToFit="0" readingOrder="0"/>
      <protection locked="0" hidden="0"/>
    </dxf>
    <dxf>
      <fill>
        <patternFill>
          <bgColor indexed="10"/>
        </patternFill>
      </fill>
    </dxf>
    <dxf>
      <fill>
        <patternFill>
          <bgColor indexed="10"/>
        </patternFill>
      </fill>
    </dxf>
    <dxf>
      <numFmt numFmtId="2" formatCode="0.00"/>
      <protection locked="0" hidden="0"/>
    </dxf>
    <dxf>
      <numFmt numFmtId="2" formatCode="0.00"/>
      <protection locked="0" hidden="0"/>
    </dxf>
    <dxf>
      <numFmt numFmtId="2" formatCode="0.00"/>
      <protection locked="0" hidden="0"/>
    </dxf>
    <dxf>
      <numFmt numFmtId="2" formatCode="0.00"/>
      <protection locked="0" hidden="0"/>
    </dxf>
    <dxf>
      <numFmt numFmtId="2" formatCode="0.00"/>
      <protection locked="0" hidden="0"/>
    </dxf>
    <dxf>
      <numFmt numFmtId="0" formatCode="General"/>
      <protection locked="1" hidden="0"/>
    </dxf>
    <dxf>
      <numFmt numFmtId="0" formatCode="General"/>
      <protection locked="1" hidden="0"/>
    </dxf>
    <dxf>
      <numFmt numFmtId="0" formatCode="General"/>
      <protection locked="1" hidden="0"/>
    </dxf>
    <dxf>
      <numFmt numFmtId="0" formatCode="General"/>
      <protection locked="1" hidden="0"/>
    </dxf>
    <dxf>
      <numFmt numFmtId="2" formatCode="0.00"/>
      <protection locked="1" hidden="0"/>
    </dxf>
    <dxf>
      <border diagonalUp="0" diagonalDown="0" outline="0">
        <left/>
        <right style="thin">
          <color indexed="64"/>
        </right>
        <top/>
        <bottom/>
      </border>
    </dxf>
    <dxf>
      <numFmt numFmtId="2" formatCode="0.00"/>
      <protection locked="1" hidden="0"/>
    </dxf>
    <dxf>
      <numFmt numFmtId="2" formatCode="0.00"/>
      <protection locked="1" hidden="0"/>
    </dxf>
    <dxf>
      <numFmt numFmtId="2" formatCode="0.00"/>
      <protection locked="1" hidden="0"/>
    </dxf>
    <dxf>
      <numFmt numFmtId="2" formatCode="0.00"/>
      <protection locked="1" hidden="0"/>
    </dxf>
    <dxf>
      <numFmt numFmtId="2" formatCode="0.00"/>
      <protection locked="1" hidden="0"/>
    </dxf>
    <dxf>
      <numFmt numFmtId="2" formatCode="0.00"/>
      <protection locked="1" hidden="0"/>
    </dxf>
    <dxf>
      <numFmt numFmtId="2" formatCode="0.00"/>
      <protection locked="1" hidden="0"/>
    </dxf>
    <dxf>
      <font>
        <b/>
        <sz val="11"/>
        <color rgb="FFFF0000"/>
        <name val="Calibri"/>
        <scheme val="minor"/>
      </font>
      <numFmt numFmtId="15" formatCode="0.00E+00"/>
      <fill>
        <patternFill patternType="solid">
          <fgColor indexed="64"/>
          <bgColor theme="0"/>
        </patternFill>
      </fill>
      <alignment horizontal="center" vertical="bottom" textRotation="0" wrapText="0" indent="0" justifyLastLine="0" shrinkToFit="0" readingOrder="0"/>
      <border diagonalUp="0" diagonalDown="0" outline="0">
        <left/>
        <right style="medium">
          <color indexed="64"/>
        </right>
        <top/>
        <bottom/>
      </border>
      <protection locked="0" hidden="0"/>
    </dxf>
    <dxf>
      <font>
        <sz val="10.5"/>
        <color rgb="FF333333"/>
        <name val="Verdana"/>
        <family val="2"/>
      </font>
      <numFmt numFmtId="0" formatCode="General"/>
      <alignment horizontal="left" vertical="center" textRotation="0" wrapText="0" indent="5" justifyLastLine="0" shrinkToFit="0" readingOrder="0"/>
      <border diagonalUp="0" diagonalDown="0" outline="0">
        <left style="thin">
          <color indexed="64"/>
        </left>
        <right/>
        <top style="thin">
          <color indexed="64"/>
        </top>
        <bottom style="thin">
          <color indexed="64"/>
        </bottom>
      </border>
      <protection locked="0" hidden="0"/>
    </dxf>
    <dxf>
      <font>
        <b/>
        <sz val="10.5"/>
        <color rgb="FF333333"/>
        <name val="Verdana"/>
        <family val="2"/>
      </font>
      <numFmt numFmtId="1" formatCode="0"/>
      <fill>
        <patternFill patternType="solid">
          <fgColor indexed="64"/>
          <bgColor indexed="26"/>
        </patternFill>
      </fill>
      <alignment horizontal="left" vertical="center" textRotation="0" wrapText="0" indent="5"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left" vertical="bottom" textRotation="0" wrapText="0" relativeIndent="0" justifyLastLine="0" shrinkToFit="0" readingOrder="0"/>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center" vertical="bottom" textRotation="0" wrapText="0" relativeIndent="0" justifyLastLine="0" shrinkToFit="0" readingOrder="0"/>
    </dxf>
    <dxf>
      <numFmt numFmtId="0" formatCode="General"/>
      <alignment horizontal="center" vertical="bottom" textRotation="0" wrapText="0" indent="0" justifyLastLine="0" shrinkToFit="0" readingOrder="0"/>
      <protection locked="0" hidden="0"/>
    </dxf>
    <dxf>
      <protection locked="0" hidden="0"/>
    </dxf>
    <dxf>
      <font>
        <b val="0"/>
        <strike val="0"/>
        <outline val="0"/>
        <shadow val="0"/>
        <u val="none"/>
        <vertAlign val="baseline"/>
        <sz val="11"/>
        <color auto="1"/>
        <name val="Arial"/>
        <scheme val="none"/>
      </font>
      <fill>
        <patternFill patternType="none">
          <fgColor indexed="64"/>
          <bgColor indexed="65"/>
        </patternFill>
      </fill>
      <alignment horizontal="left" vertical="top" textRotation="0" wrapText="1" indent="0" justifyLastLine="0" shrinkToFit="0" readingOrder="0"/>
      <protection locked="0" hidden="0"/>
    </dxf>
    <dxf>
      <fill>
        <patternFill>
          <bgColor indexed="10"/>
        </patternFill>
      </fill>
    </dxf>
    <dxf>
      <fill>
        <patternFill>
          <bgColor indexed="10"/>
        </patternFill>
      </fill>
    </dxf>
    <dxf>
      <numFmt numFmtId="2" formatCode="0.00"/>
      <protection locked="0" hidden="0"/>
    </dxf>
    <dxf>
      <numFmt numFmtId="2" formatCode="0.00"/>
      <protection locked="0" hidden="0"/>
    </dxf>
    <dxf>
      <numFmt numFmtId="2" formatCode="0.00"/>
      <protection locked="0" hidden="0"/>
    </dxf>
    <dxf>
      <numFmt numFmtId="2" formatCode="0.00"/>
      <protection locked="0" hidden="0"/>
    </dxf>
    <dxf>
      <numFmt numFmtId="2" formatCode="0.00"/>
      <protection locked="0" hidden="0"/>
    </dxf>
    <dxf>
      <numFmt numFmtId="0" formatCode="General"/>
      <protection locked="1" hidden="0"/>
    </dxf>
    <dxf>
      <numFmt numFmtId="0" formatCode="General"/>
      <protection locked="1" hidden="0"/>
    </dxf>
    <dxf>
      <numFmt numFmtId="0" formatCode="General"/>
      <protection locked="1" hidden="0"/>
    </dxf>
    <dxf>
      <numFmt numFmtId="0" formatCode="General"/>
      <protection locked="1" hidden="0"/>
    </dxf>
    <dxf>
      <numFmt numFmtId="2" formatCode="0.00"/>
      <protection locked="1" hidden="0"/>
    </dxf>
    <dxf>
      <border diagonalUp="0" diagonalDown="0" outline="0">
        <left/>
        <right style="thin">
          <color indexed="64"/>
        </right>
        <top/>
        <bottom/>
      </border>
    </dxf>
    <dxf>
      <numFmt numFmtId="2" formatCode="0.00"/>
      <protection locked="1" hidden="0"/>
    </dxf>
    <dxf>
      <numFmt numFmtId="2" formatCode="0.00"/>
      <protection locked="1" hidden="0"/>
    </dxf>
    <dxf>
      <numFmt numFmtId="2" formatCode="0.00"/>
      <protection locked="1" hidden="0"/>
    </dxf>
    <dxf>
      <numFmt numFmtId="2" formatCode="0.00"/>
      <protection locked="1" hidden="0"/>
    </dxf>
    <dxf>
      <numFmt numFmtId="2" formatCode="0.00"/>
      <protection locked="1" hidden="0"/>
    </dxf>
    <dxf>
      <numFmt numFmtId="2" formatCode="0.00"/>
      <protection locked="1" hidden="0"/>
    </dxf>
    <dxf>
      <numFmt numFmtId="2" formatCode="0.00"/>
      <protection locked="1" hidden="0"/>
    </dxf>
    <dxf>
      <font>
        <b/>
        <sz val="11"/>
        <color rgb="FFFF0000"/>
        <name val="Calibri"/>
        <scheme val="minor"/>
      </font>
      <numFmt numFmtId="15" formatCode="0.00E+00"/>
      <fill>
        <patternFill patternType="solid">
          <fgColor indexed="64"/>
          <bgColor theme="0"/>
        </patternFill>
      </fill>
      <alignment horizontal="center" vertical="bottom" textRotation="0" wrapText="0" indent="0" justifyLastLine="0" shrinkToFit="0" readingOrder="0"/>
      <border diagonalUp="0" diagonalDown="0" outline="0">
        <left/>
        <right style="medium">
          <color indexed="64"/>
        </right>
        <top/>
        <bottom/>
      </border>
      <protection locked="0" hidden="0"/>
    </dxf>
    <dxf>
      <font>
        <sz val="10.5"/>
        <color rgb="FF333333"/>
        <name val="Verdana"/>
        <family val="2"/>
      </font>
      <numFmt numFmtId="0" formatCode="General"/>
      <alignment horizontal="left" vertical="center" textRotation="0" wrapText="0" indent="5" justifyLastLine="0" shrinkToFit="0" readingOrder="0"/>
      <border diagonalUp="0" diagonalDown="0" outline="0">
        <left style="thin">
          <color indexed="64"/>
        </left>
        <right/>
        <top style="thin">
          <color indexed="64"/>
        </top>
        <bottom style="thin">
          <color indexed="64"/>
        </bottom>
      </border>
      <protection locked="0" hidden="0"/>
    </dxf>
    <dxf>
      <font>
        <b/>
        <sz val="10.5"/>
        <color rgb="FF333333"/>
        <name val="Verdana"/>
        <family val="2"/>
      </font>
      <numFmt numFmtId="1" formatCode="0"/>
      <fill>
        <patternFill patternType="solid">
          <fgColor indexed="64"/>
          <bgColor indexed="26"/>
        </patternFill>
      </fill>
      <alignment horizontal="left" vertical="center" textRotation="0" wrapText="0" indent="5"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left" vertical="bottom" textRotation="0" wrapText="0" relativeIndent="0" justifyLastLine="0" shrinkToFit="0" readingOrder="0"/>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center" vertical="bottom" textRotation="0" wrapText="0" relativeIndent="0" justifyLastLine="0" shrinkToFit="0" readingOrder="0"/>
    </dxf>
    <dxf>
      <numFmt numFmtId="0" formatCode="General"/>
      <alignment horizontal="center" vertical="bottom" textRotation="0" wrapText="0" indent="0" justifyLastLine="0" shrinkToFit="0" readingOrder="0"/>
      <protection locked="0" hidden="0"/>
    </dxf>
    <dxf>
      <protection locked="0" hidden="0"/>
    </dxf>
    <dxf>
      <font>
        <b val="0"/>
        <strike val="0"/>
        <outline val="0"/>
        <shadow val="0"/>
        <u val="none"/>
        <vertAlign val="baseline"/>
        <sz val="11"/>
        <color auto="1"/>
        <name val="Arial"/>
        <scheme val="none"/>
      </font>
      <fill>
        <patternFill patternType="none">
          <fgColor indexed="64"/>
          <bgColor indexed="65"/>
        </patternFill>
      </fill>
      <alignment horizontal="left" vertical="top" textRotation="0" wrapText="1" indent="0" justifyLastLine="0" shrinkToFit="0" readingOrder="0"/>
      <protection locked="0" hidden="0"/>
    </dxf>
    <dxf>
      <fill>
        <patternFill>
          <bgColor indexed="10"/>
        </patternFill>
      </fill>
    </dxf>
    <dxf>
      <fill>
        <patternFill>
          <bgColor indexed="10"/>
        </patternFill>
      </fill>
    </dxf>
    <dxf>
      <numFmt numFmtId="2" formatCode="0.00"/>
      <protection locked="0" hidden="0"/>
    </dxf>
    <dxf>
      <numFmt numFmtId="2" formatCode="0.00"/>
      <protection locked="0" hidden="0"/>
    </dxf>
    <dxf>
      <numFmt numFmtId="2" formatCode="0.00"/>
      <protection locked="0" hidden="0"/>
    </dxf>
    <dxf>
      <numFmt numFmtId="2" formatCode="0.00"/>
      <protection locked="0" hidden="0"/>
    </dxf>
    <dxf>
      <numFmt numFmtId="2" formatCode="0.00"/>
      <protection locked="0" hidden="0"/>
    </dxf>
    <dxf>
      <numFmt numFmtId="0" formatCode="General"/>
      <protection locked="1" hidden="0"/>
    </dxf>
    <dxf>
      <numFmt numFmtId="0" formatCode="General"/>
      <protection locked="1" hidden="0"/>
    </dxf>
    <dxf>
      <numFmt numFmtId="0" formatCode="General"/>
      <protection locked="1" hidden="0"/>
    </dxf>
    <dxf>
      <numFmt numFmtId="0" formatCode="General"/>
      <protection locked="1" hidden="0"/>
    </dxf>
    <dxf>
      <numFmt numFmtId="2" formatCode="0.00"/>
      <protection locked="1" hidden="0"/>
    </dxf>
    <dxf>
      <border diagonalUp="0" diagonalDown="0" outline="0">
        <left/>
        <right style="thin">
          <color indexed="64"/>
        </right>
        <top/>
        <bottom/>
      </border>
    </dxf>
    <dxf>
      <numFmt numFmtId="2" formatCode="0.00"/>
      <protection locked="1" hidden="0"/>
    </dxf>
    <dxf>
      <numFmt numFmtId="2" formatCode="0.00"/>
      <protection locked="1" hidden="0"/>
    </dxf>
    <dxf>
      <numFmt numFmtId="2" formatCode="0.00"/>
      <protection locked="1" hidden="0"/>
    </dxf>
    <dxf>
      <numFmt numFmtId="2" formatCode="0.00"/>
      <protection locked="1" hidden="0"/>
    </dxf>
    <dxf>
      <numFmt numFmtId="2" formatCode="0.00"/>
      <protection locked="1" hidden="0"/>
    </dxf>
    <dxf>
      <numFmt numFmtId="2" formatCode="0.00"/>
      <protection locked="1" hidden="0"/>
    </dxf>
    <dxf>
      <numFmt numFmtId="2" formatCode="0.00"/>
      <protection locked="1" hidden="0"/>
    </dxf>
    <dxf>
      <font>
        <b/>
        <sz val="11"/>
        <color rgb="FFFF0000"/>
        <name val="Calibri"/>
        <scheme val="minor"/>
      </font>
      <numFmt numFmtId="2" formatCode="0.00"/>
      <fill>
        <patternFill patternType="solid">
          <fgColor indexed="64"/>
          <bgColor theme="0"/>
        </patternFill>
      </fill>
      <alignment horizontal="center" vertical="bottom" textRotation="0" wrapText="0" indent="0" justifyLastLine="0" shrinkToFit="0" readingOrder="0"/>
      <border diagonalUp="0" diagonalDown="0">
        <left/>
        <right style="medium">
          <color indexed="64"/>
        </right>
        <top/>
        <bottom/>
        <vertical/>
        <horizontal/>
      </border>
      <protection locked="0" hidden="0"/>
    </dxf>
    <dxf>
      <font>
        <sz val="10.5"/>
        <color rgb="FF333333"/>
        <name val="Verdana"/>
        <family val="2"/>
      </font>
      <numFmt numFmtId="0" formatCode="General"/>
      <alignment horizontal="left" vertical="center" textRotation="0" wrapText="0" indent="5" justifyLastLine="0" shrinkToFit="0" readingOrder="0"/>
      <border diagonalUp="0" diagonalDown="0" outline="0">
        <left style="thin">
          <color indexed="64"/>
        </left>
        <right/>
        <top style="thin">
          <color indexed="64"/>
        </top>
        <bottom style="thin">
          <color indexed="64"/>
        </bottom>
      </border>
      <protection locked="0" hidden="0"/>
    </dxf>
    <dxf>
      <font>
        <b/>
        <sz val="10.5"/>
        <color rgb="FF333333"/>
        <name val="Verdana"/>
        <family val="2"/>
      </font>
      <numFmt numFmtId="1" formatCode="0"/>
      <fill>
        <patternFill patternType="solid">
          <fgColor indexed="64"/>
          <bgColor indexed="26"/>
        </patternFill>
      </fill>
      <alignment horizontal="left" vertical="center" textRotation="0" wrapText="0" indent="5"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left" vertical="bottom" textRotation="0" wrapText="0" relativeIndent="0" justifyLastLine="0" shrinkToFit="0" readingOrder="0"/>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center" vertical="bottom" textRotation="0" wrapText="0" relativeIndent="0" justifyLastLine="0" shrinkToFit="0" readingOrder="0"/>
    </dxf>
    <dxf>
      <numFmt numFmtId="0" formatCode="General"/>
      <alignment horizontal="center" vertical="bottom" textRotation="0" wrapText="0" indent="0" justifyLastLine="0" shrinkToFit="0" readingOrder="0"/>
      <protection locked="0" hidden="0"/>
    </dxf>
    <dxf>
      <protection locked="0" hidden="0"/>
    </dxf>
    <dxf>
      <font>
        <b val="0"/>
        <strike val="0"/>
        <outline val="0"/>
        <shadow val="0"/>
        <u val="none"/>
        <vertAlign val="baseline"/>
        <sz val="11"/>
        <color auto="1"/>
        <name val="Arial"/>
        <scheme val="none"/>
      </font>
      <fill>
        <patternFill patternType="none">
          <fgColor indexed="64"/>
          <bgColor indexed="65"/>
        </patternFill>
      </fill>
      <alignment horizontal="left" vertical="top" textRotation="0" wrapText="1" indent="0" justifyLastLine="0" shrinkToFit="0" readingOrder="0"/>
      <protection locked="0" hidden="0"/>
    </dxf>
    <dxf>
      <fill>
        <patternFill>
          <bgColor indexed="10"/>
        </patternFill>
      </fill>
    </dxf>
    <dxf>
      <fill>
        <patternFill>
          <bgColor indexed="10"/>
        </patternFill>
      </fill>
    </dxf>
    <dxf>
      <numFmt numFmtId="2" formatCode="0.00"/>
      <protection locked="0" hidden="0"/>
    </dxf>
    <dxf>
      <numFmt numFmtId="2" formatCode="0.00"/>
      <protection locked="0" hidden="0"/>
    </dxf>
    <dxf>
      <numFmt numFmtId="2" formatCode="0.00"/>
      <protection locked="0" hidden="0"/>
    </dxf>
    <dxf>
      <numFmt numFmtId="2" formatCode="0.00"/>
      <protection locked="0" hidden="0"/>
    </dxf>
    <dxf>
      <numFmt numFmtId="2" formatCode="0.00"/>
      <protection locked="0" hidden="0"/>
    </dxf>
    <dxf>
      <numFmt numFmtId="0" formatCode="General"/>
      <protection locked="1" hidden="0"/>
    </dxf>
    <dxf>
      <numFmt numFmtId="0" formatCode="General"/>
      <protection locked="1" hidden="0"/>
    </dxf>
    <dxf>
      <numFmt numFmtId="0" formatCode="General"/>
      <protection locked="1" hidden="0"/>
    </dxf>
    <dxf>
      <numFmt numFmtId="0" formatCode="General"/>
      <protection locked="1" hidden="0"/>
    </dxf>
    <dxf>
      <numFmt numFmtId="2" formatCode="0.00"/>
      <protection locked="1" hidden="0"/>
    </dxf>
    <dxf>
      <border diagonalUp="0" diagonalDown="0" outline="0">
        <left/>
        <right style="thin">
          <color indexed="64"/>
        </right>
        <top/>
        <bottom/>
      </border>
    </dxf>
    <dxf>
      <numFmt numFmtId="2" formatCode="0.00"/>
      <protection locked="1" hidden="0"/>
    </dxf>
    <dxf>
      <numFmt numFmtId="2" formatCode="0.00"/>
      <protection locked="1" hidden="0"/>
    </dxf>
    <dxf>
      <numFmt numFmtId="2" formatCode="0.00"/>
      <protection locked="1" hidden="0"/>
    </dxf>
    <dxf>
      <numFmt numFmtId="2" formatCode="0.00"/>
      <protection locked="1" hidden="0"/>
    </dxf>
    <dxf>
      <numFmt numFmtId="2" formatCode="0.00"/>
      <protection locked="1" hidden="0"/>
    </dxf>
    <dxf>
      <numFmt numFmtId="2" formatCode="0.00"/>
      <protection locked="1" hidden="0"/>
    </dxf>
    <dxf>
      <numFmt numFmtId="2" formatCode="0.00"/>
      <protection locked="1" hidden="0"/>
    </dxf>
    <dxf>
      <font>
        <b/>
        <sz val="11"/>
        <color rgb="FFFF0000"/>
        <name val="Calibri"/>
        <scheme val="minor"/>
      </font>
      <numFmt numFmtId="2" formatCode="0.00"/>
      <fill>
        <patternFill patternType="solid">
          <fgColor indexed="64"/>
          <bgColor theme="0"/>
        </patternFill>
      </fill>
      <alignment horizontal="center" vertical="bottom" textRotation="0" wrapText="0" indent="0" justifyLastLine="0" shrinkToFit="0" readingOrder="0"/>
      <border diagonalUp="0" diagonalDown="0">
        <left/>
        <right style="medium">
          <color indexed="64"/>
        </right>
        <top/>
        <bottom/>
        <vertical/>
        <horizontal/>
      </border>
      <protection locked="0" hidden="0"/>
    </dxf>
    <dxf>
      <font>
        <sz val="10.5"/>
        <color rgb="FF333333"/>
        <name val="Verdana"/>
        <family val="2"/>
      </font>
      <numFmt numFmtId="0" formatCode="General"/>
      <alignment horizontal="left" vertical="center" textRotation="0" wrapText="0" indent="5" justifyLastLine="0" shrinkToFit="0" readingOrder="0"/>
      <border diagonalUp="0" diagonalDown="0" outline="0">
        <left style="thin">
          <color indexed="64"/>
        </left>
        <right/>
        <top style="thin">
          <color indexed="64"/>
        </top>
        <bottom style="thin">
          <color indexed="64"/>
        </bottom>
      </border>
      <protection locked="0" hidden="0"/>
    </dxf>
    <dxf>
      <font>
        <b/>
        <sz val="10.5"/>
        <color rgb="FF333333"/>
        <name val="Verdana"/>
        <family val="2"/>
      </font>
      <numFmt numFmtId="1" formatCode="0"/>
      <fill>
        <patternFill patternType="solid">
          <fgColor indexed="64"/>
          <bgColor indexed="26"/>
        </patternFill>
      </fill>
      <alignment horizontal="left" vertical="center" textRotation="0" wrapText="0" indent="5"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left" vertical="bottom" textRotation="0" wrapText="0" relativeIndent="0" justifyLastLine="0" shrinkToFit="0" readingOrder="0"/>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center" vertical="bottom" textRotation="0" wrapText="0" relativeIndent="0" justifyLastLine="0" shrinkToFit="0" readingOrder="0"/>
    </dxf>
    <dxf>
      <numFmt numFmtId="0" formatCode="General"/>
      <alignment horizontal="center" vertical="bottom" textRotation="0" wrapText="0" indent="0" justifyLastLine="0" shrinkToFit="0" readingOrder="0"/>
      <protection locked="0" hidden="0"/>
    </dxf>
    <dxf>
      <protection locked="0" hidden="0"/>
    </dxf>
    <dxf>
      <font>
        <b val="0"/>
        <strike val="0"/>
        <outline val="0"/>
        <shadow val="0"/>
        <u val="none"/>
        <vertAlign val="baseline"/>
        <sz val="11"/>
        <color auto="1"/>
        <name val="Arial"/>
        <scheme val="none"/>
      </font>
      <fill>
        <patternFill patternType="none">
          <fgColor indexed="64"/>
          <bgColor indexed="65"/>
        </patternFill>
      </fill>
      <alignment horizontal="left" vertical="top" textRotation="0" wrapText="1" indent="0" justifyLastLine="0" shrinkToFit="0" readingOrder="0"/>
      <protection locked="0" hidden="0"/>
    </dxf>
    <dxf>
      <fill>
        <patternFill>
          <bgColor indexed="10"/>
        </patternFill>
      </fill>
    </dxf>
    <dxf>
      <fill>
        <patternFill>
          <bgColor indexed="10"/>
        </patternFill>
      </fill>
    </dxf>
    <dxf>
      <numFmt numFmtId="2" formatCode="0.00"/>
      <protection locked="0" hidden="0"/>
    </dxf>
    <dxf>
      <numFmt numFmtId="2" formatCode="0.00"/>
      <protection locked="0" hidden="0"/>
    </dxf>
    <dxf>
      <numFmt numFmtId="2" formatCode="0.00"/>
      <protection locked="0" hidden="0"/>
    </dxf>
    <dxf>
      <numFmt numFmtId="2" formatCode="0.00"/>
      <protection locked="0" hidden="0"/>
    </dxf>
    <dxf>
      <numFmt numFmtId="2" formatCode="0.00"/>
      <protection locked="0" hidden="0"/>
    </dxf>
    <dxf>
      <numFmt numFmtId="0" formatCode="General"/>
      <protection locked="1" hidden="0"/>
    </dxf>
    <dxf>
      <numFmt numFmtId="0" formatCode="General"/>
      <protection locked="1" hidden="0"/>
    </dxf>
    <dxf>
      <numFmt numFmtId="0" formatCode="General"/>
      <protection locked="1" hidden="0"/>
    </dxf>
    <dxf>
      <numFmt numFmtId="0" formatCode="General"/>
      <protection locked="1" hidden="0"/>
    </dxf>
    <dxf>
      <numFmt numFmtId="2" formatCode="0.00"/>
      <protection locked="1" hidden="0"/>
    </dxf>
    <dxf>
      <border diagonalUp="0" diagonalDown="0" outline="0">
        <left/>
        <right style="thin">
          <color indexed="64"/>
        </right>
        <top/>
        <bottom/>
      </border>
    </dxf>
    <dxf>
      <numFmt numFmtId="2" formatCode="0.00"/>
      <protection locked="1" hidden="0"/>
    </dxf>
    <dxf>
      <numFmt numFmtId="2" formatCode="0.00"/>
      <protection locked="1" hidden="0"/>
    </dxf>
    <dxf>
      <numFmt numFmtId="2" formatCode="0.00"/>
      <protection locked="1" hidden="0"/>
    </dxf>
    <dxf>
      <numFmt numFmtId="2" formatCode="0.00"/>
      <protection locked="1" hidden="0"/>
    </dxf>
    <dxf>
      <numFmt numFmtId="2" formatCode="0.00"/>
      <protection locked="1" hidden="0"/>
    </dxf>
    <dxf>
      <numFmt numFmtId="2" formatCode="0.00"/>
      <protection locked="1" hidden="0"/>
    </dxf>
    <dxf>
      <numFmt numFmtId="2" formatCode="0.00"/>
      <protection locked="1" hidden="0"/>
    </dxf>
    <dxf>
      <font>
        <b/>
        <sz val="11"/>
        <color rgb="FFFF0000"/>
        <name val="Calibri"/>
        <scheme val="minor"/>
      </font>
      <numFmt numFmtId="2" formatCode="0.00"/>
      <fill>
        <patternFill patternType="solid">
          <fgColor indexed="64"/>
          <bgColor theme="0"/>
        </patternFill>
      </fill>
      <alignment horizontal="center" vertical="bottom" textRotation="0" wrapText="0" indent="0" justifyLastLine="0" shrinkToFit="0" readingOrder="0"/>
      <border diagonalUp="0" diagonalDown="0">
        <left/>
        <right style="medium">
          <color indexed="64"/>
        </right>
        <top/>
        <bottom/>
        <vertical/>
        <horizontal/>
      </border>
      <protection locked="0" hidden="0"/>
    </dxf>
    <dxf>
      <font>
        <sz val="10.5"/>
        <color rgb="FF333333"/>
        <name val="Verdana"/>
        <family val="2"/>
      </font>
      <numFmt numFmtId="0" formatCode="General"/>
      <alignment horizontal="left" vertical="center" textRotation="0" wrapText="0" indent="5" justifyLastLine="0" shrinkToFit="0" readingOrder="0"/>
      <border diagonalUp="0" diagonalDown="0" outline="0">
        <left style="thin">
          <color indexed="64"/>
        </left>
        <right/>
        <top style="thin">
          <color indexed="64"/>
        </top>
        <bottom style="thin">
          <color indexed="64"/>
        </bottom>
      </border>
      <protection locked="0" hidden="0"/>
    </dxf>
    <dxf>
      <font>
        <b/>
        <sz val="10.5"/>
        <color rgb="FF333333"/>
        <name val="Verdana"/>
        <family val="2"/>
      </font>
      <numFmt numFmtId="1" formatCode="0"/>
      <fill>
        <patternFill patternType="solid">
          <fgColor indexed="64"/>
          <bgColor indexed="26"/>
        </patternFill>
      </fill>
      <alignment horizontal="left" vertical="center" textRotation="0" wrapText="0" indent="5"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left" vertical="bottom" textRotation="0" wrapText="0" relativeIndent="0" justifyLastLine="0" shrinkToFit="0" readingOrder="0"/>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center" vertical="bottom" textRotation="0" wrapText="0" relativeIndent="0" justifyLastLine="0" shrinkToFit="0" readingOrder="0"/>
    </dxf>
    <dxf>
      <numFmt numFmtId="0" formatCode="General"/>
      <alignment horizontal="center" vertical="bottom" textRotation="0" wrapText="0" indent="0" justifyLastLine="0" shrinkToFit="0" readingOrder="0"/>
      <protection locked="0" hidden="0"/>
    </dxf>
    <dxf>
      <protection locked="0" hidden="0"/>
    </dxf>
    <dxf>
      <font>
        <b val="0"/>
        <strike val="0"/>
        <outline val="0"/>
        <shadow val="0"/>
        <u val="none"/>
        <vertAlign val="baseline"/>
        <sz val="11"/>
        <color auto="1"/>
        <name val="Arial"/>
        <scheme val="none"/>
      </font>
      <fill>
        <patternFill patternType="none">
          <fgColor indexed="64"/>
          <bgColor indexed="65"/>
        </patternFill>
      </fill>
      <alignment horizontal="left" vertical="top" textRotation="0" wrapText="1" indent="0" justifyLastLine="0" shrinkToFit="0" readingOrder="0"/>
      <protection locked="0" hidden="0"/>
    </dxf>
    <dxf>
      <fill>
        <patternFill>
          <bgColor indexed="10"/>
        </patternFill>
      </fill>
    </dxf>
    <dxf>
      <fill>
        <patternFill>
          <bgColor indexed="10"/>
        </patternFill>
      </fill>
    </dxf>
    <dxf>
      <numFmt numFmtId="2" formatCode="0.00"/>
      <protection locked="0" hidden="0"/>
    </dxf>
    <dxf>
      <numFmt numFmtId="2" formatCode="0.00"/>
      <protection locked="0" hidden="0"/>
    </dxf>
    <dxf>
      <numFmt numFmtId="2" formatCode="0.00"/>
      <protection locked="0" hidden="0"/>
    </dxf>
    <dxf>
      <numFmt numFmtId="2" formatCode="0.00"/>
      <protection locked="0" hidden="0"/>
    </dxf>
    <dxf>
      <numFmt numFmtId="2" formatCode="0.00"/>
      <protection locked="0" hidden="0"/>
    </dxf>
    <dxf>
      <numFmt numFmtId="0" formatCode="General"/>
      <protection locked="1" hidden="0"/>
    </dxf>
    <dxf>
      <numFmt numFmtId="0" formatCode="General"/>
      <protection locked="1" hidden="0"/>
    </dxf>
    <dxf>
      <numFmt numFmtId="0" formatCode="General"/>
      <protection locked="1" hidden="0"/>
    </dxf>
    <dxf>
      <numFmt numFmtId="0" formatCode="General"/>
      <protection locked="1" hidden="0"/>
    </dxf>
    <dxf>
      <numFmt numFmtId="2" formatCode="0.00"/>
      <protection locked="1" hidden="0"/>
    </dxf>
    <dxf>
      <border diagonalUp="0" diagonalDown="0" outline="0">
        <left/>
        <right style="thin">
          <color indexed="64"/>
        </right>
        <top/>
        <bottom/>
      </border>
    </dxf>
    <dxf>
      <numFmt numFmtId="2" formatCode="0.00"/>
      <protection locked="1" hidden="0"/>
    </dxf>
    <dxf>
      <numFmt numFmtId="2" formatCode="0.00"/>
      <protection locked="1" hidden="0"/>
    </dxf>
    <dxf>
      <numFmt numFmtId="2" formatCode="0.00"/>
      <protection locked="1" hidden="0"/>
    </dxf>
    <dxf>
      <numFmt numFmtId="2" formatCode="0.00"/>
      <protection locked="1" hidden="0"/>
    </dxf>
    <dxf>
      <numFmt numFmtId="2" formatCode="0.00"/>
      <protection locked="1" hidden="0"/>
    </dxf>
    <dxf>
      <numFmt numFmtId="2" formatCode="0.00"/>
      <protection locked="1" hidden="0"/>
    </dxf>
    <dxf>
      <numFmt numFmtId="2" formatCode="0.00"/>
      <protection locked="1" hidden="0"/>
    </dxf>
    <dxf>
      <font>
        <b/>
        <sz val="11"/>
        <color rgb="FFFF0000"/>
        <name val="Calibri"/>
        <scheme val="minor"/>
      </font>
      <numFmt numFmtId="2" formatCode="0.00"/>
      <fill>
        <patternFill patternType="solid">
          <fgColor indexed="64"/>
          <bgColor theme="0"/>
        </patternFill>
      </fill>
      <alignment horizontal="center" vertical="bottom" textRotation="0" wrapText="0" indent="0" justifyLastLine="0" shrinkToFit="0" readingOrder="0"/>
      <border diagonalUp="0" diagonalDown="0">
        <left/>
        <right style="medium">
          <color indexed="64"/>
        </right>
        <top/>
        <bottom/>
        <vertical/>
        <horizontal/>
      </border>
      <protection locked="0" hidden="0"/>
    </dxf>
    <dxf>
      <font>
        <sz val="10.5"/>
        <color rgb="FF333333"/>
        <name val="Verdana"/>
        <family val="2"/>
      </font>
      <numFmt numFmtId="0" formatCode="General"/>
      <alignment horizontal="left" vertical="center" textRotation="0" wrapText="0" indent="5" justifyLastLine="0" shrinkToFit="0" readingOrder="0"/>
      <border diagonalUp="0" diagonalDown="0" outline="0">
        <left style="thin">
          <color indexed="64"/>
        </left>
        <right/>
        <top style="thin">
          <color indexed="64"/>
        </top>
        <bottom style="thin">
          <color indexed="64"/>
        </bottom>
      </border>
      <protection locked="0" hidden="0"/>
    </dxf>
    <dxf>
      <font>
        <b/>
        <sz val="10.5"/>
        <color rgb="FF333333"/>
        <name val="Verdana"/>
        <family val="2"/>
      </font>
      <numFmt numFmtId="1" formatCode="0"/>
      <fill>
        <patternFill patternType="solid">
          <fgColor indexed="64"/>
          <bgColor indexed="26"/>
        </patternFill>
      </fill>
      <alignment horizontal="left" vertical="center" textRotation="0" wrapText="0" indent="5"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left" vertical="bottom" textRotation="0" wrapText="0" relativeIndent="0" justifyLastLine="0" shrinkToFit="0" readingOrder="0"/>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center" vertical="bottom" textRotation="0" wrapText="0" relativeIndent="0" justifyLastLine="0" shrinkToFit="0" readingOrder="0"/>
    </dxf>
    <dxf>
      <numFmt numFmtId="0" formatCode="General"/>
      <alignment horizontal="center" vertical="bottom" textRotation="0" wrapText="0" indent="0" justifyLastLine="0" shrinkToFit="0" readingOrder="0"/>
      <protection locked="0" hidden="0"/>
    </dxf>
    <dxf>
      <protection locked="0" hidden="0"/>
    </dxf>
    <dxf>
      <font>
        <b val="0"/>
        <strike val="0"/>
        <outline val="0"/>
        <shadow val="0"/>
        <u val="none"/>
        <vertAlign val="baseline"/>
        <sz val="11"/>
        <color auto="1"/>
        <name val="Arial"/>
        <scheme val="none"/>
      </font>
      <fill>
        <patternFill patternType="none">
          <fgColor indexed="64"/>
          <bgColor indexed="65"/>
        </patternFill>
      </fill>
      <alignment horizontal="left" vertical="top" textRotation="0" wrapText="1" indent="0" justifyLastLine="0" shrinkToFit="0" readingOrder="0"/>
      <protection locked="0" hidden="0"/>
    </dxf>
    <dxf>
      <fill>
        <patternFill>
          <bgColor indexed="10"/>
        </patternFill>
      </fill>
    </dxf>
    <dxf>
      <fill>
        <patternFill>
          <bgColor indexed="10"/>
        </patternFill>
      </fill>
    </dxf>
    <dxf>
      <numFmt numFmtId="2" formatCode="0.00"/>
      <protection locked="0" hidden="0"/>
    </dxf>
    <dxf>
      <numFmt numFmtId="2" formatCode="0.00"/>
      <protection locked="0" hidden="0"/>
    </dxf>
    <dxf>
      <numFmt numFmtId="2" formatCode="0.00"/>
      <protection locked="0" hidden="0"/>
    </dxf>
    <dxf>
      <numFmt numFmtId="2" formatCode="0.00"/>
      <protection locked="0" hidden="0"/>
    </dxf>
    <dxf>
      <numFmt numFmtId="2" formatCode="0.00"/>
      <protection locked="0" hidden="0"/>
    </dxf>
    <dxf>
      <numFmt numFmtId="0" formatCode="General"/>
      <protection locked="1" hidden="0"/>
    </dxf>
    <dxf>
      <numFmt numFmtId="0" formatCode="General"/>
      <protection locked="1" hidden="0"/>
    </dxf>
    <dxf>
      <numFmt numFmtId="0" formatCode="General"/>
      <protection locked="1" hidden="0"/>
    </dxf>
    <dxf>
      <numFmt numFmtId="0" formatCode="General"/>
      <protection locked="1" hidden="0"/>
    </dxf>
    <dxf>
      <numFmt numFmtId="2" formatCode="0.00"/>
      <protection locked="1" hidden="0"/>
    </dxf>
    <dxf>
      <border diagonalUp="0" diagonalDown="0" outline="0">
        <left/>
        <right style="thin">
          <color indexed="64"/>
        </right>
        <top/>
        <bottom/>
      </border>
    </dxf>
    <dxf>
      <numFmt numFmtId="2" formatCode="0.00"/>
      <protection locked="1" hidden="0"/>
    </dxf>
    <dxf>
      <numFmt numFmtId="2" formatCode="0.00"/>
      <protection locked="1" hidden="0"/>
    </dxf>
    <dxf>
      <numFmt numFmtId="2" formatCode="0.00"/>
      <protection locked="1" hidden="0"/>
    </dxf>
    <dxf>
      <numFmt numFmtId="2" formatCode="0.00"/>
      <protection locked="1" hidden="0"/>
    </dxf>
    <dxf>
      <numFmt numFmtId="2" formatCode="0.00"/>
      <protection locked="1" hidden="0"/>
    </dxf>
    <dxf>
      <numFmt numFmtId="2" formatCode="0.00"/>
      <protection locked="1" hidden="0"/>
    </dxf>
    <dxf>
      <numFmt numFmtId="2" formatCode="0.00"/>
      <protection locked="1" hidden="0"/>
    </dxf>
    <dxf>
      <font>
        <b/>
        <sz val="11"/>
        <color rgb="FFFF0000"/>
        <name val="Calibri"/>
        <scheme val="minor"/>
      </font>
      <numFmt numFmtId="2" formatCode="0.00"/>
      <fill>
        <patternFill patternType="solid">
          <fgColor indexed="64"/>
          <bgColor indexed="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z val="10.5"/>
        <color rgb="FF333333"/>
        <name val="Verdana"/>
        <family val="2"/>
      </font>
      <numFmt numFmtId="0" formatCode="General"/>
      <alignment horizontal="left" vertical="center" textRotation="0" wrapText="0" indent="5" justifyLastLine="0" shrinkToFit="0" readingOrder="0"/>
      <border diagonalUp="0" diagonalDown="0" outline="0">
        <left style="thin">
          <color indexed="64"/>
        </left>
        <right/>
        <top style="thin">
          <color indexed="64"/>
        </top>
        <bottom style="thin">
          <color indexed="64"/>
        </bottom>
      </border>
      <protection locked="0" hidden="0"/>
    </dxf>
    <dxf>
      <font>
        <b/>
        <sz val="10.5"/>
        <color rgb="FF333333"/>
        <name val="Verdana"/>
        <family val="2"/>
      </font>
      <numFmt numFmtId="1" formatCode="0"/>
      <fill>
        <patternFill patternType="solid">
          <fgColor indexed="64"/>
          <bgColor indexed="26"/>
        </patternFill>
      </fill>
      <alignment horizontal="left" vertical="center" textRotation="0" wrapText="0" indent="5"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left" vertical="bottom" textRotation="0" wrapText="0" relativeIndent="0" justifyLastLine="0" shrinkToFit="0" readingOrder="0"/>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center" vertical="bottom" textRotation="0" wrapText="0" relativeIndent="0" justifyLastLine="0" shrinkToFit="0" readingOrder="0"/>
    </dxf>
    <dxf>
      <numFmt numFmtId="0" formatCode="General"/>
      <alignment horizontal="center" vertical="bottom" textRotation="0" wrapText="0" indent="0" justifyLastLine="0" shrinkToFit="0" readingOrder="0"/>
      <protection locked="0" hidden="0"/>
    </dxf>
    <dxf>
      <protection locked="0" hidden="0"/>
    </dxf>
    <dxf>
      <font>
        <b val="0"/>
        <strike val="0"/>
        <outline val="0"/>
        <shadow val="0"/>
        <u val="none"/>
        <vertAlign val="baseline"/>
        <sz val="11"/>
        <color auto="1"/>
        <name val="Arial"/>
        <scheme val="none"/>
      </font>
      <fill>
        <patternFill patternType="none">
          <fgColor indexed="64"/>
          <bgColor indexed="65"/>
        </patternFill>
      </fill>
      <alignment horizontal="left" vertical="top" textRotation="0" wrapText="1" indent="0" justifyLastLine="0" shrinkToFit="0" readingOrder="0"/>
      <protection locked="0" hidden="0"/>
    </dxf>
    <dxf>
      <fill>
        <patternFill>
          <bgColor indexed="10"/>
        </patternFill>
      </fill>
    </dxf>
    <dxf>
      <fill>
        <patternFill>
          <bgColor indexed="10"/>
        </patternFill>
      </fill>
    </dxf>
    <dxf>
      <numFmt numFmtId="2" formatCode="0.00"/>
      <protection locked="0" hidden="0"/>
    </dxf>
    <dxf>
      <numFmt numFmtId="2" formatCode="0.00"/>
      <protection locked="0" hidden="0"/>
    </dxf>
    <dxf>
      <numFmt numFmtId="2" formatCode="0.00"/>
      <protection locked="0" hidden="0"/>
    </dxf>
    <dxf>
      <numFmt numFmtId="2" formatCode="0.00"/>
      <protection locked="0" hidden="0"/>
    </dxf>
    <dxf>
      <numFmt numFmtId="2" formatCode="0.00"/>
      <protection locked="0" hidden="0"/>
    </dxf>
    <dxf>
      <numFmt numFmtId="0" formatCode="General"/>
      <protection locked="1" hidden="0"/>
    </dxf>
    <dxf>
      <numFmt numFmtId="0" formatCode="General"/>
      <protection locked="1" hidden="0"/>
    </dxf>
    <dxf>
      <numFmt numFmtId="0" formatCode="General"/>
      <protection locked="1" hidden="0"/>
    </dxf>
    <dxf>
      <numFmt numFmtId="0" formatCode="General"/>
      <protection locked="1" hidden="0"/>
    </dxf>
    <dxf>
      <numFmt numFmtId="2" formatCode="0.00"/>
      <protection locked="1" hidden="0"/>
    </dxf>
    <dxf>
      <border diagonalUp="0" diagonalDown="0" outline="0">
        <left/>
        <right style="thin">
          <color indexed="64"/>
        </right>
        <top/>
        <bottom/>
      </border>
    </dxf>
    <dxf>
      <numFmt numFmtId="2" formatCode="0.00"/>
      <protection locked="1" hidden="0"/>
    </dxf>
    <dxf>
      <numFmt numFmtId="2" formatCode="0.00"/>
      <protection locked="1" hidden="0"/>
    </dxf>
    <dxf>
      <numFmt numFmtId="2" formatCode="0.00"/>
      <protection locked="1" hidden="0"/>
    </dxf>
    <dxf>
      <numFmt numFmtId="2" formatCode="0.00"/>
      <protection locked="1" hidden="0"/>
    </dxf>
    <dxf>
      <numFmt numFmtId="2" formatCode="0.00"/>
      <protection locked="1" hidden="0"/>
    </dxf>
    <dxf>
      <numFmt numFmtId="2" formatCode="0.00"/>
      <protection locked="1" hidden="0"/>
    </dxf>
    <dxf>
      <numFmt numFmtId="2" formatCode="0.00"/>
      <protection locked="1" hidden="0"/>
    </dxf>
    <dxf>
      <font>
        <b/>
        <sz val="11"/>
        <color rgb="FFFF0000"/>
        <name val="Calibri"/>
        <scheme val="minor"/>
      </font>
      <numFmt numFmtId="2" formatCode="0.00"/>
      <fill>
        <patternFill patternType="solid">
          <fgColor indexed="64"/>
          <bgColor indexed="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z val="10.5"/>
        <color rgb="FF333333"/>
        <name val="Verdana"/>
        <family val="2"/>
      </font>
      <numFmt numFmtId="0" formatCode="General"/>
      <alignment horizontal="left" vertical="center" textRotation="0" wrapText="0" indent="5" justifyLastLine="0" shrinkToFit="0" readingOrder="0"/>
      <border diagonalUp="0" diagonalDown="0" outline="0">
        <left style="thin">
          <color indexed="64"/>
        </left>
        <right/>
        <top style="thin">
          <color indexed="64"/>
        </top>
        <bottom style="thin">
          <color indexed="64"/>
        </bottom>
      </border>
      <protection locked="0" hidden="0"/>
    </dxf>
    <dxf>
      <font>
        <b/>
        <sz val="10.5"/>
        <color rgb="FF333333"/>
        <name val="Verdana"/>
        <family val="2"/>
      </font>
      <numFmt numFmtId="1" formatCode="0"/>
      <fill>
        <patternFill patternType="solid">
          <fgColor indexed="64"/>
          <bgColor indexed="26"/>
        </patternFill>
      </fill>
      <alignment horizontal="left" vertical="center" textRotation="0" wrapText="0" indent="5"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left" vertical="bottom" textRotation="0" wrapText="0" relativeIndent="0" justifyLastLine="0" shrinkToFit="0" readingOrder="0"/>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center" vertical="bottom" textRotation="0" wrapText="0" relativeIndent="0" justifyLastLine="0" shrinkToFit="0" readingOrder="0"/>
    </dxf>
    <dxf>
      <numFmt numFmtId="0" formatCode="General"/>
      <alignment horizontal="center" vertical="bottom" textRotation="0" wrapText="0" indent="0" justifyLastLine="0" shrinkToFit="0" readingOrder="0"/>
      <protection locked="0" hidden="0"/>
    </dxf>
    <dxf>
      <protection locked="0" hidden="0"/>
    </dxf>
    <dxf>
      <font>
        <b val="0"/>
        <strike val="0"/>
        <outline val="0"/>
        <shadow val="0"/>
        <u val="none"/>
        <vertAlign val="baseline"/>
        <sz val="11"/>
        <color auto="1"/>
        <name val="Arial"/>
        <scheme val="none"/>
      </font>
      <fill>
        <patternFill patternType="none">
          <fgColor indexed="64"/>
          <bgColor indexed="65"/>
        </patternFill>
      </fill>
      <alignment horizontal="left" vertical="top" textRotation="0" wrapText="1" indent="0" justifyLastLine="0" shrinkToFit="0" readingOrder="0"/>
      <protection locked="0" hidden="0"/>
    </dxf>
    <dxf>
      <fill>
        <patternFill>
          <bgColor indexed="10"/>
        </patternFill>
      </fill>
    </dxf>
    <dxf>
      <fill>
        <patternFill>
          <bgColor indexed="10"/>
        </patternFill>
      </fill>
    </dxf>
    <dxf>
      <numFmt numFmtId="2" formatCode="0.00"/>
      <protection locked="0" hidden="0"/>
    </dxf>
    <dxf>
      <numFmt numFmtId="2" formatCode="0.00"/>
      <protection locked="0" hidden="0"/>
    </dxf>
    <dxf>
      <numFmt numFmtId="2" formatCode="0.00"/>
      <protection locked="0" hidden="0"/>
    </dxf>
    <dxf>
      <numFmt numFmtId="2" formatCode="0.00"/>
      <protection locked="0" hidden="0"/>
    </dxf>
    <dxf>
      <numFmt numFmtId="2" formatCode="0.00"/>
      <protection locked="0" hidden="0"/>
    </dxf>
    <dxf>
      <numFmt numFmtId="0" formatCode="General"/>
      <protection locked="1" hidden="0"/>
    </dxf>
    <dxf>
      <numFmt numFmtId="0" formatCode="General"/>
      <protection locked="1" hidden="0"/>
    </dxf>
    <dxf>
      <numFmt numFmtId="0" formatCode="General"/>
      <protection locked="1" hidden="0"/>
    </dxf>
    <dxf>
      <numFmt numFmtId="0" formatCode="General"/>
      <protection locked="1" hidden="0"/>
    </dxf>
    <dxf>
      <numFmt numFmtId="2" formatCode="0.00"/>
      <protection locked="1" hidden="0"/>
    </dxf>
    <dxf>
      <border diagonalUp="0" diagonalDown="0" outline="0">
        <left/>
        <right style="thin">
          <color indexed="64"/>
        </right>
        <top/>
        <bottom/>
      </border>
    </dxf>
    <dxf>
      <numFmt numFmtId="2" formatCode="0.00"/>
      <protection locked="1" hidden="0"/>
    </dxf>
    <dxf>
      <numFmt numFmtId="2" formatCode="0.00"/>
      <protection locked="1" hidden="0"/>
    </dxf>
    <dxf>
      <numFmt numFmtId="2" formatCode="0.00"/>
      <protection locked="1" hidden="0"/>
    </dxf>
    <dxf>
      <numFmt numFmtId="2" formatCode="0.00"/>
      <protection locked="1" hidden="0"/>
    </dxf>
    <dxf>
      <numFmt numFmtId="2" formatCode="0.00"/>
      <protection locked="1" hidden="0"/>
    </dxf>
    <dxf>
      <numFmt numFmtId="2" formatCode="0.00"/>
      <protection locked="1" hidden="0"/>
    </dxf>
    <dxf>
      <numFmt numFmtId="2" formatCode="0.00"/>
      <protection locked="1" hidden="0"/>
    </dxf>
    <dxf>
      <font>
        <b/>
        <sz val="11"/>
        <color rgb="FFFF0000"/>
        <name val="Calibri"/>
        <scheme val="minor"/>
      </font>
      <numFmt numFmtId="2" formatCode="0.00"/>
      <fill>
        <patternFill patternType="solid">
          <fgColor indexed="64"/>
          <bgColor indexed="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z val="10.5"/>
        <color rgb="FF333333"/>
        <name val="Verdana"/>
        <family val="2"/>
      </font>
      <numFmt numFmtId="0" formatCode="General"/>
      <alignment horizontal="left" vertical="center" textRotation="0" wrapText="0" indent="5" justifyLastLine="0" shrinkToFit="0" readingOrder="0"/>
      <border diagonalUp="0" diagonalDown="0" outline="0">
        <left style="thin">
          <color indexed="64"/>
        </left>
        <right/>
        <top style="thin">
          <color indexed="64"/>
        </top>
        <bottom style="thin">
          <color indexed="64"/>
        </bottom>
      </border>
      <protection locked="0" hidden="0"/>
    </dxf>
    <dxf>
      <font>
        <b/>
        <sz val="10.5"/>
        <color rgb="FF333333"/>
        <name val="Verdana"/>
        <family val="2"/>
      </font>
      <numFmt numFmtId="1" formatCode="0"/>
      <fill>
        <patternFill patternType="solid">
          <fgColor indexed="64"/>
          <bgColor indexed="26"/>
        </patternFill>
      </fill>
      <alignment horizontal="left" vertical="center" textRotation="0" wrapText="0" indent="5"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left" vertical="bottom" textRotation="0" wrapText="0" relativeIndent="0" justifyLastLine="0" shrinkToFit="0" readingOrder="0"/>
    </dxf>
    <dxf>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center" vertical="bottom" textRotation="0" wrapText="0" relativeIndent="0" justifyLastLine="0" shrinkToFit="0" readingOrder="0"/>
    </dxf>
    <dxf>
      <numFmt numFmtId="0" formatCode="General"/>
      <alignment horizontal="center" vertical="bottom" textRotation="0" wrapText="0" indent="0" justifyLastLine="0" shrinkToFit="0" readingOrder="0"/>
      <protection locked="0" hidden="0"/>
    </dxf>
    <dxf>
      <protection locked="0" hidden="0"/>
    </dxf>
    <dxf>
      <font>
        <b val="0"/>
        <strike val="0"/>
        <outline val="0"/>
        <shadow val="0"/>
        <u val="none"/>
        <vertAlign val="baseline"/>
        <sz val="11"/>
        <color auto="1"/>
        <name val="Arial"/>
        <scheme val="none"/>
      </font>
      <fill>
        <patternFill patternType="none">
          <fgColor indexed="64"/>
          <bgColor indexed="65"/>
        </patternFill>
      </fill>
      <alignment horizontal="left" vertical="top" textRotation="0" wrapText="1" indent="0" justifyLastLine="0" shrinkToFit="0" readingOrder="0"/>
      <protection locked="0" hidden="0"/>
    </dxf>
    <dxf>
      <fill>
        <patternFill>
          <bgColor indexed="10"/>
        </patternFill>
      </fill>
    </dxf>
    <dxf>
      <fill>
        <patternFill>
          <bgColor indexed="10"/>
        </patternFill>
      </fill>
    </dxf>
  </dxfs>
  <tableStyles count="1" defaultTableStyle="TableStyleMedium2" defaultPivotStyle="PivotStyleLight16">
    <tableStyle name="Pierre01" pivot="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21.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25.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29.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33.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37.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41.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45.xml.rels><?xml version="1.0" encoding="UTF-8" standalone="yes"?>
<Relationships xmlns="http://schemas.openxmlformats.org/package/2006/relationships"><Relationship Id="rId1" Type="http://schemas.openxmlformats.org/officeDocument/2006/relationships/chartUserShapes" Target="../drawings/drawing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3834418474441655E-2"/>
          <c:y val="0.13250935178105364"/>
          <c:w val="0.6729182365583003"/>
          <c:h val="0.71284029659820869"/>
        </c:manualLayout>
      </c:layout>
      <c:scatterChart>
        <c:scatterStyle val="lineMarker"/>
        <c:varyColors val="0"/>
        <c:ser>
          <c:idx val="0"/>
          <c:order val="0"/>
          <c:tx>
            <c:v> </c:v>
          </c:tx>
          <c:spPr>
            <a:ln w="28575">
              <a:noFill/>
            </a:ln>
          </c:spPr>
          <c:marker>
            <c:symbol val="circle"/>
            <c:size val="8"/>
            <c:spPr>
              <a:solidFill>
                <a:srgbClr val="000080"/>
              </a:solidFill>
              <a:ln>
                <a:solidFill>
                  <a:srgbClr val="000080"/>
                </a:solidFill>
                <a:prstDash val="solid"/>
              </a:ln>
            </c:spPr>
          </c:marker>
          <c:dLbls>
            <c:dLbl>
              <c:idx val="0"/>
              <c:tx>
                <c:rich>
                  <a:bodyPr/>
                  <a:lstStyle/>
                  <a:p>
                    <a:fld id="{678FCF1F-7560-43C8-A419-3929F2826386}" type="CELLRANGE">
                      <a:rPr lang="en-US"/>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9F32-4A04-8981-36801DCCB8AE}"/>
                </c:ext>
              </c:extLst>
            </c:dLbl>
            <c:dLbl>
              <c:idx val="1"/>
              <c:tx>
                <c:rich>
                  <a:bodyPr/>
                  <a:lstStyle/>
                  <a:p>
                    <a:fld id="{87D34FDB-63B8-4D96-9777-6501E13CDE10}"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9F32-4A04-8981-36801DCCB8AE}"/>
                </c:ext>
              </c:extLst>
            </c:dLbl>
            <c:dLbl>
              <c:idx val="2"/>
              <c:tx>
                <c:rich>
                  <a:bodyPr/>
                  <a:lstStyle/>
                  <a:p>
                    <a:fld id="{79887BAE-30F6-4846-9475-B24F27CB2697}"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9F32-4A04-8981-36801DCCB8AE}"/>
                </c:ext>
              </c:extLst>
            </c:dLbl>
            <c:dLbl>
              <c:idx val="3"/>
              <c:tx>
                <c:rich>
                  <a:bodyPr/>
                  <a:lstStyle/>
                  <a:p>
                    <a:fld id="{53DED474-5558-4361-A915-059CFE51988E}"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9F32-4A04-8981-36801DCCB8AE}"/>
                </c:ext>
              </c:extLst>
            </c:dLbl>
            <c:dLbl>
              <c:idx val="4"/>
              <c:tx>
                <c:rich>
                  <a:bodyPr/>
                  <a:lstStyle/>
                  <a:p>
                    <a:fld id="{99D2E976-7914-4F34-8400-B3CF59ACD974}"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9F32-4A04-8981-36801DCCB8AE}"/>
                </c:ext>
              </c:extLst>
            </c:dLbl>
            <c:dLbl>
              <c:idx val="5"/>
              <c:tx>
                <c:rich>
                  <a:bodyPr/>
                  <a:lstStyle/>
                  <a:p>
                    <a:fld id="{4AA7A79E-926F-4853-9544-24EAA135A952}"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9F32-4A04-8981-36801DCCB8AE}"/>
                </c:ext>
              </c:extLst>
            </c:dLbl>
            <c:dLbl>
              <c:idx val="6"/>
              <c:tx>
                <c:rich>
                  <a:bodyPr/>
                  <a:lstStyle/>
                  <a:p>
                    <a:fld id="{D732BC1B-0956-4017-B940-D6BFFE3B2ACF}"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9F32-4A04-8981-36801DCCB8AE}"/>
                </c:ext>
              </c:extLst>
            </c:dLbl>
            <c:dLbl>
              <c:idx val="7"/>
              <c:tx>
                <c:rich>
                  <a:bodyPr/>
                  <a:lstStyle/>
                  <a:p>
                    <a:fld id="{EF39906E-06C0-4B24-8A8A-D608873F3BE3}"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9F32-4A04-8981-36801DCCB8AE}"/>
                </c:ext>
              </c:extLst>
            </c:dLbl>
            <c:dLbl>
              <c:idx val="8"/>
              <c:tx>
                <c:rich>
                  <a:bodyPr/>
                  <a:lstStyle/>
                  <a:p>
                    <a:fld id="{92877BD0-7919-4969-8303-6E735D5EBB28}"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9F32-4A04-8981-36801DCCB8AE}"/>
                </c:ext>
              </c:extLst>
            </c:dLbl>
            <c:dLbl>
              <c:idx val="9"/>
              <c:tx>
                <c:rich>
                  <a:bodyPr/>
                  <a:lstStyle/>
                  <a:p>
                    <a:fld id="{1E22D801-0A8D-4B75-AE1B-41F63F9DBA95}"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9F32-4A04-8981-36801DCCB8AE}"/>
                </c:ext>
              </c:extLst>
            </c:dLbl>
            <c:dLbl>
              <c:idx val="10"/>
              <c:tx>
                <c:rich>
                  <a:bodyPr/>
                  <a:lstStyle/>
                  <a:p>
                    <a:fld id="{1D984583-A1A9-4AF4-B9AB-2B9858523522}"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9F32-4A04-8981-36801DCCB8AE}"/>
                </c:ext>
              </c:extLst>
            </c:dLbl>
            <c:dLbl>
              <c:idx val="11"/>
              <c:tx>
                <c:rich>
                  <a:bodyPr/>
                  <a:lstStyle/>
                  <a:p>
                    <a:fld id="{6BECD266-E0BF-464F-92BC-1AB990262D07}"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9F32-4A04-8981-36801DCCB8AE}"/>
                </c:ext>
              </c:extLst>
            </c:dLbl>
            <c:dLbl>
              <c:idx val="12"/>
              <c:tx>
                <c:rich>
                  <a:bodyPr/>
                  <a:lstStyle/>
                  <a:p>
                    <a:fld id="{95A84F7C-70AD-4934-BB6B-A65277DC593D}"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9F32-4A04-8981-36801DCCB8AE}"/>
                </c:ext>
              </c:extLst>
            </c:dLbl>
            <c:dLbl>
              <c:idx val="13"/>
              <c:tx>
                <c:rich>
                  <a:bodyPr/>
                  <a:lstStyle/>
                  <a:p>
                    <a:fld id="{532FFCE4-BB06-478F-A461-8E71CFB2C1D5}"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9F32-4A04-8981-36801DCCB8AE}"/>
                </c:ext>
              </c:extLst>
            </c:dLbl>
            <c:dLbl>
              <c:idx val="14"/>
              <c:tx>
                <c:rich>
                  <a:bodyPr/>
                  <a:lstStyle/>
                  <a:p>
                    <a:fld id="{6BE978E9-0FD2-44E8-B69C-2254296EC8EB}"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9F32-4A04-8981-36801DCCB8AE}"/>
                </c:ext>
              </c:extLst>
            </c:dLbl>
            <c:dLbl>
              <c:idx val="15"/>
              <c:tx>
                <c:rich>
                  <a:bodyPr/>
                  <a:lstStyle/>
                  <a:p>
                    <a:fld id="{B81F9647-4D35-45EF-9856-277A47D0A8E2}"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9F32-4A04-8981-36801DCCB8AE}"/>
                </c:ext>
              </c:extLst>
            </c:dLbl>
            <c:dLbl>
              <c:idx val="16"/>
              <c:tx>
                <c:rich>
                  <a:bodyPr/>
                  <a:lstStyle/>
                  <a:p>
                    <a:fld id="{79F3F548-5315-4081-B842-75FD1041908A}"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9F32-4A04-8981-36801DCCB8AE}"/>
                </c:ext>
              </c:extLst>
            </c:dLbl>
            <c:dLbl>
              <c:idx val="17"/>
              <c:tx>
                <c:rich>
                  <a:bodyPr/>
                  <a:lstStyle/>
                  <a:p>
                    <a:fld id="{D34640B9-A347-4BD9-B502-1E4503212012}"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9F32-4A04-8981-36801DCCB8AE}"/>
                </c:ext>
              </c:extLst>
            </c:dLbl>
            <c:dLbl>
              <c:idx val="18"/>
              <c:tx>
                <c:rich>
                  <a:bodyPr/>
                  <a:lstStyle/>
                  <a:p>
                    <a:fld id="{FCFAC1ED-9BAE-4BC5-8623-D0F34198B1C9}"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9F32-4A04-8981-36801DCCB8AE}"/>
                </c:ext>
              </c:extLst>
            </c:dLbl>
            <c:dLbl>
              <c:idx val="19"/>
              <c:tx>
                <c:rich>
                  <a:bodyPr/>
                  <a:lstStyle/>
                  <a:p>
                    <a:fld id="{063094BE-00CA-4293-A058-95CF53A92D30}"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9F32-4A04-8981-36801DCCB8AE}"/>
                </c:ext>
              </c:extLst>
            </c:dLbl>
            <c:dLbl>
              <c:idx val="20"/>
              <c:tx>
                <c:rich>
                  <a:bodyPr/>
                  <a:lstStyle/>
                  <a:p>
                    <a:fld id="{34EE8587-AA15-440D-90A6-97939CDAFC52}"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9F32-4A04-8981-36801DCCB8AE}"/>
                </c:ext>
              </c:extLst>
            </c:dLbl>
            <c:dLbl>
              <c:idx val="21"/>
              <c:tx>
                <c:rich>
                  <a:bodyPr/>
                  <a:lstStyle/>
                  <a:p>
                    <a:fld id="{25BE7AD5-540E-4B0F-8787-756ACE285686}"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9F32-4A04-8981-36801DCCB8AE}"/>
                </c:ext>
              </c:extLst>
            </c:dLbl>
            <c:dLbl>
              <c:idx val="22"/>
              <c:tx>
                <c:rich>
                  <a:bodyPr/>
                  <a:lstStyle/>
                  <a:p>
                    <a:fld id="{98247B8C-F1BC-40B7-AEA3-10A8659DE3E0}"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9F32-4A04-8981-36801DCCB8AE}"/>
                </c:ext>
              </c:extLst>
            </c:dLbl>
            <c:dLbl>
              <c:idx val="23"/>
              <c:tx>
                <c:rich>
                  <a:bodyPr/>
                  <a:lstStyle/>
                  <a:p>
                    <a:fld id="{5369583E-C52C-4CDE-9AFA-DD727225A97E}"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9F32-4A04-8981-36801DCCB8AE}"/>
                </c:ext>
              </c:extLst>
            </c:dLbl>
            <c:dLbl>
              <c:idx val="24"/>
              <c:tx>
                <c:rich>
                  <a:bodyPr/>
                  <a:lstStyle/>
                  <a:p>
                    <a:fld id="{26575417-97D3-40C0-AC47-7CDE467DD021}"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9F32-4A04-8981-36801DCCB8AE}"/>
                </c:ext>
              </c:extLst>
            </c:dLbl>
            <c:dLbl>
              <c:idx val="25"/>
              <c:tx>
                <c:rich>
                  <a:bodyPr/>
                  <a:lstStyle/>
                  <a:p>
                    <a:fld id="{52220DF7-F70F-4A3D-AF40-8FABD30A0160}"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9F32-4A04-8981-36801DCCB8AE}"/>
                </c:ext>
              </c:extLst>
            </c:dLbl>
            <c:dLbl>
              <c:idx val="26"/>
              <c:tx>
                <c:rich>
                  <a:bodyPr/>
                  <a:lstStyle/>
                  <a:p>
                    <a:fld id="{A823B083-4693-4F59-AE1A-C581FB6CED4E}"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9F32-4A04-8981-36801DCCB8AE}"/>
                </c:ext>
              </c:extLst>
            </c:dLbl>
            <c:dLbl>
              <c:idx val="27"/>
              <c:tx>
                <c:rich>
                  <a:bodyPr/>
                  <a:lstStyle/>
                  <a:p>
                    <a:fld id="{A5AB048A-7CAC-4ACA-85AE-162A89CE4525}"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9F32-4A04-8981-36801DCCB8AE}"/>
                </c:ext>
              </c:extLst>
            </c:dLbl>
            <c:dLbl>
              <c:idx val="28"/>
              <c:tx>
                <c:rich>
                  <a:bodyPr/>
                  <a:lstStyle/>
                  <a:p>
                    <a:fld id="{FF21B887-87DA-4566-A2EE-E72C3CF299D0}"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9F32-4A04-8981-36801DCCB8AE}"/>
                </c:ext>
              </c:extLst>
            </c:dLbl>
            <c:dLbl>
              <c:idx val="29"/>
              <c:tx>
                <c:rich>
                  <a:bodyPr/>
                  <a:lstStyle/>
                  <a:p>
                    <a:fld id="{0E060A1B-4984-4B4A-B932-A1A7A6028673}"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9F32-4A04-8981-36801DCCB8AE}"/>
                </c:ext>
              </c:extLst>
            </c:dLbl>
            <c:dLbl>
              <c:idx val="30"/>
              <c:tx>
                <c:rich>
                  <a:bodyPr/>
                  <a:lstStyle/>
                  <a:p>
                    <a:fld id="{2858D821-ACB7-4E3F-A270-BD230DA59140}"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9F32-4A04-8981-36801DCCB8AE}"/>
                </c:ext>
              </c:extLst>
            </c:dLbl>
            <c:dLbl>
              <c:idx val="31"/>
              <c:tx>
                <c:rich>
                  <a:bodyPr/>
                  <a:lstStyle/>
                  <a:p>
                    <a:fld id="{A2DA4621-2681-4BDF-890F-40BA2C960DD9}"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9F32-4A04-8981-36801DCCB8AE}"/>
                </c:ext>
              </c:extLst>
            </c:dLbl>
            <c:dLbl>
              <c:idx val="32"/>
              <c:tx>
                <c:rich>
                  <a:bodyPr/>
                  <a:lstStyle/>
                  <a:p>
                    <a:fld id="{DECAC604-51CB-4B0B-B016-4ED37FBD09E7}"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9F32-4A04-8981-36801DCCB8AE}"/>
                </c:ext>
              </c:extLst>
            </c:dLbl>
            <c:dLbl>
              <c:idx val="33"/>
              <c:tx>
                <c:rich>
                  <a:bodyPr/>
                  <a:lstStyle/>
                  <a:p>
                    <a:fld id="{3B8243A6-EED3-4C60-A5EC-E796F2C6B0F8}"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9F32-4A04-8981-36801DCCB8AE}"/>
                </c:ext>
              </c:extLst>
            </c:dLbl>
            <c:dLbl>
              <c:idx val="34"/>
              <c:tx>
                <c:rich>
                  <a:bodyPr/>
                  <a:lstStyle/>
                  <a:p>
                    <a:fld id="{4FEAC256-3DB0-43F3-A9BF-D518E6695162}"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9F32-4A04-8981-36801DCCB8AE}"/>
                </c:ext>
              </c:extLst>
            </c:dLbl>
            <c:dLbl>
              <c:idx val="35"/>
              <c:tx>
                <c:rich>
                  <a:bodyPr/>
                  <a:lstStyle/>
                  <a:p>
                    <a:fld id="{FCE6CB0D-B71B-4ED1-82A8-D18B6099B481}"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9F32-4A04-8981-36801DCCB8AE}"/>
                </c:ext>
              </c:extLst>
            </c:dLbl>
            <c:dLbl>
              <c:idx val="36"/>
              <c:tx>
                <c:rich>
                  <a:bodyPr/>
                  <a:lstStyle/>
                  <a:p>
                    <a:fld id="{3D97025A-6C68-4379-9447-59CD3FF27C24}"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9F32-4A04-8981-36801DCCB8AE}"/>
                </c:ext>
              </c:extLst>
            </c:dLbl>
            <c:dLbl>
              <c:idx val="37"/>
              <c:tx>
                <c:rich>
                  <a:bodyPr/>
                  <a:lstStyle/>
                  <a:p>
                    <a:fld id="{9522ED68-7235-413A-AA3B-484741D3B785}"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9F32-4A04-8981-36801DCCB8AE}"/>
                </c:ext>
              </c:extLst>
            </c:dLbl>
            <c:dLbl>
              <c:idx val="38"/>
              <c:tx>
                <c:rich>
                  <a:bodyPr/>
                  <a:lstStyle/>
                  <a:p>
                    <a:fld id="{240F8309-58A6-4685-8534-5EF70A552BA6}"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9F32-4A04-8981-36801DCCB8AE}"/>
                </c:ext>
              </c:extLst>
            </c:dLbl>
            <c:dLbl>
              <c:idx val="39"/>
              <c:tx>
                <c:rich>
                  <a:bodyPr/>
                  <a:lstStyle/>
                  <a:p>
                    <a:fld id="{B64FF72F-14DE-48C6-94F6-DF49956A7548}"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9F32-4A04-8981-36801DCCB8AE}"/>
                </c:ext>
              </c:extLst>
            </c:dLbl>
            <c:dLbl>
              <c:idx val="40"/>
              <c:tx>
                <c:rich>
                  <a:bodyPr/>
                  <a:lstStyle/>
                  <a:p>
                    <a:fld id="{0F6DC796-9280-4FC5-8404-206BEADF3A35}"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9F32-4A04-8981-36801DCCB8AE}"/>
                </c:ext>
              </c:extLst>
            </c:dLbl>
            <c:dLbl>
              <c:idx val="41"/>
              <c:tx>
                <c:rich>
                  <a:bodyPr/>
                  <a:lstStyle/>
                  <a:p>
                    <a:fld id="{BFA849DF-C4CE-4A93-A0A3-B52607535B6F}"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9F32-4A04-8981-36801DCCB8AE}"/>
                </c:ext>
              </c:extLst>
            </c:dLbl>
            <c:dLbl>
              <c:idx val="42"/>
              <c:tx>
                <c:rich>
                  <a:bodyPr/>
                  <a:lstStyle/>
                  <a:p>
                    <a:fld id="{6EB36E69-43AD-413F-A3B9-EA1830249518}"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9F32-4A04-8981-36801DCCB8AE}"/>
                </c:ext>
              </c:extLst>
            </c:dLbl>
            <c:dLbl>
              <c:idx val="43"/>
              <c:tx>
                <c:rich>
                  <a:bodyPr/>
                  <a:lstStyle/>
                  <a:p>
                    <a:fld id="{7A2F056F-4FD4-404C-9112-FF595B15DCF6}"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9F32-4A04-8981-36801DCCB8AE}"/>
                </c:ext>
              </c:extLst>
            </c:dLbl>
            <c:dLbl>
              <c:idx val="44"/>
              <c:tx>
                <c:rich>
                  <a:bodyPr/>
                  <a:lstStyle/>
                  <a:p>
                    <a:fld id="{869D7145-11B0-45D5-96C8-979E3135BC54}"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9F32-4A04-8981-36801DCCB8AE}"/>
                </c:ext>
              </c:extLst>
            </c:dLbl>
            <c:dLbl>
              <c:idx val="45"/>
              <c:tx>
                <c:rich>
                  <a:bodyPr/>
                  <a:lstStyle/>
                  <a:p>
                    <a:fld id="{DF86CBF4-DE6A-4527-8925-745B1724D9B5}"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9F32-4A04-8981-36801DCCB8AE}"/>
                </c:ext>
              </c:extLst>
            </c:dLbl>
            <c:dLbl>
              <c:idx val="46"/>
              <c:tx>
                <c:rich>
                  <a:bodyPr/>
                  <a:lstStyle/>
                  <a:p>
                    <a:fld id="{39B0AD9F-44EF-42C9-A231-5097F1B406AC}"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9F32-4A04-8981-36801DCCB8AE}"/>
                </c:ext>
              </c:extLst>
            </c:dLbl>
            <c:dLbl>
              <c:idx val="47"/>
              <c:tx>
                <c:rich>
                  <a:bodyPr/>
                  <a:lstStyle/>
                  <a:p>
                    <a:fld id="{73E5BB2D-A443-4836-BB10-378C189D60A0}"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9F32-4A04-8981-36801DCCB8AE}"/>
                </c:ext>
              </c:extLst>
            </c:dLbl>
            <c:dLbl>
              <c:idx val="48"/>
              <c:tx>
                <c:rich>
                  <a:bodyPr/>
                  <a:lstStyle/>
                  <a:p>
                    <a:fld id="{8920D068-56F6-4CED-ACE4-376EBB101220}"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9F32-4A04-8981-36801DCCB8AE}"/>
                </c:ext>
              </c:extLst>
            </c:dLbl>
            <c:dLbl>
              <c:idx val="49"/>
              <c:tx>
                <c:rich>
                  <a:bodyPr/>
                  <a:lstStyle/>
                  <a:p>
                    <a:fld id="{3CEFEBE8-A625-4B5E-9495-049A2BCDF9D9}"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9F32-4A04-8981-36801DCCB8AE}"/>
                </c:ext>
              </c:extLst>
            </c:dLbl>
            <c:dLbl>
              <c:idx val="50"/>
              <c:tx>
                <c:rich>
                  <a:bodyPr/>
                  <a:lstStyle/>
                  <a:p>
                    <a:fld id="{E95F7A3B-5E36-4F8E-A46E-18FEA40720B0}"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9F32-4A04-8981-36801DCCB8AE}"/>
                </c:ext>
              </c:extLst>
            </c:dLbl>
            <c:dLbl>
              <c:idx val="51"/>
              <c:tx>
                <c:rich>
                  <a:bodyPr/>
                  <a:lstStyle/>
                  <a:p>
                    <a:fld id="{1D1DAC86-0C94-4059-AB15-C027CDCBA9EF}"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9F32-4A04-8981-36801DCCB8AE}"/>
                </c:ext>
              </c:extLst>
            </c:dLbl>
            <c:dLbl>
              <c:idx val="52"/>
              <c:tx>
                <c:rich>
                  <a:bodyPr/>
                  <a:lstStyle/>
                  <a:p>
                    <a:fld id="{89200888-6017-4578-ABCA-5A3096D29225}"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9F32-4A04-8981-36801DCCB8AE}"/>
                </c:ext>
              </c:extLst>
            </c:dLbl>
            <c:dLbl>
              <c:idx val="53"/>
              <c:tx>
                <c:rich>
                  <a:bodyPr/>
                  <a:lstStyle/>
                  <a:p>
                    <a:fld id="{3B4C9E4C-E6F4-48F6-A6A6-3F38A4D0DA20}"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9F32-4A04-8981-36801DCCB8AE}"/>
                </c:ext>
              </c:extLst>
            </c:dLbl>
            <c:dLbl>
              <c:idx val="54"/>
              <c:tx>
                <c:rich>
                  <a:bodyPr/>
                  <a:lstStyle/>
                  <a:p>
                    <a:fld id="{6F45DA93-C038-42C2-93FE-BC02ACA5929C}"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9F32-4A04-8981-36801DCCB8AE}"/>
                </c:ext>
              </c:extLst>
            </c:dLbl>
            <c:dLbl>
              <c:idx val="55"/>
              <c:tx>
                <c:rich>
                  <a:bodyPr/>
                  <a:lstStyle/>
                  <a:p>
                    <a:fld id="{CD4C166F-1F53-4DE2-996C-A59277824B48}"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A-9F32-4A04-8981-36801DCCB8AE}"/>
                </c:ext>
              </c:extLst>
            </c:dLbl>
            <c:dLbl>
              <c:idx val="56"/>
              <c:tx>
                <c:rich>
                  <a:bodyPr/>
                  <a:lstStyle/>
                  <a:p>
                    <a:fld id="{E3308C88-5014-4AF8-A400-6178108A34DB}"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9F32-4A04-8981-36801DCCB8AE}"/>
                </c:ext>
              </c:extLst>
            </c:dLbl>
            <c:dLbl>
              <c:idx val="57"/>
              <c:tx>
                <c:rich>
                  <a:bodyPr/>
                  <a:lstStyle/>
                  <a:p>
                    <a:fld id="{7E74077B-DB27-433A-B863-C88584AD50B1}"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9F32-4A04-8981-36801DCCB8AE}"/>
                </c:ext>
              </c:extLst>
            </c:dLbl>
            <c:dLbl>
              <c:idx val="58"/>
              <c:tx>
                <c:rich>
                  <a:bodyPr/>
                  <a:lstStyle/>
                  <a:p>
                    <a:fld id="{9BAFAEDD-9338-48F4-B8C1-8584AE2ABA5E}"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9F32-4A04-8981-36801DCCB8AE}"/>
                </c:ext>
              </c:extLst>
            </c:dLbl>
            <c:dLbl>
              <c:idx val="59"/>
              <c:tx>
                <c:rich>
                  <a:bodyPr/>
                  <a:lstStyle/>
                  <a:p>
                    <a:fld id="{E0698C7B-FFBE-40AE-A728-75EF43FB7602}"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9F32-4A04-8981-36801DCCB8AE}"/>
                </c:ext>
              </c:extLst>
            </c:dLbl>
            <c:dLbl>
              <c:idx val="60"/>
              <c:tx>
                <c:rich>
                  <a:bodyPr/>
                  <a:lstStyle/>
                  <a:p>
                    <a:fld id="{7B5C4DB6-D146-4750-8D40-FE0819F7407F}"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9F32-4A04-8981-36801DCCB8AE}"/>
                </c:ext>
              </c:extLst>
            </c:dLbl>
            <c:dLbl>
              <c:idx val="61"/>
              <c:tx>
                <c:rich>
                  <a:bodyPr/>
                  <a:lstStyle/>
                  <a:p>
                    <a:fld id="{3DECBE36-B7EA-479A-961E-B8229D0C70DE}"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0-9F32-4A04-8981-36801DCCB8AE}"/>
                </c:ext>
              </c:extLst>
            </c:dLbl>
            <c:dLbl>
              <c:idx val="62"/>
              <c:tx>
                <c:rich>
                  <a:bodyPr/>
                  <a:lstStyle/>
                  <a:p>
                    <a:fld id="{51666A09-ACCD-48FB-B15D-000BA2654FD8}"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1-9F32-4A04-8981-36801DCCB8AE}"/>
                </c:ext>
              </c:extLst>
            </c:dLbl>
            <c:dLbl>
              <c:idx val="63"/>
              <c:tx>
                <c:rich>
                  <a:bodyPr/>
                  <a:lstStyle/>
                  <a:p>
                    <a:fld id="{5B118AA0-87D1-40FC-8D4D-D8A13A75C433}"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9F32-4A04-8981-36801DCCB8AE}"/>
                </c:ext>
              </c:extLst>
            </c:dLbl>
            <c:dLbl>
              <c:idx val="64"/>
              <c:tx>
                <c:rich>
                  <a:bodyPr/>
                  <a:lstStyle/>
                  <a:p>
                    <a:fld id="{4135685E-E2AB-4DBB-BCCF-41AC3309D7B8}"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3-9F32-4A04-8981-36801DCCB8AE}"/>
                </c:ext>
              </c:extLst>
            </c:dLbl>
            <c:dLbl>
              <c:idx val="65"/>
              <c:tx>
                <c:rich>
                  <a:bodyPr/>
                  <a:lstStyle/>
                  <a:p>
                    <a:fld id="{86DA4FB6-D341-4962-937D-23697B606517}"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4-9F32-4A04-8981-36801DCCB8AE}"/>
                </c:ext>
              </c:extLst>
            </c:dLbl>
            <c:dLbl>
              <c:idx val="66"/>
              <c:tx>
                <c:rich>
                  <a:bodyPr/>
                  <a:lstStyle/>
                  <a:p>
                    <a:fld id="{CF676F99-F3B7-424C-B901-D99A0673B2B4}"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5-9F32-4A04-8981-36801DCCB8AE}"/>
                </c:ext>
              </c:extLst>
            </c:dLbl>
            <c:dLbl>
              <c:idx val="67"/>
              <c:tx>
                <c:rich>
                  <a:bodyPr/>
                  <a:lstStyle/>
                  <a:p>
                    <a:fld id="{951D384D-9C82-41B7-BD8B-E6195C79FC58}"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6-9F32-4A04-8981-36801DCCB8AE}"/>
                </c:ext>
              </c:extLst>
            </c:dLbl>
            <c:dLbl>
              <c:idx val="68"/>
              <c:tx>
                <c:rich>
                  <a:bodyPr/>
                  <a:lstStyle/>
                  <a:p>
                    <a:fld id="{E20B8F17-D067-4307-A6EE-79677627BAEC}"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7-9F32-4A04-8981-36801DCCB8AE}"/>
                </c:ext>
              </c:extLst>
            </c:dLbl>
            <c:dLbl>
              <c:idx val="69"/>
              <c:tx>
                <c:rich>
                  <a:bodyPr/>
                  <a:lstStyle/>
                  <a:p>
                    <a:fld id="{9D11CE96-7F74-4BFF-B88E-D963435132D1}"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8-9F32-4A04-8981-36801DCCB8AE}"/>
                </c:ext>
              </c:extLst>
            </c:dLbl>
            <c:dLbl>
              <c:idx val="70"/>
              <c:tx>
                <c:rich>
                  <a:bodyPr/>
                  <a:lstStyle/>
                  <a:p>
                    <a:fld id="{81E38931-AD71-44E1-BA2D-8701F54113CE}"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9-9F32-4A04-8981-36801DCCB8AE}"/>
                </c:ext>
              </c:extLst>
            </c:dLbl>
            <c:dLbl>
              <c:idx val="71"/>
              <c:tx>
                <c:rich>
                  <a:bodyPr/>
                  <a:lstStyle/>
                  <a:p>
                    <a:fld id="{4ADF553D-F5D4-428D-9BF8-F075245F5EFC}"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A-9F32-4A04-8981-36801DCCB8AE}"/>
                </c:ext>
              </c:extLst>
            </c:dLbl>
            <c:dLbl>
              <c:idx val="72"/>
              <c:tx>
                <c:rich>
                  <a:bodyPr/>
                  <a:lstStyle/>
                  <a:p>
                    <a:fld id="{91A838C7-E1D2-4529-ABFB-FB766FB23187}"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B-9F32-4A04-8981-36801DCCB8AE}"/>
                </c:ext>
              </c:extLst>
            </c:dLbl>
            <c:dLbl>
              <c:idx val="73"/>
              <c:tx>
                <c:rich>
                  <a:bodyPr/>
                  <a:lstStyle/>
                  <a:p>
                    <a:fld id="{AB4B7076-1CBA-400A-AB51-93FF200D28BD}"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C-9F32-4A04-8981-36801DCCB8AE}"/>
                </c:ext>
              </c:extLst>
            </c:dLbl>
            <c:dLbl>
              <c:idx val="74"/>
              <c:tx>
                <c:rich>
                  <a:bodyPr/>
                  <a:lstStyle/>
                  <a:p>
                    <a:fld id="{403E4036-EFC8-492C-9B5D-00D97ED113ED}"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D-9F32-4A04-8981-36801DCCB8AE}"/>
                </c:ext>
              </c:extLst>
            </c:dLbl>
            <c:dLbl>
              <c:idx val="75"/>
              <c:tx>
                <c:rich>
                  <a:bodyPr/>
                  <a:lstStyle/>
                  <a:p>
                    <a:fld id="{4C25C5AE-B44E-4F75-9AFB-F740DAA3390C}"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E-9F32-4A04-8981-36801DCCB8AE}"/>
                </c:ext>
              </c:extLst>
            </c:dLbl>
            <c:dLbl>
              <c:idx val="76"/>
              <c:tx>
                <c:rich>
                  <a:bodyPr/>
                  <a:lstStyle/>
                  <a:p>
                    <a:fld id="{5BA07FF0-DAAF-4330-BB6E-ED7650955F56}"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F-9F32-4A04-8981-36801DCCB8AE}"/>
                </c:ext>
              </c:extLst>
            </c:dLbl>
            <c:dLbl>
              <c:idx val="77"/>
              <c:tx>
                <c:rich>
                  <a:bodyPr/>
                  <a:lstStyle/>
                  <a:p>
                    <a:fld id="{98B9A628-7FE9-403C-A3F7-CBB8C25E94C3}"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0-9F32-4A04-8981-36801DCCB8AE}"/>
                </c:ext>
              </c:extLst>
            </c:dLbl>
            <c:dLbl>
              <c:idx val="78"/>
              <c:tx>
                <c:rich>
                  <a:bodyPr/>
                  <a:lstStyle/>
                  <a:p>
                    <a:fld id="{D85C2121-CE9C-4D74-8E41-0B4C2B246460}"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1-9F32-4A04-8981-36801DCCB8AE}"/>
                </c:ext>
              </c:extLst>
            </c:dLbl>
            <c:dLbl>
              <c:idx val="79"/>
              <c:tx>
                <c:rich>
                  <a:bodyPr/>
                  <a:lstStyle/>
                  <a:p>
                    <a:fld id="{224BA332-7338-42ED-8BF1-C2F52681F796}"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2-9F32-4A04-8981-36801DCCB8AE}"/>
                </c:ext>
              </c:extLst>
            </c:dLbl>
            <c:dLbl>
              <c:idx val="80"/>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3-9F32-4A04-8981-36801DCCB8AE}"/>
                </c:ext>
              </c:extLst>
            </c:dLbl>
            <c:dLbl>
              <c:idx val="81"/>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4-9F32-4A04-8981-36801DCCB8AE}"/>
                </c:ext>
              </c:extLst>
            </c:dLbl>
            <c:dLbl>
              <c:idx val="82"/>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5-9F32-4A04-8981-36801DCCB8AE}"/>
                </c:ext>
              </c:extLst>
            </c:dLbl>
            <c:dLbl>
              <c:idx val="83"/>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6-9F32-4A04-8981-36801DCCB8AE}"/>
                </c:ext>
              </c:extLst>
            </c:dLbl>
            <c:dLbl>
              <c:idx val="84"/>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7-9F32-4A04-8981-36801DCCB8AE}"/>
                </c:ext>
              </c:extLst>
            </c:dLbl>
            <c:dLbl>
              <c:idx val="85"/>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8-9F32-4A04-8981-36801DCCB8AE}"/>
                </c:ext>
              </c:extLst>
            </c:dLbl>
            <c:dLbl>
              <c:idx val="86"/>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9-9F32-4A04-8981-36801DCCB8AE}"/>
                </c:ext>
              </c:extLst>
            </c:dLbl>
            <c:dLbl>
              <c:idx val="87"/>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A-9F32-4A04-8981-36801DCCB8AE}"/>
                </c:ext>
              </c:extLst>
            </c:dLbl>
            <c:dLbl>
              <c:idx val="88"/>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B-9F32-4A04-8981-36801DCCB8AE}"/>
                </c:ext>
              </c:extLst>
            </c:dLbl>
            <c:dLbl>
              <c:idx val="89"/>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C-9F32-4A04-8981-36801DCCB8AE}"/>
                </c:ext>
              </c:extLst>
            </c:dLbl>
            <c:dLbl>
              <c:idx val="90"/>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D-9F32-4A04-8981-36801DCCB8AE}"/>
                </c:ext>
              </c:extLst>
            </c:dLbl>
            <c:dLbl>
              <c:idx val="91"/>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E-9F32-4A04-8981-36801DCCB8AE}"/>
                </c:ext>
              </c:extLst>
            </c:dLbl>
            <c:dLbl>
              <c:idx val="92"/>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F-9F32-4A04-8981-36801DCCB8AE}"/>
                </c:ext>
              </c:extLst>
            </c:dLbl>
            <c:dLbl>
              <c:idx val="93"/>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0-9F32-4A04-8981-36801DCCB8AE}"/>
                </c:ext>
              </c:extLst>
            </c:dLbl>
            <c:spPr>
              <a:noFill/>
              <a:ln>
                <a:noFill/>
              </a:ln>
              <a:effectLst/>
            </c:spPr>
            <c:txPr>
              <a:bodyPr wrap="square" lIns="38100" tIns="19050" rIns="38100" bIns="19050" anchor="ctr">
                <a:spAutoFit/>
              </a:bodyPr>
              <a:lstStyle/>
              <a:p>
                <a:pPr>
                  <a:defRPr sz="1000" baseline="0">
                    <a:solidFill>
                      <a:schemeClr val="bg1">
                        <a:lumMod val="75000"/>
                      </a:schemeClr>
                    </a:solidFill>
                  </a:defRPr>
                </a:pPr>
                <a:endParaRPr lang="fr-FR"/>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trendline>
            <c:spPr>
              <a:ln w="38100">
                <a:solidFill>
                  <a:srgbClr val="000000"/>
                </a:solidFill>
                <a:prstDash val="sysDash"/>
              </a:ln>
            </c:spPr>
            <c:trendlineType val="linear"/>
            <c:dispRSqr val="0"/>
            <c:dispEq val="0"/>
          </c:trendline>
          <c:trendline>
            <c:trendlineType val="linear"/>
            <c:dispRSqr val="0"/>
            <c:dispEq val="0"/>
          </c:trendline>
          <c:xVal>
            <c:numRef>
              <c:f>'Emmanuel D'!$F$63:$F$156</c:f>
              <c:numCache>
                <c:formatCode>0.00</c:formatCode>
                <c:ptCount val="94"/>
                <c:pt idx="0">
                  <c:v>7.7669191657623697</c:v>
                </c:pt>
                <c:pt idx="1">
                  <c:v>12.395625673765601</c:v>
                </c:pt>
                <c:pt idx="2">
                  <c:v>5.9841559181149897</c:v>
                </c:pt>
                <c:pt idx="3">
                  <c:v>12.900334944082701</c:v>
                </c:pt>
                <c:pt idx="4">
                  <c:v>6.2454190988064502</c:v>
                </c:pt>
                <c:pt idx="5">
                  <c:v>11.291111962120301</c:v>
                </c:pt>
                <c:pt idx="6">
                  <c:v>9.7267271837627103</c:v>
                </c:pt>
                <c:pt idx="7">
                  <c:v>11.848861400802001</c:v>
                </c:pt>
                <c:pt idx="8">
                  <c:v>11.855725997411399</c:v>
                </c:pt>
                <c:pt idx="9">
                  <c:v>7.8848494692429103</c:v>
                </c:pt>
                <c:pt idx="10">
                  <c:v>13.8758665310525</c:v>
                </c:pt>
                <c:pt idx="11">
                  <c:v>11.1874098729386</c:v>
                </c:pt>
                <c:pt idx="12">
                  <c:v>10.9183510083167</c:v>
                </c:pt>
                <c:pt idx="13">
                  <c:v>12.306855803341</c:v>
                </c:pt>
                <c:pt idx="14">
                  <c:v>7.9317243749028403</c:v>
                </c:pt>
                <c:pt idx="15">
                  <c:v>10.0704021138881</c:v>
                </c:pt>
                <c:pt idx="16">
                  <c:v>11.117017102857099</c:v>
                </c:pt>
                <c:pt idx="17">
                  <c:v>8.4676443035423308</c:v>
                </c:pt>
                <c:pt idx="18">
                  <c:v>12.306614425077001</c:v>
                </c:pt>
                <c:pt idx="19">
                  <c:v>8.7624672416786797</c:v>
                </c:pt>
                <c:pt idx="20">
                  <c:v>9.5111368007055699</c:v>
                </c:pt>
                <c:pt idx="21">
                  <c:v>14.175823572892099</c:v>
                </c:pt>
                <c:pt idx="22">
                  <c:v>11.8974957665632</c:v>
                </c:pt>
                <c:pt idx="23">
                  <c:v>9.6579393777865299</c:v>
                </c:pt>
                <c:pt idx="24">
                  <c:v>12.940025664334801</c:v>
                </c:pt>
                <c:pt idx="25">
                  <c:v>7.6581775915983599</c:v>
                </c:pt>
                <c:pt idx="26">
                  <c:v>10.6897496567108</c:v>
                </c:pt>
                <c:pt idx="27">
                  <c:v>14.381567178912499</c:v>
                </c:pt>
                <c:pt idx="28">
                  <c:v>11.018609297854701</c:v>
                </c:pt>
                <c:pt idx="29">
                  <c:v>13.882024559803501</c:v>
                </c:pt>
                <c:pt idx="30">
                  <c:v>14.617548336966101</c:v>
                </c:pt>
                <c:pt idx="31">
                  <c:v>10.109828887594601</c:v>
                </c:pt>
                <c:pt idx="32">
                  <c:v>10.099609434109899</c:v>
                </c:pt>
                <c:pt idx="33">
                  <c:v>12.0475172641454</c:v>
                </c:pt>
                <c:pt idx="34">
                  <c:v>9.3410054771011399</c:v>
                </c:pt>
                <c:pt idx="35">
                  <c:v>5.9089431228349003</c:v>
                </c:pt>
                <c:pt idx="36">
                  <c:v>8.7009152480677603</c:v>
                </c:pt>
                <c:pt idx="37">
                  <c:v>11.925410924370199</c:v>
                </c:pt>
                <c:pt idx="38">
                  <c:v>9.5538709234024299</c:v>
                </c:pt>
                <c:pt idx="39">
                  <c:v>10.69152409448</c:v>
                </c:pt>
                <c:pt idx="40">
                  <c:v>12.1064347132851</c:v>
                </c:pt>
                <c:pt idx="41">
                  <c:v>11.8078819433213</c:v>
                </c:pt>
                <c:pt idx="42">
                  <c:v>10.411568619885699</c:v>
                </c:pt>
                <c:pt idx="43">
                  <c:v>10.9216237630098</c:v>
                </c:pt>
                <c:pt idx="44">
                  <c:v>10.4032654042385</c:v>
                </c:pt>
                <c:pt idx="45">
                  <c:v>11.695142941105599</c:v>
                </c:pt>
                <c:pt idx="46">
                  <c:v>10.2875048065616</c:v>
                </c:pt>
                <c:pt idx="47">
                  <c:v>10.2053877427752</c:v>
                </c:pt>
                <c:pt idx="48">
                  <c:v>11.4412210972223</c:v>
                </c:pt>
                <c:pt idx="49">
                  <c:v>10.103579843467701</c:v>
                </c:pt>
                <c:pt idx="50">
                  <c:v>9.4383977244287998</c:v>
                </c:pt>
                <c:pt idx="51">
                  <c:v>11.262351324789099</c:v>
                </c:pt>
                <c:pt idx="52">
                  <c:v>10.580178185067799</c:v>
                </c:pt>
                <c:pt idx="53">
                  <c:v>7.9728740773352902</c:v>
                </c:pt>
                <c:pt idx="54">
                  <c:v>12.7601200425124</c:v>
                </c:pt>
                <c:pt idx="55">
                  <c:v>6.9639795740076798</c:v>
                </c:pt>
                <c:pt idx="56">
                  <c:v>7.1132997761014902</c:v>
                </c:pt>
                <c:pt idx="57">
                  <c:v>7.5418922266617301</c:v>
                </c:pt>
                <c:pt idx="58">
                  <c:v>13.406678982668399</c:v>
                </c:pt>
                <c:pt idx="59">
                  <c:v>8.0736562351448793</c:v>
                </c:pt>
                <c:pt idx="60">
                  <c:v>12.8553459724862</c:v>
                </c:pt>
                <c:pt idx="61">
                  <c:v>8.3754403014754608</c:v>
                </c:pt>
                <c:pt idx="62">
                  <c:v>11.845249619946101</c:v>
                </c:pt>
                <c:pt idx="63">
                  <c:v>10.9727358181699</c:v>
                </c:pt>
                <c:pt idx="64">
                  <c:v>15.262935384904299</c:v>
                </c:pt>
                <c:pt idx="65">
                  <c:v>13.263479653011</c:v>
                </c:pt>
                <c:pt idx="66">
                  <c:v>13.4553926026783</c:v>
                </c:pt>
                <c:pt idx="67">
                  <c:v>11.0954957906579</c:v>
                </c:pt>
                <c:pt idx="68">
                  <c:v>11.5945638371632</c:v>
                </c:pt>
                <c:pt idx="69">
                  <c:v>9.6210224932874606</c:v>
                </c:pt>
                <c:pt idx="70">
                  <c:v>12.473494146128401</c:v>
                </c:pt>
                <c:pt idx="71">
                  <c:v>13.031940093133001</c:v>
                </c:pt>
                <c:pt idx="72">
                  <c:v>10.590213604227801</c:v>
                </c:pt>
                <c:pt idx="73">
                  <c:v>13.878591535620201</c:v>
                </c:pt>
                <c:pt idx="74">
                  <c:v>14.717162441658701</c:v>
                </c:pt>
                <c:pt idx="75">
                  <c:v>9.9986948058503895</c:v>
                </c:pt>
                <c:pt idx="76">
                  <c:v>10.2238382877331</c:v>
                </c:pt>
                <c:pt idx="77">
                  <c:v>14.911892150528701</c:v>
                </c:pt>
                <c:pt idx="78">
                  <c:v>13.4302967174954</c:v>
                </c:pt>
                <c:pt idx="79">
                  <c:v>16.4427234151444</c:v>
                </c:pt>
              </c:numCache>
            </c:numRef>
          </c:xVal>
          <c:yVal>
            <c:numRef>
              <c:f>'Emmanuel D'!$D$63:$D$156</c:f>
              <c:numCache>
                <c:formatCode>General</c:formatCode>
                <c:ptCount val="94"/>
                <c:pt idx="0">
                  <c:v>9.9399996000000002</c:v>
                </c:pt>
                <c:pt idx="1">
                  <c:v>10.0200005</c:v>
                </c:pt>
                <c:pt idx="2">
                  <c:v>10</c:v>
                </c:pt>
                <c:pt idx="3">
                  <c:v>10.5</c:v>
                </c:pt>
                <c:pt idx="4">
                  <c:v>10.779999699999999</c:v>
                </c:pt>
                <c:pt idx="5">
                  <c:v>10.449999800000001</c:v>
                </c:pt>
                <c:pt idx="6">
                  <c:v>11.0200005</c:v>
                </c:pt>
                <c:pt idx="7">
                  <c:v>10.800000199999999</c:v>
                </c:pt>
                <c:pt idx="8">
                  <c:v>10.8800001</c:v>
                </c:pt>
                <c:pt idx="9">
                  <c:v>11.0600004</c:v>
                </c:pt>
                <c:pt idx="10">
                  <c:v>11.0900002</c:v>
                </c:pt>
                <c:pt idx="11">
                  <c:v>11.6199999</c:v>
                </c:pt>
                <c:pt idx="12">
                  <c:v>9.9600000000000009</c:v>
                </c:pt>
                <c:pt idx="13">
                  <c:v>9.5</c:v>
                </c:pt>
                <c:pt idx="14">
                  <c:v>9.9899997999999997</c:v>
                </c:pt>
                <c:pt idx="15">
                  <c:v>10.0100002</c:v>
                </c:pt>
                <c:pt idx="16">
                  <c:v>9.8299999000000007</c:v>
                </c:pt>
                <c:pt idx="17">
                  <c:v>9.5699997000000003</c:v>
                </c:pt>
                <c:pt idx="18">
                  <c:v>9.9200000999999993</c:v>
                </c:pt>
                <c:pt idx="19">
                  <c:v>11.670000099999999</c:v>
                </c:pt>
                <c:pt idx="20">
                  <c:v>11.5</c:v>
                </c:pt>
                <c:pt idx="21">
                  <c:v>11.3699999</c:v>
                </c:pt>
                <c:pt idx="22">
                  <c:v>11.5900002</c:v>
                </c:pt>
                <c:pt idx="23">
                  <c:v>9.8800001000000002</c:v>
                </c:pt>
                <c:pt idx="24">
                  <c:v>11.8400002</c:v>
                </c:pt>
                <c:pt idx="25">
                  <c:v>10</c:v>
                </c:pt>
                <c:pt idx="26">
                  <c:v>10.100000400000001</c:v>
                </c:pt>
                <c:pt idx="27">
                  <c:v>11.399999599999999</c:v>
                </c:pt>
                <c:pt idx="28">
                  <c:v>10.279999699999999</c:v>
                </c:pt>
                <c:pt idx="29">
                  <c:v>12.21</c:v>
                </c:pt>
                <c:pt idx="30">
                  <c:v>11.9399996</c:v>
                </c:pt>
                <c:pt idx="31">
                  <c:v>10.3699999</c:v>
                </c:pt>
                <c:pt idx="32">
                  <c:v>10.3800001</c:v>
                </c:pt>
                <c:pt idx="33">
                  <c:v>9.8800001000000002</c:v>
                </c:pt>
                <c:pt idx="34">
                  <c:v>12.079999900000001</c:v>
                </c:pt>
                <c:pt idx="35">
                  <c:v>9.0799999000000007</c:v>
                </c:pt>
                <c:pt idx="36">
                  <c:v>10.800000199999999</c:v>
                </c:pt>
                <c:pt idx="37">
                  <c:v>9.3599996999999995</c:v>
                </c:pt>
                <c:pt idx="38">
                  <c:v>12.449999800000001</c:v>
                </c:pt>
                <c:pt idx="39">
                  <c:v>10.920000099999999</c:v>
                </c:pt>
                <c:pt idx="40">
                  <c:v>10.949999800000001</c:v>
                </c:pt>
                <c:pt idx="41">
                  <c:v>10.9899998</c:v>
                </c:pt>
                <c:pt idx="42">
                  <c:v>11</c:v>
                </c:pt>
                <c:pt idx="43">
                  <c:v>9.9700003000000006</c:v>
                </c:pt>
                <c:pt idx="44">
                  <c:v>12.899999599999999</c:v>
                </c:pt>
                <c:pt idx="45">
                  <c:v>10.529999699999999</c:v>
                </c:pt>
                <c:pt idx="46">
                  <c:v>11.0600004</c:v>
                </c:pt>
                <c:pt idx="47">
                  <c:v>9.1000004000000008</c:v>
                </c:pt>
                <c:pt idx="48">
                  <c:v>8.9700003000000006</c:v>
                </c:pt>
                <c:pt idx="49">
                  <c:v>11.1199999</c:v>
                </c:pt>
                <c:pt idx="50">
                  <c:v>9.2299994999999999</c:v>
                </c:pt>
                <c:pt idx="51">
                  <c:v>11.2299995</c:v>
                </c:pt>
                <c:pt idx="52">
                  <c:v>11.2299995</c:v>
                </c:pt>
                <c:pt idx="53">
                  <c:v>11.2399998</c:v>
                </c:pt>
                <c:pt idx="54">
                  <c:v>12.5600004</c:v>
                </c:pt>
                <c:pt idx="55">
                  <c:v>10.0699997</c:v>
                </c:pt>
                <c:pt idx="56">
                  <c:v>9.9399996000000002</c:v>
                </c:pt>
                <c:pt idx="57">
                  <c:v>10.2399998</c:v>
                </c:pt>
                <c:pt idx="58">
                  <c:v>11.420000099999999</c:v>
                </c:pt>
                <c:pt idx="59">
                  <c:v>10.5</c:v>
                </c:pt>
                <c:pt idx="60">
                  <c:v>13.140000300000001</c:v>
                </c:pt>
                <c:pt idx="61">
                  <c:v>11.699999800000001</c:v>
                </c:pt>
                <c:pt idx="62">
                  <c:v>10.3800001</c:v>
                </c:pt>
                <c:pt idx="63">
                  <c:v>13.350000400000001</c:v>
                </c:pt>
                <c:pt idx="64">
                  <c:v>12.6599998</c:v>
                </c:pt>
                <c:pt idx="65">
                  <c:v>11.9899998</c:v>
                </c:pt>
                <c:pt idx="66">
                  <c:v>12</c:v>
                </c:pt>
                <c:pt idx="67">
                  <c:v>12</c:v>
                </c:pt>
                <c:pt idx="68">
                  <c:v>13.1599998</c:v>
                </c:pt>
                <c:pt idx="69">
                  <c:v>12.170000099999999</c:v>
                </c:pt>
                <c:pt idx="70">
                  <c:v>10.970000300000001</c:v>
                </c:pt>
                <c:pt idx="71">
                  <c:v>12.2600002</c:v>
                </c:pt>
                <c:pt idx="72">
                  <c:v>13.029999699999999</c:v>
                </c:pt>
                <c:pt idx="73">
                  <c:v>12.359999699999999</c:v>
                </c:pt>
                <c:pt idx="74">
                  <c:v>12.399999599999999</c:v>
                </c:pt>
                <c:pt idx="75">
                  <c:v>12.5</c:v>
                </c:pt>
                <c:pt idx="76">
                  <c:v>12.600000400000001</c:v>
                </c:pt>
                <c:pt idx="77">
                  <c:v>12.670000099999999</c:v>
                </c:pt>
                <c:pt idx="78">
                  <c:v>12.699999800000001</c:v>
                </c:pt>
                <c:pt idx="79">
                  <c:v>14.4300003</c:v>
                </c:pt>
              </c:numCache>
            </c:numRef>
          </c:yVal>
          <c:smooth val="0"/>
          <c:extLst>
            <c:ext xmlns:c15="http://schemas.microsoft.com/office/drawing/2012/chart" uri="{02D57815-91ED-43cb-92C2-25804820EDAC}">
              <c15:datalabelsRange>
                <c15:f>'Emmanuel D'!$B$63:$B$142</c15:f>
                <c15:dlblRangeCache>
                  <c:ptCount val="8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15:dlblRangeCache>
              </c15:datalabelsRange>
            </c:ext>
            <c:ext xmlns:c16="http://schemas.microsoft.com/office/drawing/2014/chart" uri="{C3380CC4-5D6E-409C-BE32-E72D297353CC}">
              <c16:uniqueId val="{00000002-E948-48AC-BE69-A1D824BC4528}"/>
            </c:ext>
          </c:extLst>
        </c:ser>
        <c:ser>
          <c:idx val="1"/>
          <c:order val="1"/>
          <c:tx>
            <c:v>45°</c:v>
          </c:tx>
          <c:spPr>
            <a:ln w="25400">
              <a:solidFill>
                <a:srgbClr val="FF0000"/>
              </a:solidFill>
              <a:prstDash val="solid"/>
            </a:ln>
          </c:spPr>
          <c:marker>
            <c:symbol val="none"/>
          </c:marker>
          <c:xVal>
            <c:numRef>
              <c:f>'Emmanuel D'!$E$10:$E$11</c:f>
              <c:numCache>
                <c:formatCode>0.00</c:formatCode>
                <c:ptCount val="2"/>
                <c:pt idx="0">
                  <c:v>5</c:v>
                </c:pt>
                <c:pt idx="1">
                  <c:v>18</c:v>
                </c:pt>
              </c:numCache>
            </c:numRef>
          </c:xVal>
          <c:yVal>
            <c:numRef>
              <c:f>'Emmanuel D'!$E$10:$E$11</c:f>
              <c:numCache>
                <c:formatCode>0.00</c:formatCode>
                <c:ptCount val="2"/>
                <c:pt idx="0">
                  <c:v>5</c:v>
                </c:pt>
                <c:pt idx="1">
                  <c:v>18</c:v>
                </c:pt>
              </c:numCache>
            </c:numRef>
          </c:yVal>
          <c:smooth val="0"/>
          <c:extLst>
            <c:ext xmlns:c16="http://schemas.microsoft.com/office/drawing/2014/chart" uri="{C3380CC4-5D6E-409C-BE32-E72D297353CC}">
              <c16:uniqueId val="{00000003-E948-48AC-BE69-A1D824BC4528}"/>
            </c:ext>
          </c:extLst>
        </c:ser>
        <c:ser>
          <c:idx val="2"/>
          <c:order val="2"/>
          <c:tx>
            <c:v>45°-Bias</c:v>
          </c:tx>
          <c:spPr>
            <a:ln w="38100">
              <a:solidFill>
                <a:srgbClr val="0000FF"/>
              </a:solidFill>
              <a:prstDash val="lgDashDotDot"/>
            </a:ln>
          </c:spPr>
          <c:marker>
            <c:symbol val="none"/>
          </c:marker>
          <c:xVal>
            <c:numRef>
              <c:f>'Emmanuel D'!$W$10:$W$11</c:f>
              <c:numCache>
                <c:formatCode>0.00</c:formatCode>
                <c:ptCount val="2"/>
                <c:pt idx="0">
                  <c:v>4.8428794508323847</c:v>
                </c:pt>
                <c:pt idx="1">
                  <c:v>17.842879450832385</c:v>
                </c:pt>
              </c:numCache>
            </c:numRef>
          </c:xVal>
          <c:yVal>
            <c:numRef>
              <c:f>'Emmanuel D'!$E$10:$E$11</c:f>
              <c:numCache>
                <c:formatCode>0.00</c:formatCode>
                <c:ptCount val="2"/>
                <c:pt idx="0">
                  <c:v>5</c:v>
                </c:pt>
                <c:pt idx="1">
                  <c:v>18</c:v>
                </c:pt>
              </c:numCache>
            </c:numRef>
          </c:yVal>
          <c:smooth val="0"/>
          <c:extLst>
            <c:ext xmlns:c16="http://schemas.microsoft.com/office/drawing/2014/chart" uri="{C3380CC4-5D6E-409C-BE32-E72D297353CC}">
              <c16:uniqueId val="{00000004-E948-48AC-BE69-A1D824BC4528}"/>
            </c:ext>
          </c:extLst>
        </c:ser>
        <c:ser>
          <c:idx val="3"/>
          <c:order val="3"/>
          <c:tx>
            <c:v>Least Rec </c:v>
          </c:tx>
          <c:spPr>
            <a:ln w="25400">
              <a:solidFill>
                <a:srgbClr val="FF9900"/>
              </a:solidFill>
              <a:prstDash val="sysDash"/>
            </a:ln>
          </c:spPr>
          <c:marker>
            <c:symbol val="none"/>
          </c:marker>
          <c:xVal>
            <c:numRef>
              <c:f>'Emmanuel D'!$Y$19:$Y$20</c:f>
              <c:numCache>
                <c:formatCode>General</c:formatCode>
                <c:ptCount val="2"/>
                <c:pt idx="0">
                  <c:v>5</c:v>
                </c:pt>
                <c:pt idx="1">
                  <c:v>18</c:v>
                </c:pt>
              </c:numCache>
            </c:numRef>
          </c:xVal>
          <c:yVal>
            <c:numRef>
              <c:f>'Emmanuel D'!$X$19:$X$20</c:f>
              <c:numCache>
                <c:formatCode>0.000</c:formatCode>
                <c:ptCount val="2"/>
                <c:pt idx="0">
                  <c:v>8.0592431051592186</c:v>
                </c:pt>
                <c:pt idx="1">
                  <c:v>14.721005822692337</c:v>
                </c:pt>
              </c:numCache>
            </c:numRef>
          </c:yVal>
          <c:smooth val="0"/>
          <c:extLst>
            <c:ext xmlns:c16="http://schemas.microsoft.com/office/drawing/2014/chart" uri="{C3380CC4-5D6E-409C-BE32-E72D297353CC}">
              <c16:uniqueId val="{00000005-E948-48AC-BE69-A1D824BC4528}"/>
            </c:ext>
          </c:extLst>
        </c:ser>
        <c:dLbls>
          <c:showLegendKey val="0"/>
          <c:showVal val="0"/>
          <c:showCatName val="0"/>
          <c:showSerName val="0"/>
          <c:showPercent val="0"/>
          <c:showBubbleSize val="0"/>
        </c:dLbls>
        <c:axId val="159636864"/>
        <c:axId val="201328128"/>
      </c:scatterChart>
      <c:valAx>
        <c:axId val="159636864"/>
        <c:scaling>
          <c:orientation val="minMax"/>
        </c:scaling>
        <c:delete val="0"/>
        <c:axPos val="b"/>
        <c:numFmt formatCode="0.00" sourceLinked="1"/>
        <c:majorTickMark val="out"/>
        <c:minorTickMark val="none"/>
        <c:tickLblPos val="nextTo"/>
        <c:spPr>
          <a:ln w="3175">
            <a:solidFill>
              <a:srgbClr val="000000"/>
            </a:solidFill>
            <a:prstDash val="solid"/>
          </a:ln>
        </c:spPr>
        <c:txPr>
          <a:bodyPr rot="0" vert="horz"/>
          <a:lstStyle/>
          <a:p>
            <a:pPr>
              <a:defRPr sz="1775" b="0" i="0" u="none" strike="noStrike" baseline="0">
                <a:solidFill>
                  <a:srgbClr val="000000"/>
                </a:solidFill>
                <a:latin typeface="Arial"/>
                <a:ea typeface="Arial"/>
                <a:cs typeface="Arial"/>
              </a:defRPr>
            </a:pPr>
            <a:endParaRPr lang="fr-FR"/>
          </a:p>
        </c:txPr>
        <c:crossAx val="201328128"/>
        <c:crosses val="autoZero"/>
        <c:crossBetween val="midCat"/>
      </c:valAx>
      <c:valAx>
        <c:axId val="201328128"/>
        <c:scaling>
          <c:orientation val="minMax"/>
        </c:scaling>
        <c:delete val="0"/>
        <c:axPos val="l"/>
        <c:numFmt formatCode="General" sourceLinked="1"/>
        <c:majorTickMark val="out"/>
        <c:minorTickMark val="none"/>
        <c:tickLblPos val="nextTo"/>
        <c:spPr>
          <a:ln w="3175">
            <a:solidFill>
              <a:srgbClr val="000000"/>
            </a:solidFill>
            <a:prstDash val="solid"/>
          </a:ln>
        </c:spPr>
        <c:txPr>
          <a:bodyPr rot="0" vert="horz"/>
          <a:lstStyle/>
          <a:p>
            <a:pPr>
              <a:defRPr sz="1775" b="0" i="0" u="none" strike="noStrike" baseline="0">
                <a:solidFill>
                  <a:srgbClr val="000000"/>
                </a:solidFill>
                <a:latin typeface="Arial"/>
                <a:ea typeface="Arial"/>
                <a:cs typeface="Arial"/>
              </a:defRPr>
            </a:pPr>
            <a:endParaRPr lang="fr-FR"/>
          </a:p>
        </c:txPr>
        <c:crossAx val="159636864"/>
        <c:crosses val="autoZero"/>
        <c:crossBetween val="midCat"/>
      </c:valAx>
      <c:spPr>
        <a:noFill/>
        <a:ln w="12700">
          <a:solidFill>
            <a:srgbClr val="808080"/>
          </a:solidFill>
          <a:prstDash val="solid"/>
        </a:ln>
      </c:spPr>
    </c:plotArea>
    <c:legend>
      <c:legendPos val="r"/>
      <c:legendEntry>
        <c:idx val="5"/>
        <c:delete val="1"/>
      </c:legendEntry>
      <c:layout>
        <c:manualLayout>
          <c:xMode val="edge"/>
          <c:yMode val="edge"/>
          <c:x val="0.79767434134024384"/>
          <c:y val="0.33862478127734036"/>
          <c:w val="0.15397255752001976"/>
          <c:h val="0.2372110830586843"/>
        </c:manualLayout>
      </c:layout>
      <c:overlay val="0"/>
      <c:spPr>
        <a:solidFill>
          <a:srgbClr val="FFFFFF"/>
        </a:solidFill>
        <a:ln w="3175">
          <a:solidFill>
            <a:srgbClr val="000000"/>
          </a:solidFill>
          <a:prstDash val="solid"/>
        </a:ln>
      </c:spPr>
      <c:txPr>
        <a:bodyPr/>
        <a:lstStyle/>
        <a:p>
          <a:pPr>
            <a:defRPr sz="1350" b="1" i="0" u="none" strike="noStrike" baseline="0">
              <a:solidFill>
                <a:srgbClr val="000000"/>
              </a:solidFill>
              <a:latin typeface="Arial"/>
              <a:ea typeface="Arial"/>
              <a:cs typeface="Arial"/>
            </a:defRPr>
          </a:pPr>
          <a:endParaRPr lang="fr-FR"/>
        </a:p>
      </c:txPr>
    </c:legend>
    <c:plotVisOnly val="1"/>
    <c:dispBlanksAs val="gap"/>
    <c:showDLblsOverMax val="0"/>
  </c:chart>
  <c:spPr>
    <a:solidFill>
      <a:srgbClr val="FFFFFF"/>
    </a:solidFill>
    <a:ln w="25400">
      <a:solidFill>
        <a:srgbClr val="000000"/>
      </a:solidFill>
      <a:prstDash val="solid"/>
    </a:ln>
  </c:spPr>
  <c:txPr>
    <a:bodyPr/>
    <a:lstStyle/>
    <a:p>
      <a:pPr>
        <a:defRPr sz="1775" b="0" i="0" u="none" strike="noStrike" baseline="0">
          <a:solidFill>
            <a:srgbClr val="000000"/>
          </a:solidFill>
          <a:latin typeface="Arial"/>
          <a:ea typeface="Arial"/>
          <a:cs typeface="Arial"/>
        </a:defRPr>
      </a:pPr>
      <a:endParaRPr lang="fr-FR"/>
    </a:p>
  </c:txPr>
  <c:printSettings>
    <c:headerFooter alignWithMargins="0"/>
    <c:pageMargins b="1" l="0.75000000000000377" r="0.75000000000000377" t="1" header="0.5" footer="0.5"/>
    <c:pageSetup paperSize="9" orientation="landscape"/>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400" baseline="0"/>
              <a:t>Residuals vs References</a:t>
            </a:r>
          </a:p>
        </c:rich>
      </c:tx>
      <c:layout>
        <c:manualLayout>
          <c:xMode val="edge"/>
          <c:yMode val="edge"/>
          <c:x val="0.56681818181818189"/>
          <c:y val="3.53109202638453E-3"/>
        </c:manualLayout>
      </c:layout>
      <c:overlay val="1"/>
    </c:title>
    <c:autoTitleDeleted val="0"/>
    <c:plotArea>
      <c:layout/>
      <c:scatterChart>
        <c:scatterStyle val="lineMarker"/>
        <c:varyColors val="0"/>
        <c:ser>
          <c:idx val="0"/>
          <c:order val="0"/>
          <c:spPr>
            <a:ln>
              <a:noFill/>
            </a:ln>
          </c:spPr>
          <c:trendline>
            <c:trendlineType val="linear"/>
            <c:dispRSqr val="0"/>
            <c:dispEq val="1"/>
            <c:trendlineLbl>
              <c:layout>
                <c:manualLayout>
                  <c:x val="5.4747515059074582E-2"/>
                  <c:y val="0.43633237847491585"/>
                </c:manualLayout>
              </c:layout>
              <c:numFmt formatCode="General" sourceLinked="0"/>
            </c:trendlineLbl>
          </c:trendline>
          <c:xVal>
            <c:numRef>
              <c:f>'Emmanuel D'!$D$63:$D$156</c:f>
              <c:numCache>
                <c:formatCode>General</c:formatCode>
                <c:ptCount val="94"/>
                <c:pt idx="0">
                  <c:v>9.9399996000000002</c:v>
                </c:pt>
                <c:pt idx="1">
                  <c:v>10.0200005</c:v>
                </c:pt>
                <c:pt idx="2">
                  <c:v>10</c:v>
                </c:pt>
                <c:pt idx="3">
                  <c:v>10.5</c:v>
                </c:pt>
                <c:pt idx="4">
                  <c:v>10.779999699999999</c:v>
                </c:pt>
                <c:pt idx="5">
                  <c:v>10.449999800000001</c:v>
                </c:pt>
                <c:pt idx="6">
                  <c:v>11.0200005</c:v>
                </c:pt>
                <c:pt idx="7">
                  <c:v>10.800000199999999</c:v>
                </c:pt>
                <c:pt idx="8">
                  <c:v>10.8800001</c:v>
                </c:pt>
                <c:pt idx="9">
                  <c:v>11.0600004</c:v>
                </c:pt>
                <c:pt idx="10">
                  <c:v>11.0900002</c:v>
                </c:pt>
                <c:pt idx="11">
                  <c:v>11.6199999</c:v>
                </c:pt>
                <c:pt idx="12">
                  <c:v>9.9600000000000009</c:v>
                </c:pt>
                <c:pt idx="13">
                  <c:v>9.5</c:v>
                </c:pt>
                <c:pt idx="14">
                  <c:v>9.9899997999999997</c:v>
                </c:pt>
                <c:pt idx="15">
                  <c:v>10.0100002</c:v>
                </c:pt>
                <c:pt idx="16">
                  <c:v>9.8299999000000007</c:v>
                </c:pt>
                <c:pt idx="17">
                  <c:v>9.5699997000000003</c:v>
                </c:pt>
                <c:pt idx="18">
                  <c:v>9.9200000999999993</c:v>
                </c:pt>
                <c:pt idx="19">
                  <c:v>11.670000099999999</c:v>
                </c:pt>
                <c:pt idx="20">
                  <c:v>11.5</c:v>
                </c:pt>
                <c:pt idx="21">
                  <c:v>11.3699999</c:v>
                </c:pt>
                <c:pt idx="22">
                  <c:v>11.5900002</c:v>
                </c:pt>
                <c:pt idx="23">
                  <c:v>9.8800001000000002</c:v>
                </c:pt>
                <c:pt idx="24">
                  <c:v>11.8400002</c:v>
                </c:pt>
                <c:pt idx="25">
                  <c:v>10</c:v>
                </c:pt>
                <c:pt idx="26">
                  <c:v>10.100000400000001</c:v>
                </c:pt>
                <c:pt idx="27">
                  <c:v>11.399999599999999</c:v>
                </c:pt>
                <c:pt idx="28">
                  <c:v>10.279999699999999</c:v>
                </c:pt>
                <c:pt idx="29">
                  <c:v>12.21</c:v>
                </c:pt>
                <c:pt idx="30">
                  <c:v>11.9399996</c:v>
                </c:pt>
                <c:pt idx="31">
                  <c:v>10.3699999</c:v>
                </c:pt>
                <c:pt idx="32">
                  <c:v>10.3800001</c:v>
                </c:pt>
                <c:pt idx="33">
                  <c:v>9.8800001000000002</c:v>
                </c:pt>
                <c:pt idx="34">
                  <c:v>12.079999900000001</c:v>
                </c:pt>
                <c:pt idx="35">
                  <c:v>9.0799999000000007</c:v>
                </c:pt>
                <c:pt idx="36">
                  <c:v>10.800000199999999</c:v>
                </c:pt>
                <c:pt idx="37">
                  <c:v>9.3599996999999995</c:v>
                </c:pt>
                <c:pt idx="38">
                  <c:v>12.449999800000001</c:v>
                </c:pt>
                <c:pt idx="39">
                  <c:v>10.920000099999999</c:v>
                </c:pt>
                <c:pt idx="40">
                  <c:v>10.949999800000001</c:v>
                </c:pt>
                <c:pt idx="41">
                  <c:v>10.9899998</c:v>
                </c:pt>
                <c:pt idx="42">
                  <c:v>11</c:v>
                </c:pt>
                <c:pt idx="43">
                  <c:v>9.9700003000000006</c:v>
                </c:pt>
                <c:pt idx="44">
                  <c:v>12.899999599999999</c:v>
                </c:pt>
                <c:pt idx="45">
                  <c:v>10.529999699999999</c:v>
                </c:pt>
                <c:pt idx="46">
                  <c:v>11.0600004</c:v>
                </c:pt>
                <c:pt idx="47">
                  <c:v>9.1000004000000008</c:v>
                </c:pt>
                <c:pt idx="48">
                  <c:v>8.9700003000000006</c:v>
                </c:pt>
                <c:pt idx="49">
                  <c:v>11.1199999</c:v>
                </c:pt>
                <c:pt idx="50">
                  <c:v>9.2299994999999999</c:v>
                </c:pt>
                <c:pt idx="51">
                  <c:v>11.2299995</c:v>
                </c:pt>
                <c:pt idx="52">
                  <c:v>11.2299995</c:v>
                </c:pt>
                <c:pt idx="53">
                  <c:v>11.2399998</c:v>
                </c:pt>
                <c:pt idx="54">
                  <c:v>12.5600004</c:v>
                </c:pt>
                <c:pt idx="55">
                  <c:v>10.0699997</c:v>
                </c:pt>
                <c:pt idx="56">
                  <c:v>9.9399996000000002</c:v>
                </c:pt>
                <c:pt idx="57">
                  <c:v>10.2399998</c:v>
                </c:pt>
                <c:pt idx="58">
                  <c:v>11.420000099999999</c:v>
                </c:pt>
                <c:pt idx="59">
                  <c:v>10.5</c:v>
                </c:pt>
                <c:pt idx="60">
                  <c:v>13.140000300000001</c:v>
                </c:pt>
                <c:pt idx="61">
                  <c:v>11.699999800000001</c:v>
                </c:pt>
                <c:pt idx="62">
                  <c:v>10.3800001</c:v>
                </c:pt>
                <c:pt idx="63">
                  <c:v>13.350000400000001</c:v>
                </c:pt>
                <c:pt idx="64">
                  <c:v>12.6599998</c:v>
                </c:pt>
                <c:pt idx="65">
                  <c:v>11.9899998</c:v>
                </c:pt>
                <c:pt idx="66">
                  <c:v>12</c:v>
                </c:pt>
                <c:pt idx="67">
                  <c:v>12</c:v>
                </c:pt>
                <c:pt idx="68">
                  <c:v>13.1599998</c:v>
                </c:pt>
                <c:pt idx="69">
                  <c:v>12.170000099999999</c:v>
                </c:pt>
                <c:pt idx="70">
                  <c:v>10.970000300000001</c:v>
                </c:pt>
                <c:pt idx="71">
                  <c:v>12.2600002</c:v>
                </c:pt>
                <c:pt idx="72">
                  <c:v>13.029999699999999</c:v>
                </c:pt>
                <c:pt idx="73">
                  <c:v>12.359999699999999</c:v>
                </c:pt>
                <c:pt idx="74">
                  <c:v>12.399999599999999</c:v>
                </c:pt>
                <c:pt idx="75">
                  <c:v>12.5</c:v>
                </c:pt>
                <c:pt idx="76">
                  <c:v>12.600000400000001</c:v>
                </c:pt>
                <c:pt idx="77">
                  <c:v>12.670000099999999</c:v>
                </c:pt>
                <c:pt idx="78">
                  <c:v>12.699999800000001</c:v>
                </c:pt>
                <c:pt idx="79">
                  <c:v>14.4300003</c:v>
                </c:pt>
              </c:numCache>
            </c:numRef>
          </c:xVal>
          <c:yVal>
            <c:numRef>
              <c:f>'Emmanuel D'!$G$63:$G$156</c:f>
              <c:numCache>
                <c:formatCode>0.00</c:formatCode>
                <c:ptCount val="94"/>
                <c:pt idx="0">
                  <c:v>-2.1730804342376304</c:v>
                </c:pt>
                <c:pt idx="1">
                  <c:v>2.3756251737656005</c:v>
                </c:pt>
                <c:pt idx="2">
                  <c:v>-4.0158440818850103</c:v>
                </c:pt>
                <c:pt idx="3">
                  <c:v>2.4003349440827009</c:v>
                </c:pt>
                <c:pt idx="4">
                  <c:v>-4.5345806011935492</c:v>
                </c:pt>
                <c:pt idx="5">
                  <c:v>0.84111216212030016</c:v>
                </c:pt>
                <c:pt idx="6">
                  <c:v>-1.2932733162372898</c:v>
                </c:pt>
                <c:pt idx="7">
                  <c:v>1.0488612008020013</c:v>
                </c:pt>
                <c:pt idx="8">
                  <c:v>0.97572589741139915</c:v>
                </c:pt>
                <c:pt idx="9">
                  <c:v>-3.1751509307570895</c:v>
                </c:pt>
                <c:pt idx="10">
                  <c:v>2.7858663310524996</c:v>
                </c:pt>
                <c:pt idx="11">
                  <c:v>-0.4325900270613996</c:v>
                </c:pt>
                <c:pt idx="12">
                  <c:v>0.95835100831669884</c:v>
                </c:pt>
                <c:pt idx="13">
                  <c:v>2.8068558033409996</c:v>
                </c:pt>
                <c:pt idx="14">
                  <c:v>-2.0582754250971593</c:v>
                </c:pt>
                <c:pt idx="15">
                  <c:v>6.0401913888100012E-2</c:v>
                </c:pt>
                <c:pt idx="16">
                  <c:v>1.2870172028570988</c:v>
                </c:pt>
                <c:pt idx="17">
                  <c:v>-1.1023553964576696</c:v>
                </c:pt>
                <c:pt idx="18">
                  <c:v>2.3866143250770016</c:v>
                </c:pt>
                <c:pt idx="19">
                  <c:v>-2.9075328583213196</c:v>
                </c:pt>
                <c:pt idx="20">
                  <c:v>-1.9888631992944301</c:v>
                </c:pt>
                <c:pt idx="21">
                  <c:v>2.8058236728920996</c:v>
                </c:pt>
                <c:pt idx="22">
                  <c:v>0.30749556656319932</c:v>
                </c:pt>
                <c:pt idx="23">
                  <c:v>-0.22206072221347029</c:v>
                </c:pt>
                <c:pt idx="24">
                  <c:v>1.1000254643348004</c:v>
                </c:pt>
                <c:pt idx="25">
                  <c:v>-2.3418224084016401</c:v>
                </c:pt>
                <c:pt idx="26">
                  <c:v>0.58974925671079959</c:v>
                </c:pt>
                <c:pt idx="27">
                  <c:v>2.9815675789125002</c:v>
                </c:pt>
                <c:pt idx="28">
                  <c:v>0.73860959785470115</c:v>
                </c:pt>
                <c:pt idx="29">
                  <c:v>1.6720245598035</c:v>
                </c:pt>
                <c:pt idx="30">
                  <c:v>2.6775487369661004</c:v>
                </c:pt>
                <c:pt idx="31">
                  <c:v>-0.26017101240539908</c:v>
                </c:pt>
                <c:pt idx="32">
                  <c:v>-0.28039066589010098</c:v>
                </c:pt>
                <c:pt idx="33">
                  <c:v>2.1675171641453996</c:v>
                </c:pt>
                <c:pt idx="34">
                  <c:v>-2.7389944228988607</c:v>
                </c:pt>
                <c:pt idx="35">
                  <c:v>-3.1710567771651004</c:v>
                </c:pt>
                <c:pt idx="36">
                  <c:v>-2.0990849519322392</c:v>
                </c:pt>
                <c:pt idx="37">
                  <c:v>2.5654112243701999</c:v>
                </c:pt>
                <c:pt idx="38">
                  <c:v>-2.8961288765975706</c:v>
                </c:pt>
                <c:pt idx="39">
                  <c:v>-0.22847600551999925</c:v>
                </c:pt>
                <c:pt idx="40">
                  <c:v>1.1564349132851</c:v>
                </c:pt>
                <c:pt idx="41">
                  <c:v>0.8178821433213006</c:v>
                </c:pt>
                <c:pt idx="42">
                  <c:v>-0.58843138011430085</c:v>
                </c:pt>
                <c:pt idx="43">
                  <c:v>0.95162346300979905</c:v>
                </c:pt>
                <c:pt idx="44">
                  <c:v>-2.4967341957614995</c:v>
                </c:pt>
                <c:pt idx="45">
                  <c:v>1.1651432411056</c:v>
                </c:pt>
                <c:pt idx="46">
                  <c:v>-0.77249559343839991</c:v>
                </c:pt>
                <c:pt idx="47">
                  <c:v>1.1053873427751988</c:v>
                </c:pt>
                <c:pt idx="48">
                  <c:v>2.4712207972222995</c:v>
                </c:pt>
                <c:pt idx="49">
                  <c:v>-1.0164200565322989</c:v>
                </c:pt>
                <c:pt idx="50">
                  <c:v>0.20839822442879985</c:v>
                </c:pt>
                <c:pt idx="51">
                  <c:v>3.2351824789099481E-2</c:v>
                </c:pt>
                <c:pt idx="52">
                  <c:v>-0.64982131493220052</c:v>
                </c:pt>
                <c:pt idx="53">
                  <c:v>-3.2671257226647095</c:v>
                </c:pt>
                <c:pt idx="54">
                  <c:v>0.20011964251239966</c:v>
                </c:pt>
                <c:pt idx="55">
                  <c:v>-3.1060201259923206</c:v>
                </c:pt>
                <c:pt idx="56">
                  <c:v>-2.8266998238985099</c:v>
                </c:pt>
                <c:pt idx="57">
                  <c:v>-2.6981075733382696</c:v>
                </c:pt>
                <c:pt idx="58">
                  <c:v>1.9866788826684001</c:v>
                </c:pt>
                <c:pt idx="59">
                  <c:v>-2.4263437648551207</c:v>
                </c:pt>
                <c:pt idx="60">
                  <c:v>-0.28465432751380071</c:v>
                </c:pt>
                <c:pt idx="61">
                  <c:v>-3.3245594985245397</c:v>
                </c:pt>
                <c:pt idx="62">
                  <c:v>1.4652495199461004</c:v>
                </c:pt>
                <c:pt idx="63">
                  <c:v>-2.3772645818301008</c:v>
                </c:pt>
                <c:pt idx="64">
                  <c:v>2.6029355849042997</c:v>
                </c:pt>
                <c:pt idx="65">
                  <c:v>1.2734798530110005</c:v>
                </c:pt>
                <c:pt idx="66">
                  <c:v>1.4553926026783</c:v>
                </c:pt>
                <c:pt idx="67">
                  <c:v>-0.9045042093421003</c:v>
                </c:pt>
                <c:pt idx="68">
                  <c:v>-1.5654359628367995</c:v>
                </c:pt>
                <c:pt idx="69">
                  <c:v>-2.5489776067125387</c:v>
                </c:pt>
                <c:pt idx="70">
                  <c:v>1.5034938461284</c:v>
                </c:pt>
                <c:pt idx="71">
                  <c:v>0.77193989313300015</c:v>
                </c:pt>
                <c:pt idx="72">
                  <c:v>-2.4397860957721988</c:v>
                </c:pt>
                <c:pt idx="73">
                  <c:v>1.5185918356202013</c:v>
                </c:pt>
                <c:pt idx="74">
                  <c:v>2.3171628416587016</c:v>
                </c:pt>
                <c:pt idx="75">
                  <c:v>-2.5013051941496105</c:v>
                </c:pt>
                <c:pt idx="76">
                  <c:v>-2.3761621122669006</c:v>
                </c:pt>
                <c:pt idx="77">
                  <c:v>2.2418920505287012</c:v>
                </c:pt>
                <c:pt idx="78">
                  <c:v>0.73029691749539971</c:v>
                </c:pt>
                <c:pt idx="79">
                  <c:v>2.0127231151444001</c:v>
                </c:pt>
              </c:numCache>
            </c:numRef>
          </c:yVal>
          <c:smooth val="0"/>
          <c:extLst>
            <c:ext xmlns:c16="http://schemas.microsoft.com/office/drawing/2014/chart" uri="{C3380CC4-5D6E-409C-BE32-E72D297353CC}">
              <c16:uniqueId val="{00000001-1816-4D10-BF7E-4A62EE6563BB}"/>
            </c:ext>
          </c:extLst>
        </c:ser>
        <c:dLbls>
          <c:showLegendKey val="0"/>
          <c:showVal val="0"/>
          <c:showCatName val="0"/>
          <c:showSerName val="0"/>
          <c:showPercent val="0"/>
          <c:showBubbleSize val="0"/>
        </c:dLbls>
        <c:axId val="244482048"/>
        <c:axId val="244483968"/>
      </c:scatterChart>
      <c:valAx>
        <c:axId val="244482048"/>
        <c:scaling>
          <c:orientation val="minMax"/>
        </c:scaling>
        <c:delete val="0"/>
        <c:axPos val="b"/>
        <c:title>
          <c:tx>
            <c:rich>
              <a:bodyPr/>
              <a:lstStyle/>
              <a:p>
                <a:pPr>
                  <a:defRPr/>
                </a:pPr>
                <a:r>
                  <a:rPr lang="en-US"/>
                  <a:t>REFERENCE VALUES</a:t>
                </a:r>
              </a:p>
            </c:rich>
          </c:tx>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244483968"/>
        <c:crosses val="autoZero"/>
        <c:crossBetween val="midCat"/>
      </c:valAx>
      <c:valAx>
        <c:axId val="244483968"/>
        <c:scaling>
          <c:orientation val="minMax"/>
        </c:scaling>
        <c:delete val="0"/>
        <c:axPos val="l"/>
        <c:majorGridlines/>
        <c:numFmt formatCode="0.00" sourceLinked="1"/>
        <c:majorTickMark val="out"/>
        <c:minorTickMark val="none"/>
        <c:tickLblPos val="nextTo"/>
        <c:crossAx val="244482048"/>
        <c:crosses val="autoZero"/>
        <c:crossBetween val="midCat"/>
      </c:valAx>
    </c:plotArea>
    <c:plotVisOnly val="1"/>
    <c:dispBlanksAs val="gap"/>
    <c:showDLblsOverMax val="0"/>
  </c:chart>
  <c:printSettings>
    <c:headerFooter/>
    <c:pageMargins b="0.750000000000004" l="0.70000000000000062" r="0.70000000000000062" t="0.750000000000004"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400" baseline="0"/>
              <a:t>Residuals vs predicted</a:t>
            </a:r>
          </a:p>
        </c:rich>
      </c:tx>
      <c:layout>
        <c:manualLayout>
          <c:xMode val="edge"/>
          <c:yMode val="edge"/>
          <c:x val="0.59043500709952246"/>
          <c:y val="0"/>
        </c:manualLayout>
      </c:layout>
      <c:overlay val="1"/>
    </c:title>
    <c:autoTitleDeleted val="0"/>
    <c:plotArea>
      <c:layout/>
      <c:scatterChart>
        <c:scatterStyle val="lineMarker"/>
        <c:varyColors val="0"/>
        <c:ser>
          <c:idx val="0"/>
          <c:order val="0"/>
          <c:spPr>
            <a:ln>
              <a:noFill/>
            </a:ln>
          </c:spPr>
          <c:trendline>
            <c:trendlineType val="linear"/>
            <c:dispRSqr val="0"/>
            <c:dispEq val="1"/>
            <c:trendlineLbl>
              <c:layout>
                <c:manualLayout>
                  <c:x val="8.6646154745701892E-3"/>
                  <c:y val="0.32626926854701888"/>
                </c:manualLayout>
              </c:layout>
              <c:numFmt formatCode="General" sourceLinked="0"/>
            </c:trendlineLbl>
          </c:trendline>
          <c:xVal>
            <c:numRef>
              <c:f>'Emmanuel D'!$F$63:$F$156</c:f>
              <c:numCache>
                <c:formatCode>0.00</c:formatCode>
                <c:ptCount val="94"/>
                <c:pt idx="0">
                  <c:v>7.7669191657623697</c:v>
                </c:pt>
                <c:pt idx="1">
                  <c:v>12.395625673765601</c:v>
                </c:pt>
                <c:pt idx="2">
                  <c:v>5.9841559181149897</c:v>
                </c:pt>
                <c:pt idx="3">
                  <c:v>12.900334944082701</c:v>
                </c:pt>
                <c:pt idx="4">
                  <c:v>6.2454190988064502</c:v>
                </c:pt>
                <c:pt idx="5">
                  <c:v>11.291111962120301</c:v>
                </c:pt>
                <c:pt idx="6">
                  <c:v>9.7267271837627103</c:v>
                </c:pt>
                <c:pt idx="7">
                  <c:v>11.848861400802001</c:v>
                </c:pt>
                <c:pt idx="8">
                  <c:v>11.855725997411399</c:v>
                </c:pt>
                <c:pt idx="9">
                  <c:v>7.8848494692429103</c:v>
                </c:pt>
                <c:pt idx="10">
                  <c:v>13.8758665310525</c:v>
                </c:pt>
                <c:pt idx="11">
                  <c:v>11.1874098729386</c:v>
                </c:pt>
                <c:pt idx="12">
                  <c:v>10.9183510083167</c:v>
                </c:pt>
                <c:pt idx="13">
                  <c:v>12.306855803341</c:v>
                </c:pt>
                <c:pt idx="14">
                  <c:v>7.9317243749028403</c:v>
                </c:pt>
                <c:pt idx="15">
                  <c:v>10.0704021138881</c:v>
                </c:pt>
                <c:pt idx="16">
                  <c:v>11.117017102857099</c:v>
                </c:pt>
                <c:pt idx="17">
                  <c:v>8.4676443035423308</c:v>
                </c:pt>
                <c:pt idx="18">
                  <c:v>12.306614425077001</c:v>
                </c:pt>
                <c:pt idx="19">
                  <c:v>8.7624672416786797</c:v>
                </c:pt>
                <c:pt idx="20">
                  <c:v>9.5111368007055699</c:v>
                </c:pt>
                <c:pt idx="21">
                  <c:v>14.175823572892099</c:v>
                </c:pt>
                <c:pt idx="22">
                  <c:v>11.8974957665632</c:v>
                </c:pt>
                <c:pt idx="23">
                  <c:v>9.6579393777865299</c:v>
                </c:pt>
                <c:pt idx="24">
                  <c:v>12.940025664334801</c:v>
                </c:pt>
                <c:pt idx="25">
                  <c:v>7.6581775915983599</c:v>
                </c:pt>
                <c:pt idx="26">
                  <c:v>10.6897496567108</c:v>
                </c:pt>
                <c:pt idx="27">
                  <c:v>14.381567178912499</c:v>
                </c:pt>
                <c:pt idx="28">
                  <c:v>11.018609297854701</c:v>
                </c:pt>
                <c:pt idx="29">
                  <c:v>13.882024559803501</c:v>
                </c:pt>
                <c:pt idx="30">
                  <c:v>14.617548336966101</c:v>
                </c:pt>
                <c:pt idx="31">
                  <c:v>10.109828887594601</c:v>
                </c:pt>
                <c:pt idx="32">
                  <c:v>10.099609434109899</c:v>
                </c:pt>
                <c:pt idx="33">
                  <c:v>12.0475172641454</c:v>
                </c:pt>
                <c:pt idx="34">
                  <c:v>9.3410054771011399</c:v>
                </c:pt>
                <c:pt idx="35">
                  <c:v>5.9089431228349003</c:v>
                </c:pt>
                <c:pt idx="36">
                  <c:v>8.7009152480677603</c:v>
                </c:pt>
                <c:pt idx="37">
                  <c:v>11.925410924370199</c:v>
                </c:pt>
                <c:pt idx="38">
                  <c:v>9.5538709234024299</c:v>
                </c:pt>
                <c:pt idx="39">
                  <c:v>10.69152409448</c:v>
                </c:pt>
                <c:pt idx="40">
                  <c:v>12.1064347132851</c:v>
                </c:pt>
                <c:pt idx="41">
                  <c:v>11.8078819433213</c:v>
                </c:pt>
                <c:pt idx="42">
                  <c:v>10.411568619885699</c:v>
                </c:pt>
                <c:pt idx="43">
                  <c:v>10.9216237630098</c:v>
                </c:pt>
                <c:pt idx="44">
                  <c:v>10.4032654042385</c:v>
                </c:pt>
                <c:pt idx="45">
                  <c:v>11.695142941105599</c:v>
                </c:pt>
                <c:pt idx="46">
                  <c:v>10.2875048065616</c:v>
                </c:pt>
                <c:pt idx="47">
                  <c:v>10.2053877427752</c:v>
                </c:pt>
                <c:pt idx="48">
                  <c:v>11.4412210972223</c:v>
                </c:pt>
                <c:pt idx="49">
                  <c:v>10.103579843467701</c:v>
                </c:pt>
                <c:pt idx="50">
                  <c:v>9.4383977244287998</c:v>
                </c:pt>
                <c:pt idx="51">
                  <c:v>11.262351324789099</c:v>
                </c:pt>
                <c:pt idx="52">
                  <c:v>10.580178185067799</c:v>
                </c:pt>
                <c:pt idx="53">
                  <c:v>7.9728740773352902</c:v>
                </c:pt>
                <c:pt idx="54">
                  <c:v>12.7601200425124</c:v>
                </c:pt>
                <c:pt idx="55">
                  <c:v>6.9639795740076798</c:v>
                </c:pt>
                <c:pt idx="56">
                  <c:v>7.1132997761014902</c:v>
                </c:pt>
                <c:pt idx="57">
                  <c:v>7.5418922266617301</c:v>
                </c:pt>
                <c:pt idx="58">
                  <c:v>13.406678982668399</c:v>
                </c:pt>
                <c:pt idx="59">
                  <c:v>8.0736562351448793</c:v>
                </c:pt>
                <c:pt idx="60">
                  <c:v>12.8553459724862</c:v>
                </c:pt>
                <c:pt idx="61">
                  <c:v>8.3754403014754608</c:v>
                </c:pt>
                <c:pt idx="62">
                  <c:v>11.845249619946101</c:v>
                </c:pt>
                <c:pt idx="63">
                  <c:v>10.9727358181699</c:v>
                </c:pt>
                <c:pt idx="64">
                  <c:v>15.262935384904299</c:v>
                </c:pt>
                <c:pt idx="65">
                  <c:v>13.263479653011</c:v>
                </c:pt>
                <c:pt idx="66">
                  <c:v>13.4553926026783</c:v>
                </c:pt>
                <c:pt idx="67">
                  <c:v>11.0954957906579</c:v>
                </c:pt>
                <c:pt idx="68">
                  <c:v>11.5945638371632</c:v>
                </c:pt>
                <c:pt idx="69">
                  <c:v>9.6210224932874606</c:v>
                </c:pt>
                <c:pt idx="70">
                  <c:v>12.473494146128401</c:v>
                </c:pt>
                <c:pt idx="71">
                  <c:v>13.031940093133001</c:v>
                </c:pt>
                <c:pt idx="72">
                  <c:v>10.590213604227801</c:v>
                </c:pt>
                <c:pt idx="73">
                  <c:v>13.878591535620201</c:v>
                </c:pt>
                <c:pt idx="74">
                  <c:v>14.717162441658701</c:v>
                </c:pt>
                <c:pt idx="75">
                  <c:v>9.9986948058503895</c:v>
                </c:pt>
                <c:pt idx="76">
                  <c:v>10.2238382877331</c:v>
                </c:pt>
                <c:pt idx="77">
                  <c:v>14.911892150528701</c:v>
                </c:pt>
                <c:pt idx="78">
                  <c:v>13.4302967174954</c:v>
                </c:pt>
                <c:pt idx="79">
                  <c:v>16.4427234151444</c:v>
                </c:pt>
              </c:numCache>
            </c:numRef>
          </c:xVal>
          <c:yVal>
            <c:numRef>
              <c:f>'Emmanuel D'!$G$63:$G$156</c:f>
              <c:numCache>
                <c:formatCode>0.00</c:formatCode>
                <c:ptCount val="94"/>
                <c:pt idx="0">
                  <c:v>-2.1730804342376304</c:v>
                </c:pt>
                <c:pt idx="1">
                  <c:v>2.3756251737656005</c:v>
                </c:pt>
                <c:pt idx="2">
                  <c:v>-4.0158440818850103</c:v>
                </c:pt>
                <c:pt idx="3">
                  <c:v>2.4003349440827009</c:v>
                </c:pt>
                <c:pt idx="4">
                  <c:v>-4.5345806011935492</c:v>
                </c:pt>
                <c:pt idx="5">
                  <c:v>0.84111216212030016</c:v>
                </c:pt>
                <c:pt idx="6">
                  <c:v>-1.2932733162372898</c:v>
                </c:pt>
                <c:pt idx="7">
                  <c:v>1.0488612008020013</c:v>
                </c:pt>
                <c:pt idx="8">
                  <c:v>0.97572589741139915</c:v>
                </c:pt>
                <c:pt idx="9">
                  <c:v>-3.1751509307570895</c:v>
                </c:pt>
                <c:pt idx="10">
                  <c:v>2.7858663310524996</c:v>
                </c:pt>
                <c:pt idx="11">
                  <c:v>-0.4325900270613996</c:v>
                </c:pt>
                <c:pt idx="12">
                  <c:v>0.95835100831669884</c:v>
                </c:pt>
                <c:pt idx="13">
                  <c:v>2.8068558033409996</c:v>
                </c:pt>
                <c:pt idx="14">
                  <c:v>-2.0582754250971593</c:v>
                </c:pt>
                <c:pt idx="15">
                  <c:v>6.0401913888100012E-2</c:v>
                </c:pt>
                <c:pt idx="16">
                  <c:v>1.2870172028570988</c:v>
                </c:pt>
                <c:pt idx="17">
                  <c:v>-1.1023553964576696</c:v>
                </c:pt>
                <c:pt idx="18">
                  <c:v>2.3866143250770016</c:v>
                </c:pt>
                <c:pt idx="19">
                  <c:v>-2.9075328583213196</c:v>
                </c:pt>
                <c:pt idx="20">
                  <c:v>-1.9888631992944301</c:v>
                </c:pt>
                <c:pt idx="21">
                  <c:v>2.8058236728920996</c:v>
                </c:pt>
                <c:pt idx="22">
                  <c:v>0.30749556656319932</c:v>
                </c:pt>
                <c:pt idx="23">
                  <c:v>-0.22206072221347029</c:v>
                </c:pt>
                <c:pt idx="24">
                  <c:v>1.1000254643348004</c:v>
                </c:pt>
                <c:pt idx="25">
                  <c:v>-2.3418224084016401</c:v>
                </c:pt>
                <c:pt idx="26">
                  <c:v>0.58974925671079959</c:v>
                </c:pt>
                <c:pt idx="27">
                  <c:v>2.9815675789125002</c:v>
                </c:pt>
                <c:pt idx="28">
                  <c:v>0.73860959785470115</c:v>
                </c:pt>
                <c:pt idx="29">
                  <c:v>1.6720245598035</c:v>
                </c:pt>
                <c:pt idx="30">
                  <c:v>2.6775487369661004</c:v>
                </c:pt>
                <c:pt idx="31">
                  <c:v>-0.26017101240539908</c:v>
                </c:pt>
                <c:pt idx="32">
                  <c:v>-0.28039066589010098</c:v>
                </c:pt>
                <c:pt idx="33">
                  <c:v>2.1675171641453996</c:v>
                </c:pt>
                <c:pt idx="34">
                  <c:v>-2.7389944228988607</c:v>
                </c:pt>
                <c:pt idx="35">
                  <c:v>-3.1710567771651004</c:v>
                </c:pt>
                <c:pt idx="36">
                  <c:v>-2.0990849519322392</c:v>
                </c:pt>
                <c:pt idx="37">
                  <c:v>2.5654112243701999</c:v>
                </c:pt>
                <c:pt idx="38">
                  <c:v>-2.8961288765975706</c:v>
                </c:pt>
                <c:pt idx="39">
                  <c:v>-0.22847600551999925</c:v>
                </c:pt>
                <c:pt idx="40">
                  <c:v>1.1564349132851</c:v>
                </c:pt>
                <c:pt idx="41">
                  <c:v>0.8178821433213006</c:v>
                </c:pt>
                <c:pt idx="42">
                  <c:v>-0.58843138011430085</c:v>
                </c:pt>
                <c:pt idx="43">
                  <c:v>0.95162346300979905</c:v>
                </c:pt>
                <c:pt idx="44">
                  <c:v>-2.4967341957614995</c:v>
                </c:pt>
                <c:pt idx="45">
                  <c:v>1.1651432411056</c:v>
                </c:pt>
                <c:pt idx="46">
                  <c:v>-0.77249559343839991</c:v>
                </c:pt>
                <c:pt idx="47">
                  <c:v>1.1053873427751988</c:v>
                </c:pt>
                <c:pt idx="48">
                  <c:v>2.4712207972222995</c:v>
                </c:pt>
                <c:pt idx="49">
                  <c:v>-1.0164200565322989</c:v>
                </c:pt>
                <c:pt idx="50">
                  <c:v>0.20839822442879985</c:v>
                </c:pt>
                <c:pt idx="51">
                  <c:v>3.2351824789099481E-2</c:v>
                </c:pt>
                <c:pt idx="52">
                  <c:v>-0.64982131493220052</c:v>
                </c:pt>
                <c:pt idx="53">
                  <c:v>-3.2671257226647095</c:v>
                </c:pt>
                <c:pt idx="54">
                  <c:v>0.20011964251239966</c:v>
                </c:pt>
                <c:pt idx="55">
                  <c:v>-3.1060201259923206</c:v>
                </c:pt>
                <c:pt idx="56">
                  <c:v>-2.8266998238985099</c:v>
                </c:pt>
                <c:pt idx="57">
                  <c:v>-2.6981075733382696</c:v>
                </c:pt>
                <c:pt idx="58">
                  <c:v>1.9866788826684001</c:v>
                </c:pt>
                <c:pt idx="59">
                  <c:v>-2.4263437648551207</c:v>
                </c:pt>
                <c:pt idx="60">
                  <c:v>-0.28465432751380071</c:v>
                </c:pt>
                <c:pt idx="61">
                  <c:v>-3.3245594985245397</c:v>
                </c:pt>
                <c:pt idx="62">
                  <c:v>1.4652495199461004</c:v>
                </c:pt>
                <c:pt idx="63">
                  <c:v>-2.3772645818301008</c:v>
                </c:pt>
                <c:pt idx="64">
                  <c:v>2.6029355849042997</c:v>
                </c:pt>
                <c:pt idx="65">
                  <c:v>1.2734798530110005</c:v>
                </c:pt>
                <c:pt idx="66">
                  <c:v>1.4553926026783</c:v>
                </c:pt>
                <c:pt idx="67">
                  <c:v>-0.9045042093421003</c:v>
                </c:pt>
                <c:pt idx="68">
                  <c:v>-1.5654359628367995</c:v>
                </c:pt>
                <c:pt idx="69">
                  <c:v>-2.5489776067125387</c:v>
                </c:pt>
                <c:pt idx="70">
                  <c:v>1.5034938461284</c:v>
                </c:pt>
                <c:pt idx="71">
                  <c:v>0.77193989313300015</c:v>
                </c:pt>
                <c:pt idx="72">
                  <c:v>-2.4397860957721988</c:v>
                </c:pt>
                <c:pt idx="73">
                  <c:v>1.5185918356202013</c:v>
                </c:pt>
                <c:pt idx="74">
                  <c:v>2.3171628416587016</c:v>
                </c:pt>
                <c:pt idx="75">
                  <c:v>-2.5013051941496105</c:v>
                </c:pt>
                <c:pt idx="76">
                  <c:v>-2.3761621122669006</c:v>
                </c:pt>
                <c:pt idx="77">
                  <c:v>2.2418920505287012</c:v>
                </c:pt>
                <c:pt idx="78">
                  <c:v>0.73029691749539971</c:v>
                </c:pt>
                <c:pt idx="79">
                  <c:v>2.0127231151444001</c:v>
                </c:pt>
              </c:numCache>
            </c:numRef>
          </c:yVal>
          <c:smooth val="0"/>
          <c:extLst>
            <c:ext xmlns:c16="http://schemas.microsoft.com/office/drawing/2014/chart" uri="{C3380CC4-5D6E-409C-BE32-E72D297353CC}">
              <c16:uniqueId val="{00000001-7F83-47CE-A44E-4A40EE9C95F9}"/>
            </c:ext>
          </c:extLst>
        </c:ser>
        <c:dLbls>
          <c:showLegendKey val="0"/>
          <c:showVal val="0"/>
          <c:showCatName val="0"/>
          <c:showSerName val="0"/>
          <c:showPercent val="0"/>
          <c:showBubbleSize val="0"/>
        </c:dLbls>
        <c:axId val="251667584"/>
        <c:axId val="251669504"/>
      </c:scatterChart>
      <c:valAx>
        <c:axId val="251667584"/>
        <c:scaling>
          <c:orientation val="minMax"/>
        </c:scaling>
        <c:delete val="0"/>
        <c:axPos val="b"/>
        <c:title>
          <c:tx>
            <c:rich>
              <a:bodyPr/>
              <a:lstStyle/>
              <a:p>
                <a:pPr>
                  <a:defRPr/>
                </a:pPr>
                <a:r>
                  <a:rPr lang="en-US"/>
                  <a:t>PREDICTED NIRS</a:t>
                </a:r>
              </a:p>
            </c:rich>
          </c:tx>
          <c:overlay val="0"/>
        </c:title>
        <c:numFmt formatCode="0.0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251669504"/>
        <c:crosses val="autoZero"/>
        <c:crossBetween val="midCat"/>
      </c:valAx>
      <c:valAx>
        <c:axId val="251669504"/>
        <c:scaling>
          <c:orientation val="minMax"/>
        </c:scaling>
        <c:delete val="0"/>
        <c:axPos val="l"/>
        <c:majorGridlines/>
        <c:numFmt formatCode="0.00" sourceLinked="1"/>
        <c:majorTickMark val="out"/>
        <c:minorTickMark val="none"/>
        <c:tickLblPos val="nextTo"/>
        <c:crossAx val="251667584"/>
        <c:crosses val="autoZero"/>
        <c:crossBetween val="midCat"/>
      </c:valAx>
    </c:plotArea>
    <c:plotVisOnly val="1"/>
    <c:dispBlanksAs val="gap"/>
    <c:showDLblsOverMax val="0"/>
  </c:chart>
  <c:printSettings>
    <c:headerFooter/>
    <c:pageMargins b="0.75000000000000422" l="0.70000000000000062" r="0.70000000000000062" t="0.75000000000000422"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400" baseline="0"/>
              <a:t>Residuals vs position</a:t>
            </a:r>
          </a:p>
        </c:rich>
      </c:tx>
      <c:layout>
        <c:manualLayout>
          <c:xMode val="edge"/>
          <c:yMode val="edge"/>
          <c:x val="0.61770845220434401"/>
          <c:y val="9.2592592592592587E-3"/>
        </c:manualLayout>
      </c:layout>
      <c:overlay val="1"/>
    </c:title>
    <c:autoTitleDeleted val="0"/>
    <c:plotArea>
      <c:layout>
        <c:manualLayout>
          <c:layoutTarget val="inner"/>
          <c:xMode val="edge"/>
          <c:yMode val="edge"/>
          <c:x val="9.7295231451277789E-2"/>
          <c:y val="4.1365688184682434E-2"/>
          <c:w val="0.8505582003234009"/>
          <c:h val="0.89909093674129181"/>
        </c:manualLayout>
      </c:layout>
      <c:scatterChart>
        <c:scatterStyle val="lineMarker"/>
        <c:varyColors val="0"/>
        <c:ser>
          <c:idx val="0"/>
          <c:order val="0"/>
          <c:spPr>
            <a:ln w="28575">
              <a:noFill/>
            </a:ln>
          </c:spPr>
          <c:xVal>
            <c:numRef>
              <c:f>'Emmanuel D'!$B$63:$B$156</c:f>
              <c:numCache>
                <c:formatCode>General</c:formatCode>
                <c:ptCount val="9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numCache>
            </c:numRef>
          </c:xVal>
          <c:yVal>
            <c:numRef>
              <c:f>'Emmanuel D'!$G$63:$G$156</c:f>
              <c:numCache>
                <c:formatCode>0.00</c:formatCode>
                <c:ptCount val="94"/>
                <c:pt idx="0">
                  <c:v>-2.1730804342376304</c:v>
                </c:pt>
                <c:pt idx="1">
                  <c:v>2.3756251737656005</c:v>
                </c:pt>
                <c:pt idx="2">
                  <c:v>-4.0158440818850103</c:v>
                </c:pt>
                <c:pt idx="3">
                  <c:v>2.4003349440827009</c:v>
                </c:pt>
                <c:pt idx="4">
                  <c:v>-4.5345806011935492</c:v>
                </c:pt>
                <c:pt idx="5">
                  <c:v>0.84111216212030016</c:v>
                </c:pt>
                <c:pt idx="6">
                  <c:v>-1.2932733162372898</c:v>
                </c:pt>
                <c:pt idx="7">
                  <c:v>1.0488612008020013</c:v>
                </c:pt>
                <c:pt idx="8">
                  <c:v>0.97572589741139915</c:v>
                </c:pt>
                <c:pt idx="9">
                  <c:v>-3.1751509307570895</c:v>
                </c:pt>
                <c:pt idx="10">
                  <c:v>2.7858663310524996</c:v>
                </c:pt>
                <c:pt idx="11">
                  <c:v>-0.4325900270613996</c:v>
                </c:pt>
                <c:pt idx="12">
                  <c:v>0.95835100831669884</c:v>
                </c:pt>
                <c:pt idx="13">
                  <c:v>2.8068558033409996</c:v>
                </c:pt>
                <c:pt idx="14">
                  <c:v>-2.0582754250971593</c:v>
                </c:pt>
                <c:pt idx="15">
                  <c:v>6.0401913888100012E-2</c:v>
                </c:pt>
                <c:pt idx="16">
                  <c:v>1.2870172028570988</c:v>
                </c:pt>
                <c:pt idx="17">
                  <c:v>-1.1023553964576696</c:v>
                </c:pt>
                <c:pt idx="18">
                  <c:v>2.3866143250770016</c:v>
                </c:pt>
                <c:pt idx="19">
                  <c:v>-2.9075328583213196</c:v>
                </c:pt>
                <c:pt idx="20">
                  <c:v>-1.9888631992944301</c:v>
                </c:pt>
                <c:pt idx="21">
                  <c:v>2.8058236728920996</c:v>
                </c:pt>
                <c:pt idx="22">
                  <c:v>0.30749556656319932</c:v>
                </c:pt>
                <c:pt idx="23">
                  <c:v>-0.22206072221347029</c:v>
                </c:pt>
                <c:pt idx="24">
                  <c:v>1.1000254643348004</c:v>
                </c:pt>
                <c:pt idx="25">
                  <c:v>-2.3418224084016401</c:v>
                </c:pt>
                <c:pt idx="26">
                  <c:v>0.58974925671079959</c:v>
                </c:pt>
                <c:pt idx="27">
                  <c:v>2.9815675789125002</c:v>
                </c:pt>
                <c:pt idx="28">
                  <c:v>0.73860959785470115</c:v>
                </c:pt>
                <c:pt idx="29">
                  <c:v>1.6720245598035</c:v>
                </c:pt>
                <c:pt idx="30">
                  <c:v>2.6775487369661004</c:v>
                </c:pt>
                <c:pt idx="31">
                  <c:v>-0.26017101240539908</c:v>
                </c:pt>
                <c:pt idx="32">
                  <c:v>-0.28039066589010098</c:v>
                </c:pt>
                <c:pt idx="33">
                  <c:v>2.1675171641453996</c:v>
                </c:pt>
                <c:pt idx="34">
                  <c:v>-2.7389944228988607</c:v>
                </c:pt>
                <c:pt idx="35">
                  <c:v>-3.1710567771651004</c:v>
                </c:pt>
                <c:pt idx="36">
                  <c:v>-2.0990849519322392</c:v>
                </c:pt>
                <c:pt idx="37">
                  <c:v>2.5654112243701999</c:v>
                </c:pt>
                <c:pt idx="38">
                  <c:v>-2.8961288765975706</c:v>
                </c:pt>
                <c:pt idx="39">
                  <c:v>-0.22847600551999925</c:v>
                </c:pt>
                <c:pt idx="40">
                  <c:v>1.1564349132851</c:v>
                </c:pt>
                <c:pt idx="41">
                  <c:v>0.8178821433213006</c:v>
                </c:pt>
                <c:pt idx="42">
                  <c:v>-0.58843138011430085</c:v>
                </c:pt>
                <c:pt idx="43">
                  <c:v>0.95162346300979905</c:v>
                </c:pt>
                <c:pt idx="44">
                  <c:v>-2.4967341957614995</c:v>
                </c:pt>
                <c:pt idx="45">
                  <c:v>1.1651432411056</c:v>
                </c:pt>
                <c:pt idx="46">
                  <c:v>-0.77249559343839991</c:v>
                </c:pt>
                <c:pt idx="47">
                  <c:v>1.1053873427751988</c:v>
                </c:pt>
                <c:pt idx="48">
                  <c:v>2.4712207972222995</c:v>
                </c:pt>
                <c:pt idx="49">
                  <c:v>-1.0164200565322989</c:v>
                </c:pt>
                <c:pt idx="50">
                  <c:v>0.20839822442879985</c:v>
                </c:pt>
                <c:pt idx="51">
                  <c:v>3.2351824789099481E-2</c:v>
                </c:pt>
                <c:pt idx="52">
                  <c:v>-0.64982131493220052</c:v>
                </c:pt>
                <c:pt idx="53">
                  <c:v>-3.2671257226647095</c:v>
                </c:pt>
                <c:pt idx="54">
                  <c:v>0.20011964251239966</c:v>
                </c:pt>
                <c:pt idx="55">
                  <c:v>-3.1060201259923206</c:v>
                </c:pt>
                <c:pt idx="56">
                  <c:v>-2.8266998238985099</c:v>
                </c:pt>
                <c:pt idx="57">
                  <c:v>-2.6981075733382696</c:v>
                </c:pt>
                <c:pt idx="58">
                  <c:v>1.9866788826684001</c:v>
                </c:pt>
                <c:pt idx="59">
                  <c:v>-2.4263437648551207</c:v>
                </c:pt>
                <c:pt idx="60">
                  <c:v>-0.28465432751380071</c:v>
                </c:pt>
                <c:pt idx="61">
                  <c:v>-3.3245594985245397</c:v>
                </c:pt>
                <c:pt idx="62">
                  <c:v>1.4652495199461004</c:v>
                </c:pt>
                <c:pt idx="63">
                  <c:v>-2.3772645818301008</c:v>
                </c:pt>
                <c:pt idx="64">
                  <c:v>2.6029355849042997</c:v>
                </c:pt>
                <c:pt idx="65">
                  <c:v>1.2734798530110005</c:v>
                </c:pt>
                <c:pt idx="66">
                  <c:v>1.4553926026783</c:v>
                </c:pt>
                <c:pt idx="67">
                  <c:v>-0.9045042093421003</c:v>
                </c:pt>
                <c:pt idx="68">
                  <c:v>-1.5654359628367995</c:v>
                </c:pt>
                <c:pt idx="69">
                  <c:v>-2.5489776067125387</c:v>
                </c:pt>
                <c:pt idx="70">
                  <c:v>1.5034938461284</c:v>
                </c:pt>
                <c:pt idx="71">
                  <c:v>0.77193989313300015</c:v>
                </c:pt>
                <c:pt idx="72">
                  <c:v>-2.4397860957721988</c:v>
                </c:pt>
                <c:pt idx="73">
                  <c:v>1.5185918356202013</c:v>
                </c:pt>
                <c:pt idx="74">
                  <c:v>2.3171628416587016</c:v>
                </c:pt>
                <c:pt idx="75">
                  <c:v>-2.5013051941496105</c:v>
                </c:pt>
                <c:pt idx="76">
                  <c:v>-2.3761621122669006</c:v>
                </c:pt>
                <c:pt idx="77">
                  <c:v>2.2418920505287012</c:v>
                </c:pt>
                <c:pt idx="78">
                  <c:v>0.73029691749539971</c:v>
                </c:pt>
                <c:pt idx="79">
                  <c:v>2.0127231151444001</c:v>
                </c:pt>
              </c:numCache>
            </c:numRef>
          </c:yVal>
          <c:smooth val="0"/>
          <c:extLst>
            <c:ext xmlns:c16="http://schemas.microsoft.com/office/drawing/2014/chart" uri="{C3380CC4-5D6E-409C-BE32-E72D297353CC}">
              <c16:uniqueId val="{00000000-510D-43EC-945C-030033F02AAC}"/>
            </c:ext>
          </c:extLst>
        </c:ser>
        <c:dLbls>
          <c:showLegendKey val="0"/>
          <c:showVal val="0"/>
          <c:showCatName val="0"/>
          <c:showSerName val="0"/>
          <c:showPercent val="0"/>
          <c:showBubbleSize val="0"/>
        </c:dLbls>
        <c:axId val="274780160"/>
        <c:axId val="274781696"/>
      </c:scatterChart>
      <c:valAx>
        <c:axId val="274780160"/>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274781696"/>
        <c:crosses val="autoZero"/>
        <c:crossBetween val="midCat"/>
      </c:valAx>
      <c:valAx>
        <c:axId val="274781696"/>
        <c:scaling>
          <c:orientation val="minMax"/>
        </c:scaling>
        <c:delete val="0"/>
        <c:axPos val="l"/>
        <c:majorGridlines/>
        <c:numFmt formatCode="0.00" sourceLinked="1"/>
        <c:majorTickMark val="out"/>
        <c:minorTickMark val="none"/>
        <c:tickLblPos val="nextTo"/>
        <c:crossAx val="274780160"/>
        <c:crosses val="autoZero"/>
        <c:crossBetween val="midCat"/>
      </c:valAx>
    </c:plotArea>
    <c:plotVisOnly val="1"/>
    <c:dispBlanksAs val="gap"/>
    <c:showDLblsOverMax val="0"/>
  </c:chart>
  <c:printSettings>
    <c:headerFooter/>
    <c:pageMargins b="0.75000000000000211" l="0.70000000000000062" r="0.70000000000000062" t="0.75000000000000211"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3834418474441655E-2"/>
          <c:y val="0.13250935178105364"/>
          <c:w val="0.6729182365583003"/>
          <c:h val="0.71284029659820869"/>
        </c:manualLayout>
      </c:layout>
      <c:scatterChart>
        <c:scatterStyle val="lineMarker"/>
        <c:varyColors val="0"/>
        <c:ser>
          <c:idx val="0"/>
          <c:order val="0"/>
          <c:tx>
            <c:v> </c:v>
          </c:tx>
          <c:spPr>
            <a:ln w="28575">
              <a:noFill/>
            </a:ln>
          </c:spPr>
          <c:marker>
            <c:symbol val="circle"/>
            <c:size val="8"/>
            <c:spPr>
              <a:solidFill>
                <a:srgbClr val="000080"/>
              </a:solidFill>
              <a:ln>
                <a:solidFill>
                  <a:srgbClr val="000080"/>
                </a:solidFill>
                <a:prstDash val="solid"/>
              </a:ln>
            </c:spPr>
          </c:marker>
          <c:dLbls>
            <c:dLbl>
              <c:idx val="0"/>
              <c:tx>
                <c:rich>
                  <a:bodyPr/>
                  <a:lstStyle/>
                  <a:p>
                    <a:fld id="{C7A9754F-8F11-4747-A443-BDE4EBD4B37B}" type="CELLRANGE">
                      <a:rPr lang="en-US"/>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BC45-4F15-BA94-13E275B1473A}"/>
                </c:ext>
              </c:extLst>
            </c:dLbl>
            <c:dLbl>
              <c:idx val="1"/>
              <c:tx>
                <c:rich>
                  <a:bodyPr/>
                  <a:lstStyle/>
                  <a:p>
                    <a:fld id="{DA95AE5D-FB8C-4BD3-A815-48DF75E51206}"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C45-4F15-BA94-13E275B1473A}"/>
                </c:ext>
              </c:extLst>
            </c:dLbl>
            <c:dLbl>
              <c:idx val="2"/>
              <c:tx>
                <c:rich>
                  <a:bodyPr/>
                  <a:lstStyle/>
                  <a:p>
                    <a:fld id="{A174078F-2ED0-4027-8120-77C77D0E8317}"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C45-4F15-BA94-13E275B1473A}"/>
                </c:ext>
              </c:extLst>
            </c:dLbl>
            <c:dLbl>
              <c:idx val="3"/>
              <c:tx>
                <c:rich>
                  <a:bodyPr/>
                  <a:lstStyle/>
                  <a:p>
                    <a:fld id="{599AED7D-6E34-4E81-A966-E65D98B23F75}"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C45-4F15-BA94-13E275B1473A}"/>
                </c:ext>
              </c:extLst>
            </c:dLbl>
            <c:dLbl>
              <c:idx val="4"/>
              <c:tx>
                <c:rich>
                  <a:bodyPr/>
                  <a:lstStyle/>
                  <a:p>
                    <a:fld id="{0C59C9C1-F445-4D1B-A251-6A0BE0CA0AFA}"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C45-4F15-BA94-13E275B1473A}"/>
                </c:ext>
              </c:extLst>
            </c:dLbl>
            <c:dLbl>
              <c:idx val="5"/>
              <c:tx>
                <c:rich>
                  <a:bodyPr/>
                  <a:lstStyle/>
                  <a:p>
                    <a:fld id="{FE5D73C4-A959-440E-A04F-E8FC24B69FA4}"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C45-4F15-BA94-13E275B1473A}"/>
                </c:ext>
              </c:extLst>
            </c:dLbl>
            <c:dLbl>
              <c:idx val="6"/>
              <c:tx>
                <c:rich>
                  <a:bodyPr/>
                  <a:lstStyle/>
                  <a:p>
                    <a:fld id="{572EF19F-C761-4784-96AD-B93DA8327B35}"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C45-4F15-BA94-13E275B1473A}"/>
                </c:ext>
              </c:extLst>
            </c:dLbl>
            <c:dLbl>
              <c:idx val="7"/>
              <c:tx>
                <c:rich>
                  <a:bodyPr/>
                  <a:lstStyle/>
                  <a:p>
                    <a:fld id="{4584ABFA-D996-4A62-A597-B58344D76BAE}"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C45-4F15-BA94-13E275B1473A}"/>
                </c:ext>
              </c:extLst>
            </c:dLbl>
            <c:dLbl>
              <c:idx val="8"/>
              <c:tx>
                <c:rich>
                  <a:bodyPr/>
                  <a:lstStyle/>
                  <a:p>
                    <a:fld id="{6DCDFEE2-93B5-444E-B876-F3709598D2C8}"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C45-4F15-BA94-13E275B1473A}"/>
                </c:ext>
              </c:extLst>
            </c:dLbl>
            <c:dLbl>
              <c:idx val="9"/>
              <c:tx>
                <c:rich>
                  <a:bodyPr/>
                  <a:lstStyle/>
                  <a:p>
                    <a:fld id="{06C894D7-C8C2-4F03-9F49-5FD36B93F859}"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C45-4F15-BA94-13E275B1473A}"/>
                </c:ext>
              </c:extLst>
            </c:dLbl>
            <c:dLbl>
              <c:idx val="10"/>
              <c:tx>
                <c:rich>
                  <a:bodyPr/>
                  <a:lstStyle/>
                  <a:p>
                    <a:fld id="{0986E848-A84A-4208-B63C-4598CB7B31EE}"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C45-4F15-BA94-13E275B1473A}"/>
                </c:ext>
              </c:extLst>
            </c:dLbl>
            <c:dLbl>
              <c:idx val="11"/>
              <c:tx>
                <c:rich>
                  <a:bodyPr/>
                  <a:lstStyle/>
                  <a:p>
                    <a:fld id="{ED6A0C8F-8185-411D-A008-BD0C3CE3CC68}"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C45-4F15-BA94-13E275B1473A}"/>
                </c:ext>
              </c:extLst>
            </c:dLbl>
            <c:dLbl>
              <c:idx val="12"/>
              <c:tx>
                <c:rich>
                  <a:bodyPr/>
                  <a:lstStyle/>
                  <a:p>
                    <a:fld id="{25286551-314F-4C42-AD21-7BC5E5FE8EFE}"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C45-4F15-BA94-13E275B1473A}"/>
                </c:ext>
              </c:extLst>
            </c:dLbl>
            <c:dLbl>
              <c:idx val="13"/>
              <c:tx>
                <c:rich>
                  <a:bodyPr/>
                  <a:lstStyle/>
                  <a:p>
                    <a:fld id="{D5DB80AA-9D85-4DD5-87BF-FC2E0FA4837F}"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C45-4F15-BA94-13E275B1473A}"/>
                </c:ext>
              </c:extLst>
            </c:dLbl>
            <c:dLbl>
              <c:idx val="14"/>
              <c:tx>
                <c:rich>
                  <a:bodyPr/>
                  <a:lstStyle/>
                  <a:p>
                    <a:fld id="{E8032528-F9CE-484F-9AF7-CAD7721A56F2}"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BC45-4F15-BA94-13E275B1473A}"/>
                </c:ext>
              </c:extLst>
            </c:dLbl>
            <c:dLbl>
              <c:idx val="15"/>
              <c:tx>
                <c:rich>
                  <a:bodyPr/>
                  <a:lstStyle/>
                  <a:p>
                    <a:fld id="{C363F1C0-48BC-49FF-A27D-3F11E6BBF36B}"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BC45-4F15-BA94-13E275B1473A}"/>
                </c:ext>
              </c:extLst>
            </c:dLbl>
            <c:dLbl>
              <c:idx val="16"/>
              <c:tx>
                <c:rich>
                  <a:bodyPr/>
                  <a:lstStyle/>
                  <a:p>
                    <a:fld id="{A72E944A-E9B1-4D99-80FA-FA09CEC4487E}"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BC45-4F15-BA94-13E275B1473A}"/>
                </c:ext>
              </c:extLst>
            </c:dLbl>
            <c:dLbl>
              <c:idx val="17"/>
              <c:tx>
                <c:rich>
                  <a:bodyPr/>
                  <a:lstStyle/>
                  <a:p>
                    <a:fld id="{CE330F0A-91F5-4DB9-9B16-4F61C20248AB}"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BC45-4F15-BA94-13E275B1473A}"/>
                </c:ext>
              </c:extLst>
            </c:dLbl>
            <c:dLbl>
              <c:idx val="18"/>
              <c:tx>
                <c:rich>
                  <a:bodyPr/>
                  <a:lstStyle/>
                  <a:p>
                    <a:fld id="{733939E7-82B4-4CA3-84C2-9D4DF60DE9DF}"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BC45-4F15-BA94-13E275B1473A}"/>
                </c:ext>
              </c:extLst>
            </c:dLbl>
            <c:dLbl>
              <c:idx val="19"/>
              <c:tx>
                <c:rich>
                  <a:bodyPr/>
                  <a:lstStyle/>
                  <a:p>
                    <a:fld id="{CCE7FB22-8AC7-4227-AA26-6A9D02B79D98}"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BC45-4F15-BA94-13E275B1473A}"/>
                </c:ext>
              </c:extLst>
            </c:dLbl>
            <c:dLbl>
              <c:idx val="20"/>
              <c:tx>
                <c:rich>
                  <a:bodyPr/>
                  <a:lstStyle/>
                  <a:p>
                    <a:fld id="{F86909D8-6105-47C0-B096-6700F832C47A}"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BC45-4F15-BA94-13E275B1473A}"/>
                </c:ext>
              </c:extLst>
            </c:dLbl>
            <c:dLbl>
              <c:idx val="21"/>
              <c:tx>
                <c:rich>
                  <a:bodyPr/>
                  <a:lstStyle/>
                  <a:p>
                    <a:fld id="{89CA9478-D650-4AF6-8193-17FE26C3F927}"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BC45-4F15-BA94-13E275B1473A}"/>
                </c:ext>
              </c:extLst>
            </c:dLbl>
            <c:dLbl>
              <c:idx val="22"/>
              <c:tx>
                <c:rich>
                  <a:bodyPr/>
                  <a:lstStyle/>
                  <a:p>
                    <a:fld id="{BF6D0B89-9B6A-4034-8BDF-14FFF4D72E77}"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BC45-4F15-BA94-13E275B1473A}"/>
                </c:ext>
              </c:extLst>
            </c:dLbl>
            <c:dLbl>
              <c:idx val="23"/>
              <c:tx>
                <c:rich>
                  <a:bodyPr/>
                  <a:lstStyle/>
                  <a:p>
                    <a:fld id="{860904E2-E22D-49A7-BFBC-FD5DB7E35964}"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BC45-4F15-BA94-13E275B1473A}"/>
                </c:ext>
              </c:extLst>
            </c:dLbl>
            <c:dLbl>
              <c:idx val="24"/>
              <c:tx>
                <c:rich>
                  <a:bodyPr/>
                  <a:lstStyle/>
                  <a:p>
                    <a:fld id="{F72A0D43-B094-4C19-B10A-2F1914854499}"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BC45-4F15-BA94-13E275B1473A}"/>
                </c:ext>
              </c:extLst>
            </c:dLbl>
            <c:dLbl>
              <c:idx val="25"/>
              <c:tx>
                <c:rich>
                  <a:bodyPr/>
                  <a:lstStyle/>
                  <a:p>
                    <a:fld id="{0E5D9865-E98A-48A7-887B-846FF9AA3C9A}"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BC45-4F15-BA94-13E275B1473A}"/>
                </c:ext>
              </c:extLst>
            </c:dLbl>
            <c:dLbl>
              <c:idx val="26"/>
              <c:tx>
                <c:rich>
                  <a:bodyPr/>
                  <a:lstStyle/>
                  <a:p>
                    <a:fld id="{6E16F9AB-D2EA-463D-A945-3E43381BB05E}"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BC45-4F15-BA94-13E275B1473A}"/>
                </c:ext>
              </c:extLst>
            </c:dLbl>
            <c:dLbl>
              <c:idx val="27"/>
              <c:tx>
                <c:rich>
                  <a:bodyPr/>
                  <a:lstStyle/>
                  <a:p>
                    <a:fld id="{8220286A-8155-45B0-8EA4-AFC51BEC7615}"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BC45-4F15-BA94-13E275B1473A}"/>
                </c:ext>
              </c:extLst>
            </c:dLbl>
            <c:dLbl>
              <c:idx val="28"/>
              <c:tx>
                <c:rich>
                  <a:bodyPr/>
                  <a:lstStyle/>
                  <a:p>
                    <a:fld id="{27C7B134-48E1-4C62-A622-4EF33EA9227D}"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BC45-4F15-BA94-13E275B1473A}"/>
                </c:ext>
              </c:extLst>
            </c:dLbl>
            <c:dLbl>
              <c:idx val="29"/>
              <c:tx>
                <c:rich>
                  <a:bodyPr/>
                  <a:lstStyle/>
                  <a:p>
                    <a:fld id="{39839BD4-BA58-485B-AFA0-FEC8D01EAEC2}"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BC45-4F15-BA94-13E275B1473A}"/>
                </c:ext>
              </c:extLst>
            </c:dLbl>
            <c:dLbl>
              <c:idx val="30"/>
              <c:tx>
                <c:rich>
                  <a:bodyPr/>
                  <a:lstStyle/>
                  <a:p>
                    <a:fld id="{54119706-80CA-4146-B34F-922F37868DF0}"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BC45-4F15-BA94-13E275B1473A}"/>
                </c:ext>
              </c:extLst>
            </c:dLbl>
            <c:dLbl>
              <c:idx val="31"/>
              <c:tx>
                <c:rich>
                  <a:bodyPr/>
                  <a:lstStyle/>
                  <a:p>
                    <a:fld id="{E504316E-B995-4B6E-B544-1CB9A2C525E0}"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BC45-4F15-BA94-13E275B1473A}"/>
                </c:ext>
              </c:extLst>
            </c:dLbl>
            <c:dLbl>
              <c:idx val="32"/>
              <c:tx>
                <c:rich>
                  <a:bodyPr/>
                  <a:lstStyle/>
                  <a:p>
                    <a:fld id="{1309FA5D-05F6-4898-9842-813B2C17E30C}"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BC45-4F15-BA94-13E275B1473A}"/>
                </c:ext>
              </c:extLst>
            </c:dLbl>
            <c:dLbl>
              <c:idx val="33"/>
              <c:tx>
                <c:rich>
                  <a:bodyPr/>
                  <a:lstStyle/>
                  <a:p>
                    <a:fld id="{B4B6DA0A-F968-4575-B75D-6214097F57E2}"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BC45-4F15-BA94-13E275B1473A}"/>
                </c:ext>
              </c:extLst>
            </c:dLbl>
            <c:dLbl>
              <c:idx val="34"/>
              <c:tx>
                <c:rich>
                  <a:bodyPr/>
                  <a:lstStyle/>
                  <a:p>
                    <a:fld id="{AF14726C-1DC3-4963-A026-0E9B0028E05D}"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BC45-4F15-BA94-13E275B1473A}"/>
                </c:ext>
              </c:extLst>
            </c:dLbl>
            <c:dLbl>
              <c:idx val="35"/>
              <c:tx>
                <c:rich>
                  <a:bodyPr/>
                  <a:lstStyle/>
                  <a:p>
                    <a:fld id="{08832DB7-A36E-4822-A6D7-6FBD9F480C2A}"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BC45-4F15-BA94-13E275B1473A}"/>
                </c:ext>
              </c:extLst>
            </c:dLbl>
            <c:dLbl>
              <c:idx val="36"/>
              <c:tx>
                <c:rich>
                  <a:bodyPr/>
                  <a:lstStyle/>
                  <a:p>
                    <a:fld id="{9C3028CE-EBFE-48B2-9597-03A09F5E0377}"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BC45-4F15-BA94-13E275B1473A}"/>
                </c:ext>
              </c:extLst>
            </c:dLbl>
            <c:dLbl>
              <c:idx val="37"/>
              <c:tx>
                <c:rich>
                  <a:bodyPr/>
                  <a:lstStyle/>
                  <a:p>
                    <a:fld id="{7496B3D2-1132-444B-A6AA-C62AA7A8745E}"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BC45-4F15-BA94-13E275B1473A}"/>
                </c:ext>
              </c:extLst>
            </c:dLbl>
            <c:dLbl>
              <c:idx val="38"/>
              <c:tx>
                <c:rich>
                  <a:bodyPr/>
                  <a:lstStyle/>
                  <a:p>
                    <a:fld id="{2D1D52E3-8674-405D-9431-C8FCB8C905FC}"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BC45-4F15-BA94-13E275B1473A}"/>
                </c:ext>
              </c:extLst>
            </c:dLbl>
            <c:dLbl>
              <c:idx val="39"/>
              <c:tx>
                <c:rich>
                  <a:bodyPr/>
                  <a:lstStyle/>
                  <a:p>
                    <a:fld id="{7EB50969-5618-414B-84D4-14DB0D3F49CB}"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BC45-4F15-BA94-13E275B1473A}"/>
                </c:ext>
              </c:extLst>
            </c:dLbl>
            <c:dLbl>
              <c:idx val="40"/>
              <c:tx>
                <c:rich>
                  <a:bodyPr/>
                  <a:lstStyle/>
                  <a:p>
                    <a:fld id="{69C875E6-B016-4076-9C00-0389C60BB1D8}"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BC45-4F15-BA94-13E275B1473A}"/>
                </c:ext>
              </c:extLst>
            </c:dLbl>
            <c:dLbl>
              <c:idx val="41"/>
              <c:tx>
                <c:rich>
                  <a:bodyPr/>
                  <a:lstStyle/>
                  <a:p>
                    <a:fld id="{D3AADAA9-1973-4B5F-885E-54EF752CE63D}"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BC45-4F15-BA94-13E275B1473A}"/>
                </c:ext>
              </c:extLst>
            </c:dLbl>
            <c:dLbl>
              <c:idx val="42"/>
              <c:tx>
                <c:rich>
                  <a:bodyPr/>
                  <a:lstStyle/>
                  <a:p>
                    <a:fld id="{69A23E0A-8A34-4EFA-ADD1-782D95A6D536}"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BC45-4F15-BA94-13E275B1473A}"/>
                </c:ext>
              </c:extLst>
            </c:dLbl>
            <c:dLbl>
              <c:idx val="43"/>
              <c:tx>
                <c:rich>
                  <a:bodyPr/>
                  <a:lstStyle/>
                  <a:p>
                    <a:fld id="{E724425D-257B-406F-B44D-93C4279F4617}"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BC45-4F15-BA94-13E275B1473A}"/>
                </c:ext>
              </c:extLst>
            </c:dLbl>
            <c:dLbl>
              <c:idx val="44"/>
              <c:tx>
                <c:rich>
                  <a:bodyPr/>
                  <a:lstStyle/>
                  <a:p>
                    <a:fld id="{41277171-0746-4E25-87B7-6090A6A87DD7}"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BC45-4F15-BA94-13E275B1473A}"/>
                </c:ext>
              </c:extLst>
            </c:dLbl>
            <c:dLbl>
              <c:idx val="45"/>
              <c:tx>
                <c:rich>
                  <a:bodyPr/>
                  <a:lstStyle/>
                  <a:p>
                    <a:fld id="{51E87BCA-BF9F-46CC-B075-7ED309EFBC27}"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BC45-4F15-BA94-13E275B1473A}"/>
                </c:ext>
              </c:extLst>
            </c:dLbl>
            <c:dLbl>
              <c:idx val="46"/>
              <c:tx>
                <c:rich>
                  <a:bodyPr/>
                  <a:lstStyle/>
                  <a:p>
                    <a:fld id="{09CB3496-C41D-4187-A0AF-7B9253367CF5}"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BC45-4F15-BA94-13E275B1473A}"/>
                </c:ext>
              </c:extLst>
            </c:dLbl>
            <c:dLbl>
              <c:idx val="47"/>
              <c:tx>
                <c:rich>
                  <a:bodyPr/>
                  <a:lstStyle/>
                  <a:p>
                    <a:fld id="{CC9C64A9-7D6E-4789-AA86-40D00AFB35B3}"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BC45-4F15-BA94-13E275B1473A}"/>
                </c:ext>
              </c:extLst>
            </c:dLbl>
            <c:dLbl>
              <c:idx val="48"/>
              <c:tx>
                <c:rich>
                  <a:bodyPr/>
                  <a:lstStyle/>
                  <a:p>
                    <a:fld id="{62EA18D3-359B-45C8-8008-10D4B9A4206E}"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BC45-4F15-BA94-13E275B1473A}"/>
                </c:ext>
              </c:extLst>
            </c:dLbl>
            <c:dLbl>
              <c:idx val="49"/>
              <c:tx>
                <c:rich>
                  <a:bodyPr/>
                  <a:lstStyle/>
                  <a:p>
                    <a:fld id="{D27D0B02-637F-4341-9DD2-73FDC377D870}"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BC45-4F15-BA94-13E275B1473A}"/>
                </c:ext>
              </c:extLst>
            </c:dLbl>
            <c:dLbl>
              <c:idx val="50"/>
              <c:tx>
                <c:rich>
                  <a:bodyPr/>
                  <a:lstStyle/>
                  <a:p>
                    <a:fld id="{538B8CE5-A1A1-4751-BF36-091F11D778F4}"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BC45-4F15-BA94-13E275B1473A}"/>
                </c:ext>
              </c:extLst>
            </c:dLbl>
            <c:dLbl>
              <c:idx val="51"/>
              <c:tx>
                <c:rich>
                  <a:bodyPr/>
                  <a:lstStyle/>
                  <a:p>
                    <a:fld id="{87032B76-A17B-4E82-BA5F-5EB53AA40472}"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BC45-4F15-BA94-13E275B1473A}"/>
                </c:ext>
              </c:extLst>
            </c:dLbl>
            <c:dLbl>
              <c:idx val="52"/>
              <c:tx>
                <c:rich>
                  <a:bodyPr/>
                  <a:lstStyle/>
                  <a:p>
                    <a:fld id="{19582475-CA28-4DA1-A998-B9D3A8ACA4C2}"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BC45-4F15-BA94-13E275B1473A}"/>
                </c:ext>
              </c:extLst>
            </c:dLbl>
            <c:dLbl>
              <c:idx val="53"/>
              <c:tx>
                <c:rich>
                  <a:bodyPr/>
                  <a:lstStyle/>
                  <a:p>
                    <a:fld id="{6370E055-54A3-4031-9393-027C0FFF45C9}"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BC45-4F15-BA94-13E275B1473A}"/>
                </c:ext>
              </c:extLst>
            </c:dLbl>
            <c:dLbl>
              <c:idx val="54"/>
              <c:tx>
                <c:rich>
                  <a:bodyPr/>
                  <a:lstStyle/>
                  <a:p>
                    <a:fld id="{779124DF-CAA4-4CB5-B741-9077382A1EAD}"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BC45-4F15-BA94-13E275B1473A}"/>
                </c:ext>
              </c:extLst>
            </c:dLbl>
            <c:dLbl>
              <c:idx val="55"/>
              <c:tx>
                <c:rich>
                  <a:bodyPr/>
                  <a:lstStyle/>
                  <a:p>
                    <a:fld id="{3134AD8B-D2ED-40F7-9D51-899D0EE337F9}"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BC45-4F15-BA94-13E275B1473A}"/>
                </c:ext>
              </c:extLst>
            </c:dLbl>
            <c:dLbl>
              <c:idx val="56"/>
              <c:tx>
                <c:rich>
                  <a:bodyPr/>
                  <a:lstStyle/>
                  <a:p>
                    <a:fld id="{A03F06F9-B9DF-4394-964A-E337A831B893}"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BC45-4F15-BA94-13E275B1473A}"/>
                </c:ext>
              </c:extLst>
            </c:dLbl>
            <c:dLbl>
              <c:idx val="57"/>
              <c:tx>
                <c:rich>
                  <a:bodyPr/>
                  <a:lstStyle/>
                  <a:p>
                    <a:fld id="{C441BD17-0B16-41B8-82D7-523AB462EEEC}"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BC45-4F15-BA94-13E275B1473A}"/>
                </c:ext>
              </c:extLst>
            </c:dLbl>
            <c:dLbl>
              <c:idx val="58"/>
              <c:tx>
                <c:rich>
                  <a:bodyPr/>
                  <a:lstStyle/>
                  <a:p>
                    <a:fld id="{CE642522-0172-4171-AC60-4578E3206658}"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A-BC45-4F15-BA94-13E275B1473A}"/>
                </c:ext>
              </c:extLst>
            </c:dLbl>
            <c:dLbl>
              <c:idx val="59"/>
              <c:tx>
                <c:rich>
                  <a:bodyPr/>
                  <a:lstStyle/>
                  <a:p>
                    <a:fld id="{72844F97-4079-4C2D-B0CF-32D93399335A}"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BC45-4F15-BA94-13E275B1473A}"/>
                </c:ext>
              </c:extLst>
            </c:dLbl>
            <c:dLbl>
              <c:idx val="60"/>
              <c:tx>
                <c:rich>
                  <a:bodyPr/>
                  <a:lstStyle/>
                  <a:p>
                    <a:fld id="{3B8A5831-7DE8-466F-B4C8-57BDBFBB8FA5}"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BC45-4F15-BA94-13E275B1473A}"/>
                </c:ext>
              </c:extLst>
            </c:dLbl>
            <c:dLbl>
              <c:idx val="61"/>
              <c:tx>
                <c:rich>
                  <a:bodyPr/>
                  <a:lstStyle/>
                  <a:p>
                    <a:fld id="{D99C3B70-FB69-4D4C-84CD-C5C872D8D52D}"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BC45-4F15-BA94-13E275B1473A}"/>
                </c:ext>
              </c:extLst>
            </c:dLbl>
            <c:dLbl>
              <c:idx val="62"/>
              <c:tx>
                <c:rich>
                  <a:bodyPr/>
                  <a:lstStyle/>
                  <a:p>
                    <a:fld id="{B7AC36D6-DFEB-459D-96A9-308F1A3D3D86}"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BC45-4F15-BA94-13E275B1473A}"/>
                </c:ext>
              </c:extLst>
            </c:dLbl>
            <c:dLbl>
              <c:idx val="63"/>
              <c:tx>
                <c:rich>
                  <a:bodyPr/>
                  <a:lstStyle/>
                  <a:p>
                    <a:fld id="{A94D5F7C-E41C-41D9-BABC-025BE167872E}"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BC45-4F15-BA94-13E275B1473A}"/>
                </c:ext>
              </c:extLst>
            </c:dLbl>
            <c:dLbl>
              <c:idx val="64"/>
              <c:tx>
                <c:rich>
                  <a:bodyPr/>
                  <a:lstStyle/>
                  <a:p>
                    <a:fld id="{3D821911-F4ED-485F-9158-0BC0F407839E}"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0-BC45-4F15-BA94-13E275B1473A}"/>
                </c:ext>
              </c:extLst>
            </c:dLbl>
            <c:dLbl>
              <c:idx val="65"/>
              <c:tx>
                <c:rich>
                  <a:bodyPr/>
                  <a:lstStyle/>
                  <a:p>
                    <a:fld id="{70FBD627-1241-4759-AFF2-30066E2D2F2F}"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1-BC45-4F15-BA94-13E275B1473A}"/>
                </c:ext>
              </c:extLst>
            </c:dLbl>
            <c:dLbl>
              <c:idx val="66"/>
              <c:tx>
                <c:rich>
                  <a:bodyPr/>
                  <a:lstStyle/>
                  <a:p>
                    <a:fld id="{841AA7F1-2549-4A76-87E1-C94DB1CFA49F}"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BC45-4F15-BA94-13E275B1473A}"/>
                </c:ext>
              </c:extLst>
            </c:dLbl>
            <c:dLbl>
              <c:idx val="67"/>
              <c:tx>
                <c:rich>
                  <a:bodyPr/>
                  <a:lstStyle/>
                  <a:p>
                    <a:fld id="{21F817FD-7FAB-44A5-9498-3816E84E7E4D}"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3-BC45-4F15-BA94-13E275B1473A}"/>
                </c:ext>
              </c:extLst>
            </c:dLbl>
            <c:dLbl>
              <c:idx val="68"/>
              <c:tx>
                <c:rich>
                  <a:bodyPr/>
                  <a:lstStyle/>
                  <a:p>
                    <a:fld id="{37ACFE87-A047-4C4E-85DD-79A33B92C035}"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4-BC45-4F15-BA94-13E275B1473A}"/>
                </c:ext>
              </c:extLst>
            </c:dLbl>
            <c:dLbl>
              <c:idx val="69"/>
              <c:tx>
                <c:rich>
                  <a:bodyPr/>
                  <a:lstStyle/>
                  <a:p>
                    <a:fld id="{4ABCB860-4558-4B8E-915B-801E5BC3DD7E}"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5-BC45-4F15-BA94-13E275B1473A}"/>
                </c:ext>
              </c:extLst>
            </c:dLbl>
            <c:dLbl>
              <c:idx val="70"/>
              <c:tx>
                <c:rich>
                  <a:bodyPr/>
                  <a:lstStyle/>
                  <a:p>
                    <a:fld id="{5701A20F-33DF-48B0-BCB9-8B4550BCA496}"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6-BC45-4F15-BA94-13E275B1473A}"/>
                </c:ext>
              </c:extLst>
            </c:dLbl>
            <c:dLbl>
              <c:idx val="71"/>
              <c:tx>
                <c:rich>
                  <a:bodyPr/>
                  <a:lstStyle/>
                  <a:p>
                    <a:fld id="{B5E9BE5A-14B7-4D74-8115-4F791D0C7347}"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7-BC45-4F15-BA94-13E275B1473A}"/>
                </c:ext>
              </c:extLst>
            </c:dLbl>
            <c:dLbl>
              <c:idx val="72"/>
              <c:tx>
                <c:rich>
                  <a:bodyPr/>
                  <a:lstStyle/>
                  <a:p>
                    <a:fld id="{4D4B6788-4000-471D-A9C8-E972CFEEDBC4}"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8-BC45-4F15-BA94-13E275B1473A}"/>
                </c:ext>
              </c:extLst>
            </c:dLbl>
            <c:dLbl>
              <c:idx val="73"/>
              <c:tx>
                <c:rich>
                  <a:bodyPr/>
                  <a:lstStyle/>
                  <a:p>
                    <a:fld id="{EFB513F6-915D-4F8F-8D14-1C496AD146E3}"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9-BC45-4F15-BA94-13E275B1473A}"/>
                </c:ext>
              </c:extLst>
            </c:dLbl>
            <c:dLbl>
              <c:idx val="74"/>
              <c:tx>
                <c:rich>
                  <a:bodyPr/>
                  <a:lstStyle/>
                  <a:p>
                    <a:fld id="{789F41FC-48A9-44E2-BE89-393E2E0544B9}"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A-BC45-4F15-BA94-13E275B1473A}"/>
                </c:ext>
              </c:extLst>
            </c:dLbl>
            <c:dLbl>
              <c:idx val="75"/>
              <c:tx>
                <c:rich>
                  <a:bodyPr/>
                  <a:lstStyle/>
                  <a:p>
                    <a:fld id="{0CC1B324-79AB-4AC9-87BA-9E232972DA3E}"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B-BC45-4F15-BA94-13E275B1473A}"/>
                </c:ext>
              </c:extLst>
            </c:dLbl>
            <c:dLbl>
              <c:idx val="76"/>
              <c:tx>
                <c:rich>
                  <a:bodyPr/>
                  <a:lstStyle/>
                  <a:p>
                    <a:fld id="{6E4CAFE4-CEAB-460E-B326-54CE8386DED4}"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C-BC45-4F15-BA94-13E275B1473A}"/>
                </c:ext>
              </c:extLst>
            </c:dLbl>
            <c:dLbl>
              <c:idx val="77"/>
              <c:tx>
                <c:rich>
                  <a:bodyPr/>
                  <a:lstStyle/>
                  <a:p>
                    <a:fld id="{6BEE6344-F228-49E0-9411-38C58C014903}"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D-BC45-4F15-BA94-13E275B1473A}"/>
                </c:ext>
              </c:extLst>
            </c:dLbl>
            <c:dLbl>
              <c:idx val="78"/>
              <c:tx>
                <c:rich>
                  <a:bodyPr/>
                  <a:lstStyle/>
                  <a:p>
                    <a:fld id="{9BAC4B22-15A1-4471-95B3-A7A1A715EC3B}"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E-BC45-4F15-BA94-13E275B1473A}"/>
                </c:ext>
              </c:extLst>
            </c:dLbl>
            <c:dLbl>
              <c:idx val="79"/>
              <c:tx>
                <c:rich>
                  <a:bodyPr/>
                  <a:lstStyle/>
                  <a:p>
                    <a:fld id="{EA290E27-FA28-45A6-908F-FFDCEB9A3750}"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F-BC45-4F15-BA94-13E275B1473A}"/>
                </c:ext>
              </c:extLst>
            </c:dLbl>
            <c:dLbl>
              <c:idx val="80"/>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0-BC45-4F15-BA94-13E275B1473A}"/>
                </c:ext>
              </c:extLst>
            </c:dLbl>
            <c:dLbl>
              <c:idx val="81"/>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1-BC45-4F15-BA94-13E275B1473A}"/>
                </c:ext>
              </c:extLst>
            </c:dLbl>
            <c:dLbl>
              <c:idx val="82"/>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2-BC45-4F15-BA94-13E275B1473A}"/>
                </c:ext>
              </c:extLst>
            </c:dLbl>
            <c:dLbl>
              <c:idx val="83"/>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3-BC45-4F15-BA94-13E275B1473A}"/>
                </c:ext>
              </c:extLst>
            </c:dLbl>
            <c:dLbl>
              <c:idx val="84"/>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4-BC45-4F15-BA94-13E275B1473A}"/>
                </c:ext>
              </c:extLst>
            </c:dLbl>
            <c:dLbl>
              <c:idx val="85"/>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5-BC45-4F15-BA94-13E275B1473A}"/>
                </c:ext>
              </c:extLst>
            </c:dLbl>
            <c:dLbl>
              <c:idx val="86"/>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6-BC45-4F15-BA94-13E275B1473A}"/>
                </c:ext>
              </c:extLst>
            </c:dLbl>
            <c:dLbl>
              <c:idx val="87"/>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7-BC45-4F15-BA94-13E275B1473A}"/>
                </c:ext>
              </c:extLst>
            </c:dLbl>
            <c:dLbl>
              <c:idx val="88"/>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8-BC45-4F15-BA94-13E275B1473A}"/>
                </c:ext>
              </c:extLst>
            </c:dLbl>
            <c:dLbl>
              <c:idx val="89"/>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9-BC45-4F15-BA94-13E275B1473A}"/>
                </c:ext>
              </c:extLst>
            </c:dLbl>
            <c:dLbl>
              <c:idx val="90"/>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A-BC45-4F15-BA94-13E275B1473A}"/>
                </c:ext>
              </c:extLst>
            </c:dLbl>
            <c:dLbl>
              <c:idx val="91"/>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B-BC45-4F15-BA94-13E275B1473A}"/>
                </c:ext>
              </c:extLst>
            </c:dLbl>
            <c:dLbl>
              <c:idx val="92"/>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C-BC45-4F15-BA94-13E275B1473A}"/>
                </c:ext>
              </c:extLst>
            </c:dLbl>
            <c:dLbl>
              <c:idx val="93"/>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D-BC45-4F15-BA94-13E275B1473A}"/>
                </c:ext>
              </c:extLst>
            </c:dLbl>
            <c:spPr>
              <a:noFill/>
              <a:ln>
                <a:noFill/>
              </a:ln>
              <a:effectLst/>
            </c:spPr>
            <c:txPr>
              <a:bodyPr wrap="square" lIns="38100" tIns="19050" rIns="38100" bIns="19050" anchor="ctr">
                <a:spAutoFit/>
              </a:bodyPr>
              <a:lstStyle/>
              <a:p>
                <a:pPr>
                  <a:defRPr sz="1000" baseline="0">
                    <a:solidFill>
                      <a:schemeClr val="bg1">
                        <a:lumMod val="75000"/>
                      </a:schemeClr>
                    </a:solidFill>
                  </a:defRPr>
                </a:pPr>
                <a:endParaRPr lang="fr-FR"/>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trendline>
            <c:spPr>
              <a:ln w="38100">
                <a:solidFill>
                  <a:srgbClr val="000000"/>
                </a:solidFill>
                <a:prstDash val="sysDash"/>
              </a:ln>
            </c:spPr>
            <c:trendlineType val="linear"/>
            <c:dispRSqr val="0"/>
            <c:dispEq val="0"/>
          </c:trendline>
          <c:trendline>
            <c:trendlineType val="linear"/>
            <c:dispRSqr val="0"/>
            <c:dispEq val="0"/>
          </c:trendline>
          <c:xVal>
            <c:numRef>
              <c:f>OPEX!$F$63:$F$156</c:f>
              <c:numCache>
                <c:formatCode>General</c:formatCode>
                <c:ptCount val="94"/>
                <c:pt idx="0">
                  <c:v>10.118334000000001</c:v>
                </c:pt>
                <c:pt idx="1">
                  <c:v>10.84305</c:v>
                </c:pt>
                <c:pt idx="2">
                  <c:v>10.022606</c:v>
                </c:pt>
                <c:pt idx="3">
                  <c:v>11.288049000000001</c:v>
                </c:pt>
                <c:pt idx="4">
                  <c:v>10.828506000000001</c:v>
                </c:pt>
                <c:pt idx="5">
                  <c:v>11.729756999999999</c:v>
                </c:pt>
                <c:pt idx="6">
                  <c:v>11.444082</c:v>
                </c:pt>
                <c:pt idx="7">
                  <c:v>11.774803</c:v>
                </c:pt>
                <c:pt idx="8">
                  <c:v>11.93661</c:v>
                </c:pt>
                <c:pt idx="9">
                  <c:v>11.47833</c:v>
                </c:pt>
                <c:pt idx="10">
                  <c:v>12.968496999999999</c:v>
                </c:pt>
                <c:pt idx="11">
                  <c:v>11.811070000000001</c:v>
                </c:pt>
                <c:pt idx="12">
                  <c:v>10.886571</c:v>
                </c:pt>
                <c:pt idx="13">
                  <c:v>10.475289</c:v>
                </c:pt>
                <c:pt idx="14">
                  <c:v>11.597818999999999</c:v>
                </c:pt>
                <c:pt idx="15">
                  <c:v>11.905601000000001</c:v>
                </c:pt>
                <c:pt idx="16">
                  <c:v>10.540806</c:v>
                </c:pt>
                <c:pt idx="17">
                  <c:v>9.5430659999999996</c:v>
                </c:pt>
                <c:pt idx="18">
                  <c:v>11.965040999999999</c:v>
                </c:pt>
                <c:pt idx="19">
                  <c:v>10.597920999999999</c:v>
                </c:pt>
                <c:pt idx="20">
                  <c:v>11.876547</c:v>
                </c:pt>
                <c:pt idx="21">
                  <c:v>12.572234999999999</c:v>
                </c:pt>
                <c:pt idx="22">
                  <c:v>12.281748</c:v>
                </c:pt>
                <c:pt idx="23">
                  <c:v>9.7028049999999997</c:v>
                </c:pt>
                <c:pt idx="24">
                  <c:v>12.793189999999999</c:v>
                </c:pt>
                <c:pt idx="25">
                  <c:v>10.821941000000001</c:v>
                </c:pt>
                <c:pt idx="26">
                  <c:v>11.208905</c:v>
                </c:pt>
                <c:pt idx="27">
                  <c:v>12.962356</c:v>
                </c:pt>
                <c:pt idx="28">
                  <c:v>11.091710000000001</c:v>
                </c:pt>
                <c:pt idx="29">
                  <c:v>14.123013</c:v>
                </c:pt>
                <c:pt idx="30">
                  <c:v>13.458119</c:v>
                </c:pt>
                <c:pt idx="31">
                  <c:v>10.350272</c:v>
                </c:pt>
                <c:pt idx="32">
                  <c:v>11.462718000000001</c:v>
                </c:pt>
                <c:pt idx="33">
                  <c:v>11.645144</c:v>
                </c:pt>
                <c:pt idx="34">
                  <c:v>11.377736000000001</c:v>
                </c:pt>
                <c:pt idx="35">
                  <c:v>9.0439179999999997</c:v>
                </c:pt>
                <c:pt idx="36">
                  <c:v>10.975311</c:v>
                </c:pt>
                <c:pt idx="37">
                  <c:v>11.147911000000001</c:v>
                </c:pt>
                <c:pt idx="38">
                  <c:v>12.123555</c:v>
                </c:pt>
                <c:pt idx="39">
                  <c:v>10.743876</c:v>
                </c:pt>
                <c:pt idx="40">
                  <c:v>11.371543000000001</c:v>
                </c:pt>
                <c:pt idx="41">
                  <c:v>12.809893000000001</c:v>
                </c:pt>
                <c:pt idx="42">
                  <c:v>12.135802</c:v>
                </c:pt>
                <c:pt idx="43">
                  <c:v>11.329537999999999</c:v>
                </c:pt>
                <c:pt idx="44">
                  <c:v>12.735015000000001</c:v>
                </c:pt>
                <c:pt idx="45">
                  <c:v>12.135297</c:v>
                </c:pt>
                <c:pt idx="46">
                  <c:v>11.718181</c:v>
                </c:pt>
                <c:pt idx="47">
                  <c:v>10.063784</c:v>
                </c:pt>
                <c:pt idx="48">
                  <c:v>10.714174</c:v>
                </c:pt>
                <c:pt idx="49">
                  <c:v>10.788695000000001</c:v>
                </c:pt>
                <c:pt idx="50">
                  <c:v>10.456121</c:v>
                </c:pt>
                <c:pt idx="51">
                  <c:v>13.140942000000001</c:v>
                </c:pt>
                <c:pt idx="52">
                  <c:v>11.354266000000001</c:v>
                </c:pt>
                <c:pt idx="53">
                  <c:v>11.663477</c:v>
                </c:pt>
                <c:pt idx="54">
                  <c:v>13.746808</c:v>
                </c:pt>
                <c:pt idx="55">
                  <c:v>11.041888</c:v>
                </c:pt>
                <c:pt idx="56">
                  <c:v>11.285651</c:v>
                </c:pt>
                <c:pt idx="57">
                  <c:v>9.9987619999999993</c:v>
                </c:pt>
                <c:pt idx="58">
                  <c:v>12.545683</c:v>
                </c:pt>
                <c:pt idx="59">
                  <c:v>9.7598959999999995</c:v>
                </c:pt>
                <c:pt idx="60">
                  <c:v>13.106968999999999</c:v>
                </c:pt>
                <c:pt idx="61">
                  <c:v>11.168969000000001</c:v>
                </c:pt>
                <c:pt idx="62">
                  <c:v>11.241837</c:v>
                </c:pt>
                <c:pt idx="63">
                  <c:v>13.379887</c:v>
                </c:pt>
                <c:pt idx="64">
                  <c:v>12.548774</c:v>
                </c:pt>
                <c:pt idx="65">
                  <c:v>12.584042999999999</c:v>
                </c:pt>
                <c:pt idx="66">
                  <c:v>12.439724</c:v>
                </c:pt>
                <c:pt idx="67">
                  <c:v>12.761041000000001</c:v>
                </c:pt>
                <c:pt idx="68">
                  <c:v>12.859813000000001</c:v>
                </c:pt>
                <c:pt idx="69">
                  <c:v>12.402651000000001</c:v>
                </c:pt>
                <c:pt idx="70">
                  <c:v>12.266624999999999</c:v>
                </c:pt>
                <c:pt idx="71">
                  <c:v>13.339931999999999</c:v>
                </c:pt>
                <c:pt idx="72">
                  <c:v>13.747017</c:v>
                </c:pt>
                <c:pt idx="73">
                  <c:v>13.792908000000001</c:v>
                </c:pt>
                <c:pt idx="74">
                  <c:v>13.977522</c:v>
                </c:pt>
                <c:pt idx="75">
                  <c:v>12.700098000000001</c:v>
                </c:pt>
                <c:pt idx="76">
                  <c:v>13.476639</c:v>
                </c:pt>
                <c:pt idx="77">
                  <c:v>12.929784</c:v>
                </c:pt>
                <c:pt idx="78">
                  <c:v>13.594367999999999</c:v>
                </c:pt>
                <c:pt idx="79">
                  <c:v>15.525518999999999</c:v>
                </c:pt>
              </c:numCache>
            </c:numRef>
          </c:xVal>
          <c:yVal>
            <c:numRef>
              <c:f>OPEX!$D$63:$D$156</c:f>
              <c:numCache>
                <c:formatCode>General</c:formatCode>
                <c:ptCount val="94"/>
                <c:pt idx="0">
                  <c:v>9.9399996000000002</c:v>
                </c:pt>
                <c:pt idx="1">
                  <c:v>10.0200005</c:v>
                </c:pt>
                <c:pt idx="2">
                  <c:v>10</c:v>
                </c:pt>
                <c:pt idx="3">
                  <c:v>10.5</c:v>
                </c:pt>
                <c:pt idx="4">
                  <c:v>10.779999699999999</c:v>
                </c:pt>
                <c:pt idx="5">
                  <c:v>10.449999800000001</c:v>
                </c:pt>
                <c:pt idx="6">
                  <c:v>11.0200005</c:v>
                </c:pt>
                <c:pt idx="7">
                  <c:v>10.800000199999999</c:v>
                </c:pt>
                <c:pt idx="8">
                  <c:v>10.8800001</c:v>
                </c:pt>
                <c:pt idx="9">
                  <c:v>11.0600004</c:v>
                </c:pt>
                <c:pt idx="10">
                  <c:v>11.0900002</c:v>
                </c:pt>
                <c:pt idx="11">
                  <c:v>11.6199999</c:v>
                </c:pt>
                <c:pt idx="12">
                  <c:v>9.9600000000000009</c:v>
                </c:pt>
                <c:pt idx="13">
                  <c:v>9.5</c:v>
                </c:pt>
                <c:pt idx="14">
                  <c:v>9.9899997999999997</c:v>
                </c:pt>
                <c:pt idx="15">
                  <c:v>10.0100002</c:v>
                </c:pt>
                <c:pt idx="16">
                  <c:v>9.8299999000000007</c:v>
                </c:pt>
                <c:pt idx="17">
                  <c:v>9.5699997000000003</c:v>
                </c:pt>
                <c:pt idx="18">
                  <c:v>9.9200000999999993</c:v>
                </c:pt>
                <c:pt idx="19">
                  <c:v>11.670000099999999</c:v>
                </c:pt>
                <c:pt idx="20">
                  <c:v>11.5</c:v>
                </c:pt>
                <c:pt idx="21">
                  <c:v>11.3699999</c:v>
                </c:pt>
                <c:pt idx="22">
                  <c:v>11.5900002</c:v>
                </c:pt>
                <c:pt idx="23">
                  <c:v>9.8800001000000002</c:v>
                </c:pt>
                <c:pt idx="24">
                  <c:v>11.8400002</c:v>
                </c:pt>
                <c:pt idx="25">
                  <c:v>10</c:v>
                </c:pt>
                <c:pt idx="26">
                  <c:v>10.100000400000001</c:v>
                </c:pt>
                <c:pt idx="27">
                  <c:v>11.399999599999999</c:v>
                </c:pt>
                <c:pt idx="28">
                  <c:v>10.279999699999999</c:v>
                </c:pt>
                <c:pt idx="29">
                  <c:v>12.21</c:v>
                </c:pt>
                <c:pt idx="30">
                  <c:v>11.9399996</c:v>
                </c:pt>
                <c:pt idx="31">
                  <c:v>10.3699999</c:v>
                </c:pt>
                <c:pt idx="32">
                  <c:v>10.3800001</c:v>
                </c:pt>
                <c:pt idx="33">
                  <c:v>9.8800001000000002</c:v>
                </c:pt>
                <c:pt idx="34">
                  <c:v>12.079999900000001</c:v>
                </c:pt>
                <c:pt idx="35">
                  <c:v>9.0799999000000007</c:v>
                </c:pt>
                <c:pt idx="36">
                  <c:v>10.800000199999999</c:v>
                </c:pt>
                <c:pt idx="37">
                  <c:v>9.3599996999999995</c:v>
                </c:pt>
                <c:pt idx="38">
                  <c:v>12.449999800000001</c:v>
                </c:pt>
                <c:pt idx="39">
                  <c:v>10.920000099999999</c:v>
                </c:pt>
                <c:pt idx="40">
                  <c:v>10.949999800000001</c:v>
                </c:pt>
                <c:pt idx="41">
                  <c:v>10.9899998</c:v>
                </c:pt>
                <c:pt idx="42">
                  <c:v>11</c:v>
                </c:pt>
                <c:pt idx="43">
                  <c:v>9.9700003000000006</c:v>
                </c:pt>
                <c:pt idx="44">
                  <c:v>12.899999599999999</c:v>
                </c:pt>
                <c:pt idx="45">
                  <c:v>10.529999699999999</c:v>
                </c:pt>
                <c:pt idx="46">
                  <c:v>11.0600004</c:v>
                </c:pt>
                <c:pt idx="47">
                  <c:v>9.1000004000000008</c:v>
                </c:pt>
                <c:pt idx="48">
                  <c:v>8.9700003000000006</c:v>
                </c:pt>
                <c:pt idx="49">
                  <c:v>11.1199999</c:v>
                </c:pt>
                <c:pt idx="50">
                  <c:v>9.2299994999999999</c:v>
                </c:pt>
                <c:pt idx="51">
                  <c:v>11.2299995</c:v>
                </c:pt>
                <c:pt idx="52">
                  <c:v>11.2299995</c:v>
                </c:pt>
                <c:pt idx="53">
                  <c:v>11.2399998</c:v>
                </c:pt>
                <c:pt idx="54">
                  <c:v>12.5600004</c:v>
                </c:pt>
                <c:pt idx="55">
                  <c:v>10.0699997</c:v>
                </c:pt>
                <c:pt idx="56">
                  <c:v>9.9399996000000002</c:v>
                </c:pt>
                <c:pt idx="57">
                  <c:v>10.2399998</c:v>
                </c:pt>
                <c:pt idx="58">
                  <c:v>11.420000099999999</c:v>
                </c:pt>
                <c:pt idx="59">
                  <c:v>10.5</c:v>
                </c:pt>
                <c:pt idx="60">
                  <c:v>13.140000300000001</c:v>
                </c:pt>
                <c:pt idx="61">
                  <c:v>11.699999800000001</c:v>
                </c:pt>
                <c:pt idx="62">
                  <c:v>10.3800001</c:v>
                </c:pt>
                <c:pt idx="63">
                  <c:v>13.350000400000001</c:v>
                </c:pt>
                <c:pt idx="64">
                  <c:v>12.6599998</c:v>
                </c:pt>
                <c:pt idx="65">
                  <c:v>11.9899998</c:v>
                </c:pt>
                <c:pt idx="66">
                  <c:v>12</c:v>
                </c:pt>
                <c:pt idx="67">
                  <c:v>12</c:v>
                </c:pt>
                <c:pt idx="68">
                  <c:v>13.1599998</c:v>
                </c:pt>
                <c:pt idx="69">
                  <c:v>12.170000099999999</c:v>
                </c:pt>
                <c:pt idx="70">
                  <c:v>10.970000300000001</c:v>
                </c:pt>
                <c:pt idx="71">
                  <c:v>12.2600002</c:v>
                </c:pt>
                <c:pt idx="72">
                  <c:v>13.029999699999999</c:v>
                </c:pt>
                <c:pt idx="73">
                  <c:v>12.359999699999999</c:v>
                </c:pt>
                <c:pt idx="74">
                  <c:v>12.399999599999999</c:v>
                </c:pt>
                <c:pt idx="75">
                  <c:v>12.5</c:v>
                </c:pt>
                <c:pt idx="76">
                  <c:v>12.600000400000001</c:v>
                </c:pt>
                <c:pt idx="77">
                  <c:v>12.670000099999999</c:v>
                </c:pt>
                <c:pt idx="78">
                  <c:v>12.699999800000001</c:v>
                </c:pt>
                <c:pt idx="79">
                  <c:v>14.4300003</c:v>
                </c:pt>
              </c:numCache>
            </c:numRef>
          </c:yVal>
          <c:smooth val="0"/>
          <c:extLst>
            <c:ext xmlns:c15="http://schemas.microsoft.com/office/drawing/2012/chart" uri="{02D57815-91ED-43cb-92C2-25804820EDAC}">
              <c15:datalabelsRange>
                <c15:f>OPEX!$B$63:$B$142</c15:f>
                <c15:dlblRangeCache>
                  <c:ptCount val="8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15:dlblRangeCache>
              </c15:datalabelsRange>
            </c:ext>
            <c:ext xmlns:c16="http://schemas.microsoft.com/office/drawing/2014/chart" uri="{C3380CC4-5D6E-409C-BE32-E72D297353CC}">
              <c16:uniqueId val="{00000060-BC45-4F15-BA94-13E275B1473A}"/>
            </c:ext>
          </c:extLst>
        </c:ser>
        <c:ser>
          <c:idx val="1"/>
          <c:order val="1"/>
          <c:tx>
            <c:v>45°</c:v>
          </c:tx>
          <c:spPr>
            <a:ln w="25400">
              <a:solidFill>
                <a:srgbClr val="FF0000"/>
              </a:solidFill>
              <a:prstDash val="solid"/>
            </a:ln>
          </c:spPr>
          <c:marker>
            <c:symbol val="none"/>
          </c:marker>
          <c:xVal>
            <c:numRef>
              <c:f>OPEX!$E$10:$E$11</c:f>
              <c:numCache>
                <c:formatCode>0.00</c:formatCode>
                <c:ptCount val="2"/>
                <c:pt idx="0">
                  <c:v>8</c:v>
                </c:pt>
                <c:pt idx="1">
                  <c:v>17</c:v>
                </c:pt>
              </c:numCache>
            </c:numRef>
          </c:xVal>
          <c:yVal>
            <c:numRef>
              <c:f>OPEX!$E$10:$E$11</c:f>
              <c:numCache>
                <c:formatCode>0.00</c:formatCode>
                <c:ptCount val="2"/>
                <c:pt idx="0">
                  <c:v>8</c:v>
                </c:pt>
                <c:pt idx="1">
                  <c:v>17</c:v>
                </c:pt>
              </c:numCache>
            </c:numRef>
          </c:yVal>
          <c:smooth val="0"/>
          <c:extLst>
            <c:ext xmlns:c16="http://schemas.microsoft.com/office/drawing/2014/chart" uri="{C3380CC4-5D6E-409C-BE32-E72D297353CC}">
              <c16:uniqueId val="{00000061-BC45-4F15-BA94-13E275B1473A}"/>
            </c:ext>
          </c:extLst>
        </c:ser>
        <c:ser>
          <c:idx val="2"/>
          <c:order val="2"/>
          <c:tx>
            <c:v>45°-Bias</c:v>
          </c:tx>
          <c:spPr>
            <a:ln w="38100">
              <a:solidFill>
                <a:srgbClr val="0000FF"/>
              </a:solidFill>
              <a:prstDash val="lgDashDotDot"/>
            </a:ln>
          </c:spPr>
          <c:marker>
            <c:symbol val="none"/>
          </c:marker>
          <c:xVal>
            <c:numRef>
              <c:f>OPEX!$W$10:$W$11</c:f>
              <c:numCache>
                <c:formatCode>0.00</c:formatCode>
                <c:ptCount val="2"/>
                <c:pt idx="0">
                  <c:v>8.7174794450000004</c:v>
                </c:pt>
                <c:pt idx="1">
                  <c:v>17.717479445000002</c:v>
                </c:pt>
              </c:numCache>
            </c:numRef>
          </c:xVal>
          <c:yVal>
            <c:numRef>
              <c:f>OPEX!$E$10:$E$11</c:f>
              <c:numCache>
                <c:formatCode>0.00</c:formatCode>
                <c:ptCount val="2"/>
                <c:pt idx="0">
                  <c:v>8</c:v>
                </c:pt>
                <c:pt idx="1">
                  <c:v>17</c:v>
                </c:pt>
              </c:numCache>
            </c:numRef>
          </c:yVal>
          <c:smooth val="0"/>
          <c:extLst>
            <c:ext xmlns:c16="http://schemas.microsoft.com/office/drawing/2014/chart" uri="{C3380CC4-5D6E-409C-BE32-E72D297353CC}">
              <c16:uniqueId val="{00000062-BC45-4F15-BA94-13E275B1473A}"/>
            </c:ext>
          </c:extLst>
        </c:ser>
        <c:ser>
          <c:idx val="3"/>
          <c:order val="3"/>
          <c:tx>
            <c:v>Least Rec </c:v>
          </c:tx>
          <c:spPr>
            <a:ln w="25400">
              <a:solidFill>
                <a:srgbClr val="FF9900"/>
              </a:solidFill>
              <a:prstDash val="sysDash"/>
            </a:ln>
          </c:spPr>
          <c:marker>
            <c:symbol val="none"/>
          </c:marker>
          <c:xVal>
            <c:numRef>
              <c:f>OPEX!$Y$19:$Y$20</c:f>
              <c:numCache>
                <c:formatCode>General</c:formatCode>
                <c:ptCount val="2"/>
                <c:pt idx="0">
                  <c:v>8</c:v>
                </c:pt>
                <c:pt idx="1">
                  <c:v>17</c:v>
                </c:pt>
              </c:numCache>
            </c:numRef>
          </c:xVal>
          <c:yVal>
            <c:numRef>
              <c:f>OPEX!$X$19:$X$20</c:f>
              <c:numCache>
                <c:formatCode>0.000</c:formatCode>
                <c:ptCount val="2"/>
                <c:pt idx="0">
                  <c:v>7.4748229597893427</c:v>
                </c:pt>
                <c:pt idx="1">
                  <c:v>16.02258074709334</c:v>
                </c:pt>
              </c:numCache>
            </c:numRef>
          </c:yVal>
          <c:smooth val="0"/>
          <c:extLst>
            <c:ext xmlns:c16="http://schemas.microsoft.com/office/drawing/2014/chart" uri="{C3380CC4-5D6E-409C-BE32-E72D297353CC}">
              <c16:uniqueId val="{00000063-BC45-4F15-BA94-13E275B1473A}"/>
            </c:ext>
          </c:extLst>
        </c:ser>
        <c:dLbls>
          <c:showLegendKey val="0"/>
          <c:showVal val="0"/>
          <c:showCatName val="0"/>
          <c:showSerName val="0"/>
          <c:showPercent val="0"/>
          <c:showBubbleSize val="0"/>
        </c:dLbls>
        <c:axId val="159636864"/>
        <c:axId val="201328128"/>
      </c:scatterChart>
      <c:valAx>
        <c:axId val="159636864"/>
        <c:scaling>
          <c:orientation val="minMax"/>
          <c:max val="18"/>
          <c:min val="8"/>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775" b="0" i="0" u="none" strike="noStrike" baseline="0">
                <a:solidFill>
                  <a:srgbClr val="000000"/>
                </a:solidFill>
                <a:latin typeface="Arial"/>
                <a:ea typeface="Arial"/>
                <a:cs typeface="Arial"/>
              </a:defRPr>
            </a:pPr>
            <a:endParaRPr lang="fr-FR"/>
          </a:p>
        </c:txPr>
        <c:crossAx val="201328128"/>
        <c:crosses val="autoZero"/>
        <c:crossBetween val="midCat"/>
      </c:valAx>
      <c:valAx>
        <c:axId val="201328128"/>
        <c:scaling>
          <c:orientation val="minMax"/>
          <c:min val="8"/>
        </c:scaling>
        <c:delete val="0"/>
        <c:axPos val="l"/>
        <c:numFmt formatCode="General" sourceLinked="1"/>
        <c:majorTickMark val="out"/>
        <c:minorTickMark val="none"/>
        <c:tickLblPos val="nextTo"/>
        <c:spPr>
          <a:ln w="3175">
            <a:solidFill>
              <a:srgbClr val="000000"/>
            </a:solidFill>
            <a:prstDash val="solid"/>
          </a:ln>
        </c:spPr>
        <c:txPr>
          <a:bodyPr rot="0" vert="horz"/>
          <a:lstStyle/>
          <a:p>
            <a:pPr>
              <a:defRPr sz="1775" b="0" i="0" u="none" strike="noStrike" baseline="0">
                <a:solidFill>
                  <a:srgbClr val="000000"/>
                </a:solidFill>
                <a:latin typeface="Arial"/>
                <a:ea typeface="Arial"/>
                <a:cs typeface="Arial"/>
              </a:defRPr>
            </a:pPr>
            <a:endParaRPr lang="fr-FR"/>
          </a:p>
        </c:txPr>
        <c:crossAx val="159636864"/>
        <c:crosses val="autoZero"/>
        <c:crossBetween val="midCat"/>
      </c:valAx>
      <c:spPr>
        <a:noFill/>
        <a:ln w="12700">
          <a:solidFill>
            <a:srgbClr val="808080"/>
          </a:solidFill>
          <a:prstDash val="solid"/>
        </a:ln>
      </c:spPr>
    </c:plotArea>
    <c:legend>
      <c:legendPos val="r"/>
      <c:legendEntry>
        <c:idx val="5"/>
        <c:delete val="1"/>
      </c:legendEntry>
      <c:layout>
        <c:manualLayout>
          <c:xMode val="edge"/>
          <c:yMode val="edge"/>
          <c:x val="0.79767434134024384"/>
          <c:y val="0.33862478127734036"/>
          <c:w val="0.15397255752001976"/>
          <c:h val="0.2372110830586843"/>
        </c:manualLayout>
      </c:layout>
      <c:overlay val="0"/>
      <c:spPr>
        <a:solidFill>
          <a:srgbClr val="FFFFFF"/>
        </a:solidFill>
        <a:ln w="3175">
          <a:solidFill>
            <a:srgbClr val="000000"/>
          </a:solidFill>
          <a:prstDash val="solid"/>
        </a:ln>
      </c:spPr>
      <c:txPr>
        <a:bodyPr/>
        <a:lstStyle/>
        <a:p>
          <a:pPr>
            <a:defRPr sz="1350" b="1" i="0" u="none" strike="noStrike" baseline="0">
              <a:solidFill>
                <a:srgbClr val="000000"/>
              </a:solidFill>
              <a:latin typeface="Arial"/>
              <a:ea typeface="Arial"/>
              <a:cs typeface="Arial"/>
            </a:defRPr>
          </a:pPr>
          <a:endParaRPr lang="fr-FR"/>
        </a:p>
      </c:txPr>
    </c:legend>
    <c:plotVisOnly val="1"/>
    <c:dispBlanksAs val="gap"/>
    <c:showDLblsOverMax val="0"/>
  </c:chart>
  <c:spPr>
    <a:solidFill>
      <a:srgbClr val="FFFFFF"/>
    </a:solidFill>
    <a:ln w="25400">
      <a:solidFill>
        <a:srgbClr val="000000"/>
      </a:solidFill>
      <a:prstDash val="solid"/>
    </a:ln>
  </c:spPr>
  <c:txPr>
    <a:bodyPr/>
    <a:lstStyle/>
    <a:p>
      <a:pPr>
        <a:defRPr sz="1775" b="0" i="0" u="none" strike="noStrike" baseline="0">
          <a:solidFill>
            <a:srgbClr val="000000"/>
          </a:solidFill>
          <a:latin typeface="Arial"/>
          <a:ea typeface="Arial"/>
          <a:cs typeface="Arial"/>
        </a:defRPr>
      </a:pPr>
      <a:endParaRPr lang="fr-FR"/>
    </a:p>
  </c:txPr>
  <c:printSettings>
    <c:headerFooter alignWithMargins="0"/>
    <c:pageMargins b="1" l="0.75000000000000377" r="0.75000000000000377" t="1" header="0.5" footer="0.5"/>
    <c:pageSetup paperSize="9" orientation="landscape"/>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400" baseline="0"/>
              <a:t>Residuals vs References</a:t>
            </a:r>
          </a:p>
        </c:rich>
      </c:tx>
      <c:layout>
        <c:manualLayout>
          <c:xMode val="edge"/>
          <c:yMode val="edge"/>
          <c:x val="0.56681818181818189"/>
          <c:y val="3.53109202638453E-3"/>
        </c:manualLayout>
      </c:layout>
      <c:overlay val="1"/>
    </c:title>
    <c:autoTitleDeleted val="0"/>
    <c:plotArea>
      <c:layout/>
      <c:scatterChart>
        <c:scatterStyle val="lineMarker"/>
        <c:varyColors val="0"/>
        <c:ser>
          <c:idx val="0"/>
          <c:order val="0"/>
          <c:spPr>
            <a:ln>
              <a:noFill/>
            </a:ln>
          </c:spPr>
          <c:trendline>
            <c:trendlineType val="linear"/>
            <c:dispRSqr val="0"/>
            <c:dispEq val="1"/>
            <c:trendlineLbl>
              <c:layout>
                <c:manualLayout>
                  <c:x val="5.4747515059074582E-2"/>
                  <c:y val="0.43633237847491585"/>
                </c:manualLayout>
              </c:layout>
              <c:numFmt formatCode="General" sourceLinked="0"/>
            </c:trendlineLbl>
          </c:trendline>
          <c:xVal>
            <c:numRef>
              <c:f>OPEX!$D$63:$D$156</c:f>
              <c:numCache>
                <c:formatCode>General</c:formatCode>
                <c:ptCount val="94"/>
                <c:pt idx="0">
                  <c:v>9.9399996000000002</c:v>
                </c:pt>
                <c:pt idx="1">
                  <c:v>10.0200005</c:v>
                </c:pt>
                <c:pt idx="2">
                  <c:v>10</c:v>
                </c:pt>
                <c:pt idx="3">
                  <c:v>10.5</c:v>
                </c:pt>
                <c:pt idx="4">
                  <c:v>10.779999699999999</c:v>
                </c:pt>
                <c:pt idx="5">
                  <c:v>10.449999800000001</c:v>
                </c:pt>
                <c:pt idx="6">
                  <c:v>11.0200005</c:v>
                </c:pt>
                <c:pt idx="7">
                  <c:v>10.800000199999999</c:v>
                </c:pt>
                <c:pt idx="8">
                  <c:v>10.8800001</c:v>
                </c:pt>
                <c:pt idx="9">
                  <c:v>11.0600004</c:v>
                </c:pt>
                <c:pt idx="10">
                  <c:v>11.0900002</c:v>
                </c:pt>
                <c:pt idx="11">
                  <c:v>11.6199999</c:v>
                </c:pt>
                <c:pt idx="12">
                  <c:v>9.9600000000000009</c:v>
                </c:pt>
                <c:pt idx="13">
                  <c:v>9.5</c:v>
                </c:pt>
                <c:pt idx="14">
                  <c:v>9.9899997999999997</c:v>
                </c:pt>
                <c:pt idx="15">
                  <c:v>10.0100002</c:v>
                </c:pt>
                <c:pt idx="16">
                  <c:v>9.8299999000000007</c:v>
                </c:pt>
                <c:pt idx="17">
                  <c:v>9.5699997000000003</c:v>
                </c:pt>
                <c:pt idx="18">
                  <c:v>9.9200000999999993</c:v>
                </c:pt>
                <c:pt idx="19">
                  <c:v>11.670000099999999</c:v>
                </c:pt>
                <c:pt idx="20">
                  <c:v>11.5</c:v>
                </c:pt>
                <c:pt idx="21">
                  <c:v>11.3699999</c:v>
                </c:pt>
                <c:pt idx="22">
                  <c:v>11.5900002</c:v>
                </c:pt>
                <c:pt idx="23">
                  <c:v>9.8800001000000002</c:v>
                </c:pt>
                <c:pt idx="24">
                  <c:v>11.8400002</c:v>
                </c:pt>
                <c:pt idx="25">
                  <c:v>10</c:v>
                </c:pt>
                <c:pt idx="26">
                  <c:v>10.100000400000001</c:v>
                </c:pt>
                <c:pt idx="27">
                  <c:v>11.399999599999999</c:v>
                </c:pt>
                <c:pt idx="28">
                  <c:v>10.279999699999999</c:v>
                </c:pt>
                <c:pt idx="29">
                  <c:v>12.21</c:v>
                </c:pt>
                <c:pt idx="30">
                  <c:v>11.9399996</c:v>
                </c:pt>
                <c:pt idx="31">
                  <c:v>10.3699999</c:v>
                </c:pt>
                <c:pt idx="32">
                  <c:v>10.3800001</c:v>
                </c:pt>
                <c:pt idx="33">
                  <c:v>9.8800001000000002</c:v>
                </c:pt>
                <c:pt idx="34">
                  <c:v>12.079999900000001</c:v>
                </c:pt>
                <c:pt idx="35">
                  <c:v>9.0799999000000007</c:v>
                </c:pt>
                <c:pt idx="36">
                  <c:v>10.800000199999999</c:v>
                </c:pt>
                <c:pt idx="37">
                  <c:v>9.3599996999999995</c:v>
                </c:pt>
                <c:pt idx="38">
                  <c:v>12.449999800000001</c:v>
                </c:pt>
                <c:pt idx="39">
                  <c:v>10.920000099999999</c:v>
                </c:pt>
                <c:pt idx="40">
                  <c:v>10.949999800000001</c:v>
                </c:pt>
                <c:pt idx="41">
                  <c:v>10.9899998</c:v>
                </c:pt>
                <c:pt idx="42">
                  <c:v>11</c:v>
                </c:pt>
                <c:pt idx="43">
                  <c:v>9.9700003000000006</c:v>
                </c:pt>
                <c:pt idx="44">
                  <c:v>12.899999599999999</c:v>
                </c:pt>
                <c:pt idx="45">
                  <c:v>10.529999699999999</c:v>
                </c:pt>
                <c:pt idx="46">
                  <c:v>11.0600004</c:v>
                </c:pt>
                <c:pt idx="47">
                  <c:v>9.1000004000000008</c:v>
                </c:pt>
                <c:pt idx="48">
                  <c:v>8.9700003000000006</c:v>
                </c:pt>
                <c:pt idx="49">
                  <c:v>11.1199999</c:v>
                </c:pt>
                <c:pt idx="50">
                  <c:v>9.2299994999999999</c:v>
                </c:pt>
                <c:pt idx="51">
                  <c:v>11.2299995</c:v>
                </c:pt>
                <c:pt idx="52">
                  <c:v>11.2299995</c:v>
                </c:pt>
                <c:pt idx="53">
                  <c:v>11.2399998</c:v>
                </c:pt>
                <c:pt idx="54">
                  <c:v>12.5600004</c:v>
                </c:pt>
                <c:pt idx="55">
                  <c:v>10.0699997</c:v>
                </c:pt>
                <c:pt idx="56">
                  <c:v>9.9399996000000002</c:v>
                </c:pt>
                <c:pt idx="57">
                  <c:v>10.2399998</c:v>
                </c:pt>
                <c:pt idx="58">
                  <c:v>11.420000099999999</c:v>
                </c:pt>
                <c:pt idx="59">
                  <c:v>10.5</c:v>
                </c:pt>
                <c:pt idx="60">
                  <c:v>13.140000300000001</c:v>
                </c:pt>
                <c:pt idx="61">
                  <c:v>11.699999800000001</c:v>
                </c:pt>
                <c:pt idx="62">
                  <c:v>10.3800001</c:v>
                </c:pt>
                <c:pt idx="63">
                  <c:v>13.350000400000001</c:v>
                </c:pt>
                <c:pt idx="64">
                  <c:v>12.6599998</c:v>
                </c:pt>
                <c:pt idx="65">
                  <c:v>11.9899998</c:v>
                </c:pt>
                <c:pt idx="66">
                  <c:v>12</c:v>
                </c:pt>
                <c:pt idx="67">
                  <c:v>12</c:v>
                </c:pt>
                <c:pt idx="68">
                  <c:v>13.1599998</c:v>
                </c:pt>
                <c:pt idx="69">
                  <c:v>12.170000099999999</c:v>
                </c:pt>
                <c:pt idx="70">
                  <c:v>10.970000300000001</c:v>
                </c:pt>
                <c:pt idx="71">
                  <c:v>12.2600002</c:v>
                </c:pt>
                <c:pt idx="72">
                  <c:v>13.029999699999999</c:v>
                </c:pt>
                <c:pt idx="73">
                  <c:v>12.359999699999999</c:v>
                </c:pt>
                <c:pt idx="74">
                  <c:v>12.399999599999999</c:v>
                </c:pt>
                <c:pt idx="75">
                  <c:v>12.5</c:v>
                </c:pt>
                <c:pt idx="76">
                  <c:v>12.600000400000001</c:v>
                </c:pt>
                <c:pt idx="77">
                  <c:v>12.670000099999999</c:v>
                </c:pt>
                <c:pt idx="78">
                  <c:v>12.699999800000001</c:v>
                </c:pt>
                <c:pt idx="79">
                  <c:v>14.4300003</c:v>
                </c:pt>
              </c:numCache>
            </c:numRef>
          </c:xVal>
          <c:yVal>
            <c:numRef>
              <c:f>OPEX!$G$63:$G$156</c:f>
              <c:numCache>
                <c:formatCode>0.00</c:formatCode>
                <c:ptCount val="94"/>
                <c:pt idx="0">
                  <c:v>0.17833440000000067</c:v>
                </c:pt>
                <c:pt idx="1">
                  <c:v>0.82304949999999977</c:v>
                </c:pt>
                <c:pt idx="2">
                  <c:v>2.2605999999999682E-2</c:v>
                </c:pt>
                <c:pt idx="3">
                  <c:v>0.78804900000000089</c:v>
                </c:pt>
                <c:pt idx="4">
                  <c:v>4.8506300000001445E-2</c:v>
                </c:pt>
                <c:pt idx="5">
                  <c:v>1.2797571999999988</c:v>
                </c:pt>
                <c:pt idx="6">
                  <c:v>0.42408149999999978</c:v>
                </c:pt>
                <c:pt idx="7">
                  <c:v>0.97480280000000086</c:v>
                </c:pt>
                <c:pt idx="8">
                  <c:v>1.0566098999999998</c:v>
                </c:pt>
                <c:pt idx="9">
                  <c:v>0.41832959999999986</c:v>
                </c:pt>
                <c:pt idx="10">
                  <c:v>1.8784967999999989</c:v>
                </c:pt>
                <c:pt idx="11">
                  <c:v>0.19107010000000102</c:v>
                </c:pt>
                <c:pt idx="12">
                  <c:v>0.92657099999999915</c:v>
                </c:pt>
                <c:pt idx="13">
                  <c:v>0.97528900000000007</c:v>
                </c:pt>
                <c:pt idx="14">
                  <c:v>1.6078191999999998</c:v>
                </c:pt>
                <c:pt idx="15">
                  <c:v>1.8956008000000004</c:v>
                </c:pt>
                <c:pt idx="16">
                  <c:v>0.71080609999999922</c:v>
                </c:pt>
                <c:pt idx="17">
                  <c:v>-2.6933700000000727E-2</c:v>
                </c:pt>
                <c:pt idx="18">
                  <c:v>2.0450409000000001</c:v>
                </c:pt>
                <c:pt idx="19">
                  <c:v>-1.0720790999999998</c:v>
                </c:pt>
                <c:pt idx="20">
                  <c:v>0.37654700000000041</c:v>
                </c:pt>
                <c:pt idx="21">
                  <c:v>1.2022350999999993</c:v>
                </c:pt>
                <c:pt idx="22">
                  <c:v>0.69174779999999991</c:v>
                </c:pt>
                <c:pt idx="23">
                  <c:v>-0.17719510000000049</c:v>
                </c:pt>
                <c:pt idx="24">
                  <c:v>0.95318979999999875</c:v>
                </c:pt>
                <c:pt idx="25">
                  <c:v>0.8219410000000007</c:v>
                </c:pt>
                <c:pt idx="26">
                  <c:v>1.1089045999999989</c:v>
                </c:pt>
                <c:pt idx="27">
                  <c:v>1.5623564000000005</c:v>
                </c:pt>
                <c:pt idx="28">
                  <c:v>0.81171030000000144</c:v>
                </c:pt>
                <c:pt idx="29">
                  <c:v>1.9130129999999994</c:v>
                </c:pt>
                <c:pt idx="30">
                  <c:v>1.5181193999999998</c:v>
                </c:pt>
                <c:pt idx="31">
                  <c:v>-1.9727899999999465E-2</c:v>
                </c:pt>
                <c:pt idx="32">
                  <c:v>1.0827179000000005</c:v>
                </c:pt>
                <c:pt idx="33">
                  <c:v>1.7651439</c:v>
                </c:pt>
                <c:pt idx="34">
                  <c:v>-0.70226390000000016</c:v>
                </c:pt>
                <c:pt idx="35">
                  <c:v>-3.6081900000000999E-2</c:v>
                </c:pt>
                <c:pt idx="36">
                  <c:v>0.1753108000000001</c:v>
                </c:pt>
                <c:pt idx="37">
                  <c:v>1.7879113000000011</c:v>
                </c:pt>
                <c:pt idx="38">
                  <c:v>-0.32644480000000087</c:v>
                </c:pt>
                <c:pt idx="39">
                  <c:v>-0.17612409999999912</c:v>
                </c:pt>
                <c:pt idx="40">
                  <c:v>0.42154320000000034</c:v>
                </c:pt>
                <c:pt idx="41">
                  <c:v>1.819893200000001</c:v>
                </c:pt>
                <c:pt idx="42">
                  <c:v>1.135802</c:v>
                </c:pt>
                <c:pt idx="43">
                  <c:v>1.3595376999999988</c:v>
                </c:pt>
                <c:pt idx="44">
                  <c:v>-0.16498459999999859</c:v>
                </c:pt>
                <c:pt idx="45">
                  <c:v>1.6052973000000001</c:v>
                </c:pt>
                <c:pt idx="46">
                  <c:v>0.65818059999999967</c:v>
                </c:pt>
                <c:pt idx="47">
                  <c:v>0.9637835999999993</c:v>
                </c:pt>
                <c:pt idx="48">
                  <c:v>1.7441736999999993</c:v>
                </c:pt>
                <c:pt idx="49">
                  <c:v>-0.33130489999999924</c:v>
                </c:pt>
                <c:pt idx="50">
                  <c:v>1.2261214999999996</c:v>
                </c:pt>
                <c:pt idx="51">
                  <c:v>1.9109425000000009</c:v>
                </c:pt>
                <c:pt idx="52">
                  <c:v>0.12426650000000095</c:v>
                </c:pt>
                <c:pt idx="53">
                  <c:v>0.42347720000000066</c:v>
                </c:pt>
                <c:pt idx="54">
                  <c:v>1.1868075999999999</c:v>
                </c:pt>
                <c:pt idx="55">
                  <c:v>0.97188829999999982</c:v>
                </c:pt>
                <c:pt idx="56">
                  <c:v>1.3456513999999995</c:v>
                </c:pt>
                <c:pt idx="57">
                  <c:v>-0.24123780000000039</c:v>
                </c:pt>
                <c:pt idx="58">
                  <c:v>1.125682900000001</c:v>
                </c:pt>
                <c:pt idx="59">
                  <c:v>-0.74010400000000054</c:v>
                </c:pt>
                <c:pt idx="60">
                  <c:v>-3.3031300000001096E-2</c:v>
                </c:pt>
                <c:pt idx="61">
                  <c:v>-0.53103079999999991</c:v>
                </c:pt>
                <c:pt idx="62">
                  <c:v>0.86183690000000013</c:v>
                </c:pt>
                <c:pt idx="63">
                  <c:v>2.9886599999999319E-2</c:v>
                </c:pt>
                <c:pt idx="64">
                  <c:v>-0.11122579999999971</c:v>
                </c:pt>
                <c:pt idx="65">
                  <c:v>0.59404319999999977</c:v>
                </c:pt>
                <c:pt idx="66">
                  <c:v>0.439724</c:v>
                </c:pt>
                <c:pt idx="67">
                  <c:v>0.76104100000000052</c:v>
                </c:pt>
                <c:pt idx="68">
                  <c:v>-0.30018679999999875</c:v>
                </c:pt>
                <c:pt idx="69">
                  <c:v>0.23265090000000122</c:v>
                </c:pt>
                <c:pt idx="70">
                  <c:v>1.2966246999999989</c:v>
                </c:pt>
                <c:pt idx="71">
                  <c:v>1.0799317999999989</c:v>
                </c:pt>
                <c:pt idx="72">
                  <c:v>0.71701730000000019</c:v>
                </c:pt>
                <c:pt idx="73">
                  <c:v>1.4329083000000011</c:v>
                </c:pt>
                <c:pt idx="74">
                  <c:v>1.5775224000000012</c:v>
                </c:pt>
                <c:pt idx="75">
                  <c:v>0.20009800000000055</c:v>
                </c:pt>
                <c:pt idx="76">
                  <c:v>0.87663859999999971</c:v>
                </c:pt>
                <c:pt idx="77">
                  <c:v>0.2597839000000004</c:v>
                </c:pt>
                <c:pt idx="78">
                  <c:v>0.89436819999999884</c:v>
                </c:pt>
                <c:pt idx="79">
                  <c:v>1.0955186999999995</c:v>
                </c:pt>
              </c:numCache>
            </c:numRef>
          </c:yVal>
          <c:smooth val="0"/>
          <c:extLst>
            <c:ext xmlns:c16="http://schemas.microsoft.com/office/drawing/2014/chart" uri="{C3380CC4-5D6E-409C-BE32-E72D297353CC}">
              <c16:uniqueId val="{00000001-964B-4617-9E89-018E0F75A151}"/>
            </c:ext>
          </c:extLst>
        </c:ser>
        <c:dLbls>
          <c:showLegendKey val="0"/>
          <c:showVal val="0"/>
          <c:showCatName val="0"/>
          <c:showSerName val="0"/>
          <c:showPercent val="0"/>
          <c:showBubbleSize val="0"/>
        </c:dLbls>
        <c:axId val="244482048"/>
        <c:axId val="244483968"/>
      </c:scatterChart>
      <c:valAx>
        <c:axId val="244482048"/>
        <c:scaling>
          <c:orientation val="minMax"/>
        </c:scaling>
        <c:delete val="0"/>
        <c:axPos val="b"/>
        <c:title>
          <c:tx>
            <c:rich>
              <a:bodyPr/>
              <a:lstStyle/>
              <a:p>
                <a:pPr>
                  <a:defRPr/>
                </a:pPr>
                <a:r>
                  <a:rPr lang="en-US"/>
                  <a:t>REFERENCE VALUES</a:t>
                </a:r>
              </a:p>
            </c:rich>
          </c:tx>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244483968"/>
        <c:crosses val="autoZero"/>
        <c:crossBetween val="midCat"/>
      </c:valAx>
      <c:valAx>
        <c:axId val="244483968"/>
        <c:scaling>
          <c:orientation val="minMax"/>
        </c:scaling>
        <c:delete val="0"/>
        <c:axPos val="l"/>
        <c:majorGridlines/>
        <c:numFmt formatCode="0.00" sourceLinked="1"/>
        <c:majorTickMark val="out"/>
        <c:minorTickMark val="none"/>
        <c:tickLblPos val="nextTo"/>
        <c:crossAx val="244482048"/>
        <c:crosses val="autoZero"/>
        <c:crossBetween val="midCat"/>
      </c:valAx>
    </c:plotArea>
    <c:plotVisOnly val="1"/>
    <c:dispBlanksAs val="gap"/>
    <c:showDLblsOverMax val="0"/>
  </c:chart>
  <c:printSettings>
    <c:headerFooter/>
    <c:pageMargins b="0.750000000000004" l="0.70000000000000062" r="0.70000000000000062" t="0.750000000000004"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400" baseline="0"/>
              <a:t>Residuals vs predicted</a:t>
            </a:r>
          </a:p>
        </c:rich>
      </c:tx>
      <c:layout>
        <c:manualLayout>
          <c:xMode val="edge"/>
          <c:yMode val="edge"/>
          <c:x val="0.59043500709952246"/>
          <c:y val="0"/>
        </c:manualLayout>
      </c:layout>
      <c:overlay val="1"/>
    </c:title>
    <c:autoTitleDeleted val="0"/>
    <c:plotArea>
      <c:layout/>
      <c:scatterChart>
        <c:scatterStyle val="lineMarker"/>
        <c:varyColors val="0"/>
        <c:ser>
          <c:idx val="0"/>
          <c:order val="0"/>
          <c:spPr>
            <a:ln>
              <a:noFill/>
            </a:ln>
          </c:spPr>
          <c:trendline>
            <c:trendlineType val="linear"/>
            <c:dispRSqr val="0"/>
            <c:dispEq val="1"/>
            <c:trendlineLbl>
              <c:layout>
                <c:manualLayout>
                  <c:x val="8.6646154745701892E-3"/>
                  <c:y val="0.32626926854701888"/>
                </c:manualLayout>
              </c:layout>
              <c:numFmt formatCode="General" sourceLinked="0"/>
            </c:trendlineLbl>
          </c:trendline>
          <c:xVal>
            <c:numRef>
              <c:f>OPEX!$F$63:$F$156</c:f>
              <c:numCache>
                <c:formatCode>General</c:formatCode>
                <c:ptCount val="94"/>
                <c:pt idx="0">
                  <c:v>10.118334000000001</c:v>
                </c:pt>
                <c:pt idx="1">
                  <c:v>10.84305</c:v>
                </c:pt>
                <c:pt idx="2">
                  <c:v>10.022606</c:v>
                </c:pt>
                <c:pt idx="3">
                  <c:v>11.288049000000001</c:v>
                </c:pt>
                <c:pt idx="4">
                  <c:v>10.828506000000001</c:v>
                </c:pt>
                <c:pt idx="5">
                  <c:v>11.729756999999999</c:v>
                </c:pt>
                <c:pt idx="6">
                  <c:v>11.444082</c:v>
                </c:pt>
                <c:pt idx="7">
                  <c:v>11.774803</c:v>
                </c:pt>
                <c:pt idx="8">
                  <c:v>11.93661</c:v>
                </c:pt>
                <c:pt idx="9">
                  <c:v>11.47833</c:v>
                </c:pt>
                <c:pt idx="10">
                  <c:v>12.968496999999999</c:v>
                </c:pt>
                <c:pt idx="11">
                  <c:v>11.811070000000001</c:v>
                </c:pt>
                <c:pt idx="12">
                  <c:v>10.886571</c:v>
                </c:pt>
                <c:pt idx="13">
                  <c:v>10.475289</c:v>
                </c:pt>
                <c:pt idx="14">
                  <c:v>11.597818999999999</c:v>
                </c:pt>
                <c:pt idx="15">
                  <c:v>11.905601000000001</c:v>
                </c:pt>
                <c:pt idx="16">
                  <c:v>10.540806</c:v>
                </c:pt>
                <c:pt idx="17">
                  <c:v>9.5430659999999996</c:v>
                </c:pt>
                <c:pt idx="18">
                  <c:v>11.965040999999999</c:v>
                </c:pt>
                <c:pt idx="19">
                  <c:v>10.597920999999999</c:v>
                </c:pt>
                <c:pt idx="20">
                  <c:v>11.876547</c:v>
                </c:pt>
                <c:pt idx="21">
                  <c:v>12.572234999999999</c:v>
                </c:pt>
                <c:pt idx="22">
                  <c:v>12.281748</c:v>
                </c:pt>
                <c:pt idx="23">
                  <c:v>9.7028049999999997</c:v>
                </c:pt>
                <c:pt idx="24">
                  <c:v>12.793189999999999</c:v>
                </c:pt>
                <c:pt idx="25">
                  <c:v>10.821941000000001</c:v>
                </c:pt>
                <c:pt idx="26">
                  <c:v>11.208905</c:v>
                </c:pt>
                <c:pt idx="27">
                  <c:v>12.962356</c:v>
                </c:pt>
                <c:pt idx="28">
                  <c:v>11.091710000000001</c:v>
                </c:pt>
                <c:pt idx="29">
                  <c:v>14.123013</c:v>
                </c:pt>
                <c:pt idx="30">
                  <c:v>13.458119</c:v>
                </c:pt>
                <c:pt idx="31">
                  <c:v>10.350272</c:v>
                </c:pt>
                <c:pt idx="32">
                  <c:v>11.462718000000001</c:v>
                </c:pt>
                <c:pt idx="33">
                  <c:v>11.645144</c:v>
                </c:pt>
                <c:pt idx="34">
                  <c:v>11.377736000000001</c:v>
                </c:pt>
                <c:pt idx="35">
                  <c:v>9.0439179999999997</c:v>
                </c:pt>
                <c:pt idx="36">
                  <c:v>10.975311</c:v>
                </c:pt>
                <c:pt idx="37">
                  <c:v>11.147911000000001</c:v>
                </c:pt>
                <c:pt idx="38">
                  <c:v>12.123555</c:v>
                </c:pt>
                <c:pt idx="39">
                  <c:v>10.743876</c:v>
                </c:pt>
                <c:pt idx="40">
                  <c:v>11.371543000000001</c:v>
                </c:pt>
                <c:pt idx="41">
                  <c:v>12.809893000000001</c:v>
                </c:pt>
                <c:pt idx="42">
                  <c:v>12.135802</c:v>
                </c:pt>
                <c:pt idx="43">
                  <c:v>11.329537999999999</c:v>
                </c:pt>
                <c:pt idx="44">
                  <c:v>12.735015000000001</c:v>
                </c:pt>
                <c:pt idx="45">
                  <c:v>12.135297</c:v>
                </c:pt>
                <c:pt idx="46">
                  <c:v>11.718181</c:v>
                </c:pt>
                <c:pt idx="47">
                  <c:v>10.063784</c:v>
                </c:pt>
                <c:pt idx="48">
                  <c:v>10.714174</c:v>
                </c:pt>
                <c:pt idx="49">
                  <c:v>10.788695000000001</c:v>
                </c:pt>
                <c:pt idx="50">
                  <c:v>10.456121</c:v>
                </c:pt>
                <c:pt idx="51">
                  <c:v>13.140942000000001</c:v>
                </c:pt>
                <c:pt idx="52">
                  <c:v>11.354266000000001</c:v>
                </c:pt>
                <c:pt idx="53">
                  <c:v>11.663477</c:v>
                </c:pt>
                <c:pt idx="54">
                  <c:v>13.746808</c:v>
                </c:pt>
                <c:pt idx="55">
                  <c:v>11.041888</c:v>
                </c:pt>
                <c:pt idx="56">
                  <c:v>11.285651</c:v>
                </c:pt>
                <c:pt idx="57">
                  <c:v>9.9987619999999993</c:v>
                </c:pt>
                <c:pt idx="58">
                  <c:v>12.545683</c:v>
                </c:pt>
                <c:pt idx="59">
                  <c:v>9.7598959999999995</c:v>
                </c:pt>
                <c:pt idx="60">
                  <c:v>13.106968999999999</c:v>
                </c:pt>
                <c:pt idx="61">
                  <c:v>11.168969000000001</c:v>
                </c:pt>
                <c:pt idx="62">
                  <c:v>11.241837</c:v>
                </c:pt>
                <c:pt idx="63">
                  <c:v>13.379887</c:v>
                </c:pt>
                <c:pt idx="64">
                  <c:v>12.548774</c:v>
                </c:pt>
                <c:pt idx="65">
                  <c:v>12.584042999999999</c:v>
                </c:pt>
                <c:pt idx="66">
                  <c:v>12.439724</c:v>
                </c:pt>
                <c:pt idx="67">
                  <c:v>12.761041000000001</c:v>
                </c:pt>
                <c:pt idx="68">
                  <c:v>12.859813000000001</c:v>
                </c:pt>
                <c:pt idx="69">
                  <c:v>12.402651000000001</c:v>
                </c:pt>
                <c:pt idx="70">
                  <c:v>12.266624999999999</c:v>
                </c:pt>
                <c:pt idx="71">
                  <c:v>13.339931999999999</c:v>
                </c:pt>
                <c:pt idx="72">
                  <c:v>13.747017</c:v>
                </c:pt>
                <c:pt idx="73">
                  <c:v>13.792908000000001</c:v>
                </c:pt>
                <c:pt idx="74">
                  <c:v>13.977522</c:v>
                </c:pt>
                <c:pt idx="75">
                  <c:v>12.700098000000001</c:v>
                </c:pt>
                <c:pt idx="76">
                  <c:v>13.476639</c:v>
                </c:pt>
                <c:pt idx="77">
                  <c:v>12.929784</c:v>
                </c:pt>
                <c:pt idx="78">
                  <c:v>13.594367999999999</c:v>
                </c:pt>
                <c:pt idx="79">
                  <c:v>15.525518999999999</c:v>
                </c:pt>
              </c:numCache>
            </c:numRef>
          </c:xVal>
          <c:yVal>
            <c:numRef>
              <c:f>OPEX!$G$63:$G$156</c:f>
              <c:numCache>
                <c:formatCode>0.00</c:formatCode>
                <c:ptCount val="94"/>
                <c:pt idx="0">
                  <c:v>0.17833440000000067</c:v>
                </c:pt>
                <c:pt idx="1">
                  <c:v>0.82304949999999977</c:v>
                </c:pt>
                <c:pt idx="2">
                  <c:v>2.2605999999999682E-2</c:v>
                </c:pt>
                <c:pt idx="3">
                  <c:v>0.78804900000000089</c:v>
                </c:pt>
                <c:pt idx="4">
                  <c:v>4.8506300000001445E-2</c:v>
                </c:pt>
                <c:pt idx="5">
                  <c:v>1.2797571999999988</c:v>
                </c:pt>
                <c:pt idx="6">
                  <c:v>0.42408149999999978</c:v>
                </c:pt>
                <c:pt idx="7">
                  <c:v>0.97480280000000086</c:v>
                </c:pt>
                <c:pt idx="8">
                  <c:v>1.0566098999999998</c:v>
                </c:pt>
                <c:pt idx="9">
                  <c:v>0.41832959999999986</c:v>
                </c:pt>
                <c:pt idx="10">
                  <c:v>1.8784967999999989</c:v>
                </c:pt>
                <c:pt idx="11">
                  <c:v>0.19107010000000102</c:v>
                </c:pt>
                <c:pt idx="12">
                  <c:v>0.92657099999999915</c:v>
                </c:pt>
                <c:pt idx="13">
                  <c:v>0.97528900000000007</c:v>
                </c:pt>
                <c:pt idx="14">
                  <c:v>1.6078191999999998</c:v>
                </c:pt>
                <c:pt idx="15">
                  <c:v>1.8956008000000004</c:v>
                </c:pt>
                <c:pt idx="16">
                  <c:v>0.71080609999999922</c:v>
                </c:pt>
                <c:pt idx="17">
                  <c:v>-2.6933700000000727E-2</c:v>
                </c:pt>
                <c:pt idx="18">
                  <c:v>2.0450409000000001</c:v>
                </c:pt>
                <c:pt idx="19">
                  <c:v>-1.0720790999999998</c:v>
                </c:pt>
                <c:pt idx="20">
                  <c:v>0.37654700000000041</c:v>
                </c:pt>
                <c:pt idx="21">
                  <c:v>1.2022350999999993</c:v>
                </c:pt>
                <c:pt idx="22">
                  <c:v>0.69174779999999991</c:v>
                </c:pt>
                <c:pt idx="23">
                  <c:v>-0.17719510000000049</c:v>
                </c:pt>
                <c:pt idx="24">
                  <c:v>0.95318979999999875</c:v>
                </c:pt>
                <c:pt idx="25">
                  <c:v>0.8219410000000007</c:v>
                </c:pt>
                <c:pt idx="26">
                  <c:v>1.1089045999999989</c:v>
                </c:pt>
                <c:pt idx="27">
                  <c:v>1.5623564000000005</c:v>
                </c:pt>
                <c:pt idx="28">
                  <c:v>0.81171030000000144</c:v>
                </c:pt>
                <c:pt idx="29">
                  <c:v>1.9130129999999994</c:v>
                </c:pt>
                <c:pt idx="30">
                  <c:v>1.5181193999999998</c:v>
                </c:pt>
                <c:pt idx="31">
                  <c:v>-1.9727899999999465E-2</c:v>
                </c:pt>
                <c:pt idx="32">
                  <c:v>1.0827179000000005</c:v>
                </c:pt>
                <c:pt idx="33">
                  <c:v>1.7651439</c:v>
                </c:pt>
                <c:pt idx="34">
                  <c:v>-0.70226390000000016</c:v>
                </c:pt>
                <c:pt idx="35">
                  <c:v>-3.6081900000000999E-2</c:v>
                </c:pt>
                <c:pt idx="36">
                  <c:v>0.1753108000000001</c:v>
                </c:pt>
                <c:pt idx="37">
                  <c:v>1.7879113000000011</c:v>
                </c:pt>
                <c:pt idx="38">
                  <c:v>-0.32644480000000087</c:v>
                </c:pt>
                <c:pt idx="39">
                  <c:v>-0.17612409999999912</c:v>
                </c:pt>
                <c:pt idx="40">
                  <c:v>0.42154320000000034</c:v>
                </c:pt>
                <c:pt idx="41">
                  <c:v>1.819893200000001</c:v>
                </c:pt>
                <c:pt idx="42">
                  <c:v>1.135802</c:v>
                </c:pt>
                <c:pt idx="43">
                  <c:v>1.3595376999999988</c:v>
                </c:pt>
                <c:pt idx="44">
                  <c:v>-0.16498459999999859</c:v>
                </c:pt>
                <c:pt idx="45">
                  <c:v>1.6052973000000001</c:v>
                </c:pt>
                <c:pt idx="46">
                  <c:v>0.65818059999999967</c:v>
                </c:pt>
                <c:pt idx="47">
                  <c:v>0.9637835999999993</c:v>
                </c:pt>
                <c:pt idx="48">
                  <c:v>1.7441736999999993</c:v>
                </c:pt>
                <c:pt idx="49">
                  <c:v>-0.33130489999999924</c:v>
                </c:pt>
                <c:pt idx="50">
                  <c:v>1.2261214999999996</c:v>
                </c:pt>
                <c:pt idx="51">
                  <c:v>1.9109425000000009</c:v>
                </c:pt>
                <c:pt idx="52">
                  <c:v>0.12426650000000095</c:v>
                </c:pt>
                <c:pt idx="53">
                  <c:v>0.42347720000000066</c:v>
                </c:pt>
                <c:pt idx="54">
                  <c:v>1.1868075999999999</c:v>
                </c:pt>
                <c:pt idx="55">
                  <c:v>0.97188829999999982</c:v>
                </c:pt>
                <c:pt idx="56">
                  <c:v>1.3456513999999995</c:v>
                </c:pt>
                <c:pt idx="57">
                  <c:v>-0.24123780000000039</c:v>
                </c:pt>
                <c:pt idx="58">
                  <c:v>1.125682900000001</c:v>
                </c:pt>
                <c:pt idx="59">
                  <c:v>-0.74010400000000054</c:v>
                </c:pt>
                <c:pt idx="60">
                  <c:v>-3.3031300000001096E-2</c:v>
                </c:pt>
                <c:pt idx="61">
                  <c:v>-0.53103079999999991</c:v>
                </c:pt>
                <c:pt idx="62">
                  <c:v>0.86183690000000013</c:v>
                </c:pt>
                <c:pt idx="63">
                  <c:v>2.9886599999999319E-2</c:v>
                </c:pt>
                <c:pt idx="64">
                  <c:v>-0.11122579999999971</c:v>
                </c:pt>
                <c:pt idx="65">
                  <c:v>0.59404319999999977</c:v>
                </c:pt>
                <c:pt idx="66">
                  <c:v>0.439724</c:v>
                </c:pt>
                <c:pt idx="67">
                  <c:v>0.76104100000000052</c:v>
                </c:pt>
                <c:pt idx="68">
                  <c:v>-0.30018679999999875</c:v>
                </c:pt>
                <c:pt idx="69">
                  <c:v>0.23265090000000122</c:v>
                </c:pt>
                <c:pt idx="70">
                  <c:v>1.2966246999999989</c:v>
                </c:pt>
                <c:pt idx="71">
                  <c:v>1.0799317999999989</c:v>
                </c:pt>
                <c:pt idx="72">
                  <c:v>0.71701730000000019</c:v>
                </c:pt>
                <c:pt idx="73">
                  <c:v>1.4329083000000011</c:v>
                </c:pt>
                <c:pt idx="74">
                  <c:v>1.5775224000000012</c:v>
                </c:pt>
                <c:pt idx="75">
                  <c:v>0.20009800000000055</c:v>
                </c:pt>
                <c:pt idx="76">
                  <c:v>0.87663859999999971</c:v>
                </c:pt>
                <c:pt idx="77">
                  <c:v>0.2597839000000004</c:v>
                </c:pt>
                <c:pt idx="78">
                  <c:v>0.89436819999999884</c:v>
                </c:pt>
                <c:pt idx="79">
                  <c:v>1.0955186999999995</c:v>
                </c:pt>
              </c:numCache>
            </c:numRef>
          </c:yVal>
          <c:smooth val="0"/>
          <c:extLst>
            <c:ext xmlns:c16="http://schemas.microsoft.com/office/drawing/2014/chart" uri="{C3380CC4-5D6E-409C-BE32-E72D297353CC}">
              <c16:uniqueId val="{00000001-EC31-4CD6-9731-00D53E9E69A4}"/>
            </c:ext>
          </c:extLst>
        </c:ser>
        <c:dLbls>
          <c:showLegendKey val="0"/>
          <c:showVal val="0"/>
          <c:showCatName val="0"/>
          <c:showSerName val="0"/>
          <c:showPercent val="0"/>
          <c:showBubbleSize val="0"/>
        </c:dLbls>
        <c:axId val="251667584"/>
        <c:axId val="251669504"/>
      </c:scatterChart>
      <c:valAx>
        <c:axId val="251667584"/>
        <c:scaling>
          <c:orientation val="minMax"/>
        </c:scaling>
        <c:delete val="0"/>
        <c:axPos val="b"/>
        <c:title>
          <c:tx>
            <c:rich>
              <a:bodyPr/>
              <a:lstStyle/>
              <a:p>
                <a:pPr>
                  <a:defRPr/>
                </a:pPr>
                <a:r>
                  <a:rPr lang="en-US"/>
                  <a:t>PREDICTED NIRS</a:t>
                </a:r>
              </a:p>
            </c:rich>
          </c:tx>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251669504"/>
        <c:crosses val="autoZero"/>
        <c:crossBetween val="midCat"/>
      </c:valAx>
      <c:valAx>
        <c:axId val="251669504"/>
        <c:scaling>
          <c:orientation val="minMax"/>
        </c:scaling>
        <c:delete val="0"/>
        <c:axPos val="l"/>
        <c:majorGridlines/>
        <c:numFmt formatCode="0.00" sourceLinked="1"/>
        <c:majorTickMark val="out"/>
        <c:minorTickMark val="none"/>
        <c:tickLblPos val="nextTo"/>
        <c:crossAx val="251667584"/>
        <c:crosses val="autoZero"/>
        <c:crossBetween val="midCat"/>
      </c:valAx>
    </c:plotArea>
    <c:plotVisOnly val="1"/>
    <c:dispBlanksAs val="gap"/>
    <c:showDLblsOverMax val="0"/>
  </c:chart>
  <c:printSettings>
    <c:headerFooter/>
    <c:pageMargins b="0.75000000000000422" l="0.70000000000000062" r="0.70000000000000062" t="0.75000000000000422"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400" baseline="0"/>
              <a:t>Residuals vs position</a:t>
            </a:r>
          </a:p>
        </c:rich>
      </c:tx>
      <c:layout>
        <c:manualLayout>
          <c:xMode val="edge"/>
          <c:yMode val="edge"/>
          <c:x val="0.61770845220434401"/>
          <c:y val="9.2592592592592587E-3"/>
        </c:manualLayout>
      </c:layout>
      <c:overlay val="1"/>
    </c:title>
    <c:autoTitleDeleted val="0"/>
    <c:plotArea>
      <c:layout>
        <c:manualLayout>
          <c:layoutTarget val="inner"/>
          <c:xMode val="edge"/>
          <c:yMode val="edge"/>
          <c:x val="9.7295231451277789E-2"/>
          <c:y val="4.1365688184682434E-2"/>
          <c:w val="0.8505582003234009"/>
          <c:h val="0.89909093674129181"/>
        </c:manualLayout>
      </c:layout>
      <c:scatterChart>
        <c:scatterStyle val="lineMarker"/>
        <c:varyColors val="0"/>
        <c:ser>
          <c:idx val="0"/>
          <c:order val="0"/>
          <c:spPr>
            <a:ln w="28575">
              <a:noFill/>
            </a:ln>
          </c:spPr>
          <c:xVal>
            <c:numRef>
              <c:f>OPEX!$B$63:$B$156</c:f>
              <c:numCache>
                <c:formatCode>General</c:formatCode>
                <c:ptCount val="9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numCache>
            </c:numRef>
          </c:xVal>
          <c:yVal>
            <c:numRef>
              <c:f>OPEX!$G$63:$G$156</c:f>
              <c:numCache>
                <c:formatCode>0.00</c:formatCode>
                <c:ptCount val="94"/>
                <c:pt idx="0">
                  <c:v>0.17833440000000067</c:v>
                </c:pt>
                <c:pt idx="1">
                  <c:v>0.82304949999999977</c:v>
                </c:pt>
                <c:pt idx="2">
                  <c:v>2.2605999999999682E-2</c:v>
                </c:pt>
                <c:pt idx="3">
                  <c:v>0.78804900000000089</c:v>
                </c:pt>
                <c:pt idx="4">
                  <c:v>4.8506300000001445E-2</c:v>
                </c:pt>
                <c:pt idx="5">
                  <c:v>1.2797571999999988</c:v>
                </c:pt>
                <c:pt idx="6">
                  <c:v>0.42408149999999978</c:v>
                </c:pt>
                <c:pt idx="7">
                  <c:v>0.97480280000000086</c:v>
                </c:pt>
                <c:pt idx="8">
                  <c:v>1.0566098999999998</c:v>
                </c:pt>
                <c:pt idx="9">
                  <c:v>0.41832959999999986</c:v>
                </c:pt>
                <c:pt idx="10">
                  <c:v>1.8784967999999989</c:v>
                </c:pt>
                <c:pt idx="11">
                  <c:v>0.19107010000000102</c:v>
                </c:pt>
                <c:pt idx="12">
                  <c:v>0.92657099999999915</c:v>
                </c:pt>
                <c:pt idx="13">
                  <c:v>0.97528900000000007</c:v>
                </c:pt>
                <c:pt idx="14">
                  <c:v>1.6078191999999998</c:v>
                </c:pt>
                <c:pt idx="15">
                  <c:v>1.8956008000000004</c:v>
                </c:pt>
                <c:pt idx="16">
                  <c:v>0.71080609999999922</c:v>
                </c:pt>
                <c:pt idx="17">
                  <c:v>-2.6933700000000727E-2</c:v>
                </c:pt>
                <c:pt idx="18">
                  <c:v>2.0450409000000001</c:v>
                </c:pt>
                <c:pt idx="19">
                  <c:v>-1.0720790999999998</c:v>
                </c:pt>
                <c:pt idx="20">
                  <c:v>0.37654700000000041</c:v>
                </c:pt>
                <c:pt idx="21">
                  <c:v>1.2022350999999993</c:v>
                </c:pt>
                <c:pt idx="22">
                  <c:v>0.69174779999999991</c:v>
                </c:pt>
                <c:pt idx="23">
                  <c:v>-0.17719510000000049</c:v>
                </c:pt>
                <c:pt idx="24">
                  <c:v>0.95318979999999875</c:v>
                </c:pt>
                <c:pt idx="25">
                  <c:v>0.8219410000000007</c:v>
                </c:pt>
                <c:pt idx="26">
                  <c:v>1.1089045999999989</c:v>
                </c:pt>
                <c:pt idx="27">
                  <c:v>1.5623564000000005</c:v>
                </c:pt>
                <c:pt idx="28">
                  <c:v>0.81171030000000144</c:v>
                </c:pt>
                <c:pt idx="29">
                  <c:v>1.9130129999999994</c:v>
                </c:pt>
                <c:pt idx="30">
                  <c:v>1.5181193999999998</c:v>
                </c:pt>
                <c:pt idx="31">
                  <c:v>-1.9727899999999465E-2</c:v>
                </c:pt>
                <c:pt idx="32">
                  <c:v>1.0827179000000005</c:v>
                </c:pt>
                <c:pt idx="33">
                  <c:v>1.7651439</c:v>
                </c:pt>
                <c:pt idx="34">
                  <c:v>-0.70226390000000016</c:v>
                </c:pt>
                <c:pt idx="35">
                  <c:v>-3.6081900000000999E-2</c:v>
                </c:pt>
                <c:pt idx="36">
                  <c:v>0.1753108000000001</c:v>
                </c:pt>
                <c:pt idx="37">
                  <c:v>1.7879113000000011</c:v>
                </c:pt>
                <c:pt idx="38">
                  <c:v>-0.32644480000000087</c:v>
                </c:pt>
                <c:pt idx="39">
                  <c:v>-0.17612409999999912</c:v>
                </c:pt>
                <c:pt idx="40">
                  <c:v>0.42154320000000034</c:v>
                </c:pt>
                <c:pt idx="41">
                  <c:v>1.819893200000001</c:v>
                </c:pt>
                <c:pt idx="42">
                  <c:v>1.135802</c:v>
                </c:pt>
                <c:pt idx="43">
                  <c:v>1.3595376999999988</c:v>
                </c:pt>
                <c:pt idx="44">
                  <c:v>-0.16498459999999859</c:v>
                </c:pt>
                <c:pt idx="45">
                  <c:v>1.6052973000000001</c:v>
                </c:pt>
                <c:pt idx="46">
                  <c:v>0.65818059999999967</c:v>
                </c:pt>
                <c:pt idx="47">
                  <c:v>0.9637835999999993</c:v>
                </c:pt>
                <c:pt idx="48">
                  <c:v>1.7441736999999993</c:v>
                </c:pt>
                <c:pt idx="49">
                  <c:v>-0.33130489999999924</c:v>
                </c:pt>
                <c:pt idx="50">
                  <c:v>1.2261214999999996</c:v>
                </c:pt>
                <c:pt idx="51">
                  <c:v>1.9109425000000009</c:v>
                </c:pt>
                <c:pt idx="52">
                  <c:v>0.12426650000000095</c:v>
                </c:pt>
                <c:pt idx="53">
                  <c:v>0.42347720000000066</c:v>
                </c:pt>
                <c:pt idx="54">
                  <c:v>1.1868075999999999</c:v>
                </c:pt>
                <c:pt idx="55">
                  <c:v>0.97188829999999982</c:v>
                </c:pt>
                <c:pt idx="56">
                  <c:v>1.3456513999999995</c:v>
                </c:pt>
                <c:pt idx="57">
                  <c:v>-0.24123780000000039</c:v>
                </c:pt>
                <c:pt idx="58">
                  <c:v>1.125682900000001</c:v>
                </c:pt>
                <c:pt idx="59">
                  <c:v>-0.74010400000000054</c:v>
                </c:pt>
                <c:pt idx="60">
                  <c:v>-3.3031300000001096E-2</c:v>
                </c:pt>
                <c:pt idx="61">
                  <c:v>-0.53103079999999991</c:v>
                </c:pt>
                <c:pt idx="62">
                  <c:v>0.86183690000000013</c:v>
                </c:pt>
                <c:pt idx="63">
                  <c:v>2.9886599999999319E-2</c:v>
                </c:pt>
                <c:pt idx="64">
                  <c:v>-0.11122579999999971</c:v>
                </c:pt>
                <c:pt idx="65">
                  <c:v>0.59404319999999977</c:v>
                </c:pt>
                <c:pt idx="66">
                  <c:v>0.439724</c:v>
                </c:pt>
                <c:pt idx="67">
                  <c:v>0.76104100000000052</c:v>
                </c:pt>
                <c:pt idx="68">
                  <c:v>-0.30018679999999875</c:v>
                </c:pt>
                <c:pt idx="69">
                  <c:v>0.23265090000000122</c:v>
                </c:pt>
                <c:pt idx="70">
                  <c:v>1.2966246999999989</c:v>
                </c:pt>
                <c:pt idx="71">
                  <c:v>1.0799317999999989</c:v>
                </c:pt>
                <c:pt idx="72">
                  <c:v>0.71701730000000019</c:v>
                </c:pt>
                <c:pt idx="73">
                  <c:v>1.4329083000000011</c:v>
                </c:pt>
                <c:pt idx="74">
                  <c:v>1.5775224000000012</c:v>
                </c:pt>
                <c:pt idx="75">
                  <c:v>0.20009800000000055</c:v>
                </c:pt>
                <c:pt idx="76">
                  <c:v>0.87663859999999971</c:v>
                </c:pt>
                <c:pt idx="77">
                  <c:v>0.2597839000000004</c:v>
                </c:pt>
                <c:pt idx="78">
                  <c:v>0.89436819999999884</c:v>
                </c:pt>
                <c:pt idx="79">
                  <c:v>1.0955186999999995</c:v>
                </c:pt>
              </c:numCache>
            </c:numRef>
          </c:yVal>
          <c:smooth val="0"/>
          <c:extLst>
            <c:ext xmlns:c16="http://schemas.microsoft.com/office/drawing/2014/chart" uri="{C3380CC4-5D6E-409C-BE32-E72D297353CC}">
              <c16:uniqueId val="{00000000-2068-44AE-AE45-8A75983FB059}"/>
            </c:ext>
          </c:extLst>
        </c:ser>
        <c:dLbls>
          <c:showLegendKey val="0"/>
          <c:showVal val="0"/>
          <c:showCatName val="0"/>
          <c:showSerName val="0"/>
          <c:showPercent val="0"/>
          <c:showBubbleSize val="0"/>
        </c:dLbls>
        <c:axId val="274780160"/>
        <c:axId val="274781696"/>
      </c:scatterChart>
      <c:valAx>
        <c:axId val="274780160"/>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274781696"/>
        <c:crosses val="autoZero"/>
        <c:crossBetween val="midCat"/>
      </c:valAx>
      <c:valAx>
        <c:axId val="274781696"/>
        <c:scaling>
          <c:orientation val="minMax"/>
        </c:scaling>
        <c:delete val="0"/>
        <c:axPos val="l"/>
        <c:majorGridlines/>
        <c:numFmt formatCode="0.00" sourceLinked="1"/>
        <c:majorTickMark val="out"/>
        <c:minorTickMark val="none"/>
        <c:tickLblPos val="nextTo"/>
        <c:crossAx val="274780160"/>
        <c:crosses val="autoZero"/>
        <c:crossBetween val="midCat"/>
      </c:valAx>
    </c:plotArea>
    <c:plotVisOnly val="1"/>
    <c:dispBlanksAs val="gap"/>
    <c:showDLblsOverMax val="0"/>
  </c:chart>
  <c:printSettings>
    <c:headerFooter/>
    <c:pageMargins b="0.75000000000000211" l="0.70000000000000062" r="0.70000000000000062" t="0.75000000000000211"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3834418474441655E-2"/>
          <c:y val="0.13250935178105364"/>
          <c:w val="0.6729182365583003"/>
          <c:h val="0.71284029659820869"/>
        </c:manualLayout>
      </c:layout>
      <c:scatterChart>
        <c:scatterStyle val="lineMarker"/>
        <c:varyColors val="0"/>
        <c:ser>
          <c:idx val="0"/>
          <c:order val="0"/>
          <c:tx>
            <c:v> </c:v>
          </c:tx>
          <c:spPr>
            <a:ln w="28575">
              <a:noFill/>
            </a:ln>
          </c:spPr>
          <c:marker>
            <c:symbol val="circle"/>
            <c:size val="8"/>
            <c:spPr>
              <a:solidFill>
                <a:srgbClr val="000080"/>
              </a:solidFill>
              <a:ln>
                <a:solidFill>
                  <a:srgbClr val="000080"/>
                </a:solidFill>
                <a:prstDash val="solid"/>
              </a:ln>
            </c:spPr>
          </c:marker>
          <c:dLbls>
            <c:dLbl>
              <c:idx val="0"/>
              <c:tx>
                <c:rich>
                  <a:bodyPr/>
                  <a:lstStyle/>
                  <a:p>
                    <a:fld id="{03CAC5EE-D895-4D16-9E0D-2BC2F843813D}" type="CELLRANGE">
                      <a:rPr lang="en-US"/>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4834-439E-8474-46E75D7E476E}"/>
                </c:ext>
              </c:extLst>
            </c:dLbl>
            <c:dLbl>
              <c:idx val="1"/>
              <c:tx>
                <c:rich>
                  <a:bodyPr/>
                  <a:lstStyle/>
                  <a:p>
                    <a:fld id="{4F5A9ED9-6B3A-42CC-9BFD-3F2AF72B6F9C}"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4834-439E-8474-46E75D7E476E}"/>
                </c:ext>
              </c:extLst>
            </c:dLbl>
            <c:dLbl>
              <c:idx val="2"/>
              <c:tx>
                <c:rich>
                  <a:bodyPr/>
                  <a:lstStyle/>
                  <a:p>
                    <a:fld id="{8436C314-7666-4642-A5E8-C04D9873E75A}"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4834-439E-8474-46E75D7E476E}"/>
                </c:ext>
              </c:extLst>
            </c:dLbl>
            <c:dLbl>
              <c:idx val="3"/>
              <c:tx>
                <c:rich>
                  <a:bodyPr/>
                  <a:lstStyle/>
                  <a:p>
                    <a:fld id="{B6355DF8-29B1-4D16-9FA6-852CC6C7D36F}"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4834-439E-8474-46E75D7E476E}"/>
                </c:ext>
              </c:extLst>
            </c:dLbl>
            <c:dLbl>
              <c:idx val="4"/>
              <c:tx>
                <c:rich>
                  <a:bodyPr/>
                  <a:lstStyle/>
                  <a:p>
                    <a:fld id="{B772F897-873B-4CF3-9E84-D7D3D5F7D9AB}"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4834-439E-8474-46E75D7E476E}"/>
                </c:ext>
              </c:extLst>
            </c:dLbl>
            <c:dLbl>
              <c:idx val="5"/>
              <c:tx>
                <c:rich>
                  <a:bodyPr/>
                  <a:lstStyle/>
                  <a:p>
                    <a:fld id="{7FC4E9A7-E448-4B1C-B3DA-B83E9AC57A56}"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4834-439E-8474-46E75D7E476E}"/>
                </c:ext>
              </c:extLst>
            </c:dLbl>
            <c:dLbl>
              <c:idx val="6"/>
              <c:tx>
                <c:rich>
                  <a:bodyPr/>
                  <a:lstStyle/>
                  <a:p>
                    <a:fld id="{22F9D0A6-F595-4333-8588-74BEC787579A}"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4834-439E-8474-46E75D7E476E}"/>
                </c:ext>
              </c:extLst>
            </c:dLbl>
            <c:dLbl>
              <c:idx val="7"/>
              <c:tx>
                <c:rich>
                  <a:bodyPr/>
                  <a:lstStyle/>
                  <a:p>
                    <a:fld id="{EBEF9309-521E-4420-85DC-76A1EBCCE15D}"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4834-439E-8474-46E75D7E476E}"/>
                </c:ext>
              </c:extLst>
            </c:dLbl>
            <c:dLbl>
              <c:idx val="8"/>
              <c:tx>
                <c:rich>
                  <a:bodyPr/>
                  <a:lstStyle/>
                  <a:p>
                    <a:fld id="{E433FF07-30F3-4A93-BB54-36F709FF8239}"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4834-439E-8474-46E75D7E476E}"/>
                </c:ext>
              </c:extLst>
            </c:dLbl>
            <c:dLbl>
              <c:idx val="9"/>
              <c:tx>
                <c:rich>
                  <a:bodyPr/>
                  <a:lstStyle/>
                  <a:p>
                    <a:fld id="{0316E013-4F44-40E2-850F-852BD4D5F281}"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4834-439E-8474-46E75D7E476E}"/>
                </c:ext>
              </c:extLst>
            </c:dLbl>
            <c:dLbl>
              <c:idx val="10"/>
              <c:tx>
                <c:rich>
                  <a:bodyPr/>
                  <a:lstStyle/>
                  <a:p>
                    <a:fld id="{3E68F548-4D06-4309-846F-4F69950A6DC2}"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4834-439E-8474-46E75D7E476E}"/>
                </c:ext>
              </c:extLst>
            </c:dLbl>
            <c:dLbl>
              <c:idx val="11"/>
              <c:tx>
                <c:rich>
                  <a:bodyPr/>
                  <a:lstStyle/>
                  <a:p>
                    <a:fld id="{BFB66DF9-038D-4FF7-82F1-B067D1282A2A}"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4834-439E-8474-46E75D7E476E}"/>
                </c:ext>
              </c:extLst>
            </c:dLbl>
            <c:dLbl>
              <c:idx val="12"/>
              <c:tx>
                <c:rich>
                  <a:bodyPr/>
                  <a:lstStyle/>
                  <a:p>
                    <a:fld id="{D777C954-102B-43A2-996B-A970B81AEF61}"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4834-439E-8474-46E75D7E476E}"/>
                </c:ext>
              </c:extLst>
            </c:dLbl>
            <c:dLbl>
              <c:idx val="13"/>
              <c:tx>
                <c:rich>
                  <a:bodyPr/>
                  <a:lstStyle/>
                  <a:p>
                    <a:fld id="{EE8203BC-2BDC-4A67-BF8F-0AF66E94D097}"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4834-439E-8474-46E75D7E476E}"/>
                </c:ext>
              </c:extLst>
            </c:dLbl>
            <c:dLbl>
              <c:idx val="14"/>
              <c:tx>
                <c:rich>
                  <a:bodyPr/>
                  <a:lstStyle/>
                  <a:p>
                    <a:fld id="{E22DF0FA-EF5D-437F-BD8A-D2D571C1D94B}"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4834-439E-8474-46E75D7E476E}"/>
                </c:ext>
              </c:extLst>
            </c:dLbl>
            <c:dLbl>
              <c:idx val="15"/>
              <c:tx>
                <c:rich>
                  <a:bodyPr/>
                  <a:lstStyle/>
                  <a:p>
                    <a:fld id="{D64DDD12-999C-4874-848D-0BF9B5E77DC5}"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4834-439E-8474-46E75D7E476E}"/>
                </c:ext>
              </c:extLst>
            </c:dLbl>
            <c:dLbl>
              <c:idx val="16"/>
              <c:tx>
                <c:rich>
                  <a:bodyPr/>
                  <a:lstStyle/>
                  <a:p>
                    <a:fld id="{C3243F41-C48F-4150-9802-A1058F1C8AEC}"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4834-439E-8474-46E75D7E476E}"/>
                </c:ext>
              </c:extLst>
            </c:dLbl>
            <c:dLbl>
              <c:idx val="17"/>
              <c:tx>
                <c:rich>
                  <a:bodyPr/>
                  <a:lstStyle/>
                  <a:p>
                    <a:fld id="{59567AAC-BB38-4C25-9472-D52857FE6F9F}"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4834-439E-8474-46E75D7E476E}"/>
                </c:ext>
              </c:extLst>
            </c:dLbl>
            <c:dLbl>
              <c:idx val="18"/>
              <c:tx>
                <c:rich>
                  <a:bodyPr/>
                  <a:lstStyle/>
                  <a:p>
                    <a:fld id="{CBEA696A-DE51-4DF9-B7BC-887D5775E6C8}"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4834-439E-8474-46E75D7E476E}"/>
                </c:ext>
              </c:extLst>
            </c:dLbl>
            <c:dLbl>
              <c:idx val="19"/>
              <c:tx>
                <c:rich>
                  <a:bodyPr/>
                  <a:lstStyle/>
                  <a:p>
                    <a:fld id="{85C5E19D-BDA9-426A-9DE2-A2EFBEC79F73}"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4834-439E-8474-46E75D7E476E}"/>
                </c:ext>
              </c:extLst>
            </c:dLbl>
            <c:dLbl>
              <c:idx val="20"/>
              <c:tx>
                <c:rich>
                  <a:bodyPr/>
                  <a:lstStyle/>
                  <a:p>
                    <a:fld id="{0E5D5215-B62D-4D0C-9800-FECF8BF6BEC2}"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4834-439E-8474-46E75D7E476E}"/>
                </c:ext>
              </c:extLst>
            </c:dLbl>
            <c:dLbl>
              <c:idx val="21"/>
              <c:tx>
                <c:rich>
                  <a:bodyPr/>
                  <a:lstStyle/>
                  <a:p>
                    <a:fld id="{87F1F109-09B2-4548-A46C-DB409CE55C24}"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4834-439E-8474-46E75D7E476E}"/>
                </c:ext>
              </c:extLst>
            </c:dLbl>
            <c:dLbl>
              <c:idx val="22"/>
              <c:tx>
                <c:rich>
                  <a:bodyPr/>
                  <a:lstStyle/>
                  <a:p>
                    <a:fld id="{1435F743-EDF8-4B6C-BCB2-27937DF3A80A}"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4834-439E-8474-46E75D7E476E}"/>
                </c:ext>
              </c:extLst>
            </c:dLbl>
            <c:dLbl>
              <c:idx val="23"/>
              <c:tx>
                <c:rich>
                  <a:bodyPr/>
                  <a:lstStyle/>
                  <a:p>
                    <a:fld id="{5CE9276F-3D76-4090-8266-31977126F401}"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4834-439E-8474-46E75D7E476E}"/>
                </c:ext>
              </c:extLst>
            </c:dLbl>
            <c:dLbl>
              <c:idx val="24"/>
              <c:tx>
                <c:rich>
                  <a:bodyPr/>
                  <a:lstStyle/>
                  <a:p>
                    <a:fld id="{C446E568-CE7B-463D-B86D-F795FCC0EAB7}"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4834-439E-8474-46E75D7E476E}"/>
                </c:ext>
              </c:extLst>
            </c:dLbl>
            <c:dLbl>
              <c:idx val="25"/>
              <c:tx>
                <c:rich>
                  <a:bodyPr/>
                  <a:lstStyle/>
                  <a:p>
                    <a:fld id="{73059996-BEE0-4371-B7CF-4FB7976EC4DD}"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4834-439E-8474-46E75D7E476E}"/>
                </c:ext>
              </c:extLst>
            </c:dLbl>
            <c:dLbl>
              <c:idx val="26"/>
              <c:tx>
                <c:rich>
                  <a:bodyPr/>
                  <a:lstStyle/>
                  <a:p>
                    <a:fld id="{26DD2A6B-E391-4D77-A96A-2B02939ABACD}"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4834-439E-8474-46E75D7E476E}"/>
                </c:ext>
              </c:extLst>
            </c:dLbl>
            <c:dLbl>
              <c:idx val="27"/>
              <c:tx>
                <c:rich>
                  <a:bodyPr/>
                  <a:lstStyle/>
                  <a:p>
                    <a:fld id="{B21EB943-75EC-499B-BD8A-3E93AC579ED4}"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4834-439E-8474-46E75D7E476E}"/>
                </c:ext>
              </c:extLst>
            </c:dLbl>
            <c:dLbl>
              <c:idx val="28"/>
              <c:tx>
                <c:rich>
                  <a:bodyPr/>
                  <a:lstStyle/>
                  <a:p>
                    <a:fld id="{C31BA150-0286-4F50-919A-B3A1C1D1F912}"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4834-439E-8474-46E75D7E476E}"/>
                </c:ext>
              </c:extLst>
            </c:dLbl>
            <c:dLbl>
              <c:idx val="29"/>
              <c:tx>
                <c:rich>
                  <a:bodyPr/>
                  <a:lstStyle/>
                  <a:p>
                    <a:fld id="{1E0B2C93-5A49-482E-A2AF-BE35FBD3D73E}"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4834-439E-8474-46E75D7E476E}"/>
                </c:ext>
              </c:extLst>
            </c:dLbl>
            <c:dLbl>
              <c:idx val="30"/>
              <c:tx>
                <c:rich>
                  <a:bodyPr/>
                  <a:lstStyle/>
                  <a:p>
                    <a:fld id="{592AAAE2-6F29-4FBF-A2FB-F9CD85826CAC}"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4834-439E-8474-46E75D7E476E}"/>
                </c:ext>
              </c:extLst>
            </c:dLbl>
            <c:dLbl>
              <c:idx val="31"/>
              <c:tx>
                <c:rich>
                  <a:bodyPr/>
                  <a:lstStyle/>
                  <a:p>
                    <a:fld id="{CEF857BA-31FE-4FBE-A6EB-19EE8552895E}"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4834-439E-8474-46E75D7E476E}"/>
                </c:ext>
              </c:extLst>
            </c:dLbl>
            <c:dLbl>
              <c:idx val="32"/>
              <c:tx>
                <c:rich>
                  <a:bodyPr/>
                  <a:lstStyle/>
                  <a:p>
                    <a:fld id="{508C4040-A914-4D67-9E26-418BE88FC5B8}"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4834-439E-8474-46E75D7E476E}"/>
                </c:ext>
              </c:extLst>
            </c:dLbl>
            <c:dLbl>
              <c:idx val="33"/>
              <c:tx>
                <c:rich>
                  <a:bodyPr/>
                  <a:lstStyle/>
                  <a:p>
                    <a:fld id="{C9D1254B-6378-463C-A129-0C61B8D087A9}"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4834-439E-8474-46E75D7E476E}"/>
                </c:ext>
              </c:extLst>
            </c:dLbl>
            <c:dLbl>
              <c:idx val="34"/>
              <c:tx>
                <c:rich>
                  <a:bodyPr/>
                  <a:lstStyle/>
                  <a:p>
                    <a:fld id="{AC732BEE-DDA0-4620-83E9-D3F6A10D0B07}"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4834-439E-8474-46E75D7E476E}"/>
                </c:ext>
              </c:extLst>
            </c:dLbl>
            <c:dLbl>
              <c:idx val="35"/>
              <c:tx>
                <c:rich>
                  <a:bodyPr/>
                  <a:lstStyle/>
                  <a:p>
                    <a:fld id="{FA4E9810-836B-46FE-9DD5-CAFDB64C20AA}"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4834-439E-8474-46E75D7E476E}"/>
                </c:ext>
              </c:extLst>
            </c:dLbl>
            <c:dLbl>
              <c:idx val="36"/>
              <c:tx>
                <c:rich>
                  <a:bodyPr/>
                  <a:lstStyle/>
                  <a:p>
                    <a:fld id="{495385E5-25CC-4E9A-BA30-5ECBFDB98537}"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4834-439E-8474-46E75D7E476E}"/>
                </c:ext>
              </c:extLst>
            </c:dLbl>
            <c:dLbl>
              <c:idx val="37"/>
              <c:tx>
                <c:rich>
                  <a:bodyPr/>
                  <a:lstStyle/>
                  <a:p>
                    <a:fld id="{D095498C-8240-4B71-A51D-12898A4C2651}"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4834-439E-8474-46E75D7E476E}"/>
                </c:ext>
              </c:extLst>
            </c:dLbl>
            <c:dLbl>
              <c:idx val="38"/>
              <c:tx>
                <c:rich>
                  <a:bodyPr/>
                  <a:lstStyle/>
                  <a:p>
                    <a:fld id="{A824721C-801A-4E82-BA56-EA4A11623515}"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4834-439E-8474-46E75D7E476E}"/>
                </c:ext>
              </c:extLst>
            </c:dLbl>
            <c:dLbl>
              <c:idx val="39"/>
              <c:tx>
                <c:rich>
                  <a:bodyPr/>
                  <a:lstStyle/>
                  <a:p>
                    <a:fld id="{A40E9FBE-E7BD-4237-A9D3-0E0CD1D4F997}"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4834-439E-8474-46E75D7E476E}"/>
                </c:ext>
              </c:extLst>
            </c:dLbl>
            <c:dLbl>
              <c:idx val="40"/>
              <c:tx>
                <c:rich>
                  <a:bodyPr/>
                  <a:lstStyle/>
                  <a:p>
                    <a:fld id="{06623A67-57BC-433E-86D8-3D4DF2AC47BB}"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4834-439E-8474-46E75D7E476E}"/>
                </c:ext>
              </c:extLst>
            </c:dLbl>
            <c:dLbl>
              <c:idx val="41"/>
              <c:tx>
                <c:rich>
                  <a:bodyPr/>
                  <a:lstStyle/>
                  <a:p>
                    <a:fld id="{A9D70C3E-E4A2-4E45-8AB5-E9FA64C0A5E0}"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4834-439E-8474-46E75D7E476E}"/>
                </c:ext>
              </c:extLst>
            </c:dLbl>
            <c:dLbl>
              <c:idx val="42"/>
              <c:tx>
                <c:rich>
                  <a:bodyPr/>
                  <a:lstStyle/>
                  <a:p>
                    <a:fld id="{DCD3E4D3-0830-4B21-92CA-083E1C33DEFF}"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4834-439E-8474-46E75D7E476E}"/>
                </c:ext>
              </c:extLst>
            </c:dLbl>
            <c:dLbl>
              <c:idx val="43"/>
              <c:tx>
                <c:rich>
                  <a:bodyPr/>
                  <a:lstStyle/>
                  <a:p>
                    <a:fld id="{E2C27AF5-8FA9-49B7-8F3B-1C27A2229DA1}"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4834-439E-8474-46E75D7E476E}"/>
                </c:ext>
              </c:extLst>
            </c:dLbl>
            <c:dLbl>
              <c:idx val="44"/>
              <c:tx>
                <c:rich>
                  <a:bodyPr/>
                  <a:lstStyle/>
                  <a:p>
                    <a:fld id="{3E9E7688-2068-4029-B751-4B87F8049C12}"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4834-439E-8474-46E75D7E476E}"/>
                </c:ext>
              </c:extLst>
            </c:dLbl>
            <c:dLbl>
              <c:idx val="45"/>
              <c:tx>
                <c:rich>
                  <a:bodyPr/>
                  <a:lstStyle/>
                  <a:p>
                    <a:fld id="{C43E0BB8-3836-4541-8B4C-C0D4CF674A30}"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4834-439E-8474-46E75D7E476E}"/>
                </c:ext>
              </c:extLst>
            </c:dLbl>
            <c:dLbl>
              <c:idx val="46"/>
              <c:tx>
                <c:rich>
                  <a:bodyPr/>
                  <a:lstStyle/>
                  <a:p>
                    <a:fld id="{BA6AB594-7DA3-40F2-888B-1AA8E58B6459}"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4834-439E-8474-46E75D7E476E}"/>
                </c:ext>
              </c:extLst>
            </c:dLbl>
            <c:dLbl>
              <c:idx val="47"/>
              <c:tx>
                <c:rich>
                  <a:bodyPr/>
                  <a:lstStyle/>
                  <a:p>
                    <a:fld id="{99BE0AFA-F163-41AE-8E40-4E7E539D66DE}"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4834-439E-8474-46E75D7E476E}"/>
                </c:ext>
              </c:extLst>
            </c:dLbl>
            <c:dLbl>
              <c:idx val="48"/>
              <c:tx>
                <c:rich>
                  <a:bodyPr/>
                  <a:lstStyle/>
                  <a:p>
                    <a:fld id="{4894F87A-2223-4AD9-962E-BDE492E95B2B}"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4834-439E-8474-46E75D7E476E}"/>
                </c:ext>
              </c:extLst>
            </c:dLbl>
            <c:dLbl>
              <c:idx val="49"/>
              <c:tx>
                <c:rich>
                  <a:bodyPr/>
                  <a:lstStyle/>
                  <a:p>
                    <a:fld id="{F6A7ADA6-AD0F-4232-A938-D9505FDAE62F}"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4834-439E-8474-46E75D7E476E}"/>
                </c:ext>
              </c:extLst>
            </c:dLbl>
            <c:dLbl>
              <c:idx val="50"/>
              <c:tx>
                <c:rich>
                  <a:bodyPr/>
                  <a:lstStyle/>
                  <a:p>
                    <a:fld id="{F1947D4C-7866-48B6-914C-03777E27747D}"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4834-439E-8474-46E75D7E476E}"/>
                </c:ext>
              </c:extLst>
            </c:dLbl>
            <c:dLbl>
              <c:idx val="51"/>
              <c:tx>
                <c:rich>
                  <a:bodyPr/>
                  <a:lstStyle/>
                  <a:p>
                    <a:fld id="{F62AC57C-566F-4116-ADEA-765728C763A5}"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4834-439E-8474-46E75D7E476E}"/>
                </c:ext>
              </c:extLst>
            </c:dLbl>
            <c:dLbl>
              <c:idx val="52"/>
              <c:tx>
                <c:rich>
                  <a:bodyPr/>
                  <a:lstStyle/>
                  <a:p>
                    <a:fld id="{B48E8A03-1B48-43BC-A519-7F6FF598B4AA}"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4834-439E-8474-46E75D7E476E}"/>
                </c:ext>
              </c:extLst>
            </c:dLbl>
            <c:dLbl>
              <c:idx val="53"/>
              <c:tx>
                <c:rich>
                  <a:bodyPr/>
                  <a:lstStyle/>
                  <a:p>
                    <a:fld id="{E1E62793-1F7C-4635-B639-69862F870CA0}"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4834-439E-8474-46E75D7E476E}"/>
                </c:ext>
              </c:extLst>
            </c:dLbl>
            <c:dLbl>
              <c:idx val="54"/>
              <c:tx>
                <c:rich>
                  <a:bodyPr/>
                  <a:lstStyle/>
                  <a:p>
                    <a:fld id="{FAE56373-9913-4985-BC07-CF8BBDAFC9D7}"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4834-439E-8474-46E75D7E476E}"/>
                </c:ext>
              </c:extLst>
            </c:dLbl>
            <c:dLbl>
              <c:idx val="55"/>
              <c:tx>
                <c:rich>
                  <a:bodyPr/>
                  <a:lstStyle/>
                  <a:p>
                    <a:fld id="{FB0D8CB8-DCE6-4857-B770-79382EA15A4B}"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4834-439E-8474-46E75D7E476E}"/>
                </c:ext>
              </c:extLst>
            </c:dLbl>
            <c:dLbl>
              <c:idx val="56"/>
              <c:tx>
                <c:rich>
                  <a:bodyPr/>
                  <a:lstStyle/>
                  <a:p>
                    <a:fld id="{46D7CBD1-2937-4C6D-BC4E-460651122A1D}"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4834-439E-8474-46E75D7E476E}"/>
                </c:ext>
              </c:extLst>
            </c:dLbl>
            <c:dLbl>
              <c:idx val="57"/>
              <c:tx>
                <c:rich>
                  <a:bodyPr/>
                  <a:lstStyle/>
                  <a:p>
                    <a:fld id="{8C7BFE23-D189-4F67-939B-9DA02618CAF2}"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4834-439E-8474-46E75D7E476E}"/>
                </c:ext>
              </c:extLst>
            </c:dLbl>
            <c:dLbl>
              <c:idx val="58"/>
              <c:tx>
                <c:rich>
                  <a:bodyPr/>
                  <a:lstStyle/>
                  <a:p>
                    <a:fld id="{738BF80E-67CE-413D-96F6-F37F4A34CFD5}"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A-4834-439E-8474-46E75D7E476E}"/>
                </c:ext>
              </c:extLst>
            </c:dLbl>
            <c:dLbl>
              <c:idx val="59"/>
              <c:tx>
                <c:rich>
                  <a:bodyPr/>
                  <a:lstStyle/>
                  <a:p>
                    <a:fld id="{7133E0C3-29A5-4688-A772-7304B1FBB8E4}"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4834-439E-8474-46E75D7E476E}"/>
                </c:ext>
              </c:extLst>
            </c:dLbl>
            <c:dLbl>
              <c:idx val="60"/>
              <c:tx>
                <c:rich>
                  <a:bodyPr/>
                  <a:lstStyle/>
                  <a:p>
                    <a:fld id="{F9B62A3B-1344-496E-8AF7-6604FA653D4D}"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4834-439E-8474-46E75D7E476E}"/>
                </c:ext>
              </c:extLst>
            </c:dLbl>
            <c:dLbl>
              <c:idx val="61"/>
              <c:tx>
                <c:rich>
                  <a:bodyPr/>
                  <a:lstStyle/>
                  <a:p>
                    <a:fld id="{AC40D01D-43E5-40D8-B9F0-FEB6C7BCD16A}"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4834-439E-8474-46E75D7E476E}"/>
                </c:ext>
              </c:extLst>
            </c:dLbl>
            <c:dLbl>
              <c:idx val="62"/>
              <c:tx>
                <c:rich>
                  <a:bodyPr/>
                  <a:lstStyle/>
                  <a:p>
                    <a:fld id="{70C2C212-3617-46A2-A84F-CD30795B0CFB}"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4834-439E-8474-46E75D7E476E}"/>
                </c:ext>
              </c:extLst>
            </c:dLbl>
            <c:dLbl>
              <c:idx val="63"/>
              <c:tx>
                <c:rich>
                  <a:bodyPr/>
                  <a:lstStyle/>
                  <a:p>
                    <a:fld id="{05581B39-8D4A-46B4-BC2C-6EB3771921B6}"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4834-439E-8474-46E75D7E476E}"/>
                </c:ext>
              </c:extLst>
            </c:dLbl>
            <c:dLbl>
              <c:idx val="64"/>
              <c:tx>
                <c:rich>
                  <a:bodyPr/>
                  <a:lstStyle/>
                  <a:p>
                    <a:fld id="{45AEFFC8-A076-4AAF-B115-FF5E82141536}"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0-4834-439E-8474-46E75D7E476E}"/>
                </c:ext>
              </c:extLst>
            </c:dLbl>
            <c:dLbl>
              <c:idx val="65"/>
              <c:tx>
                <c:rich>
                  <a:bodyPr/>
                  <a:lstStyle/>
                  <a:p>
                    <a:fld id="{672E9A24-83CC-4211-9D0B-9EE374802D78}"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1-4834-439E-8474-46E75D7E476E}"/>
                </c:ext>
              </c:extLst>
            </c:dLbl>
            <c:dLbl>
              <c:idx val="66"/>
              <c:tx>
                <c:rich>
                  <a:bodyPr/>
                  <a:lstStyle/>
                  <a:p>
                    <a:fld id="{A5897F4A-89F4-4CC7-B074-83770A29D8B3}"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4834-439E-8474-46E75D7E476E}"/>
                </c:ext>
              </c:extLst>
            </c:dLbl>
            <c:dLbl>
              <c:idx val="67"/>
              <c:tx>
                <c:rich>
                  <a:bodyPr/>
                  <a:lstStyle/>
                  <a:p>
                    <a:fld id="{3FE37042-2C28-4310-8D62-9FDBA33BA2D5}"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3-4834-439E-8474-46E75D7E476E}"/>
                </c:ext>
              </c:extLst>
            </c:dLbl>
            <c:dLbl>
              <c:idx val="68"/>
              <c:tx>
                <c:rich>
                  <a:bodyPr/>
                  <a:lstStyle/>
                  <a:p>
                    <a:fld id="{7E3534CB-E6D3-4837-8EE9-C28351370619}"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4-4834-439E-8474-46E75D7E476E}"/>
                </c:ext>
              </c:extLst>
            </c:dLbl>
            <c:dLbl>
              <c:idx val="69"/>
              <c:tx>
                <c:rich>
                  <a:bodyPr/>
                  <a:lstStyle/>
                  <a:p>
                    <a:fld id="{73C539F8-E684-4C63-8C07-4C0C404B8EF4}"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5-4834-439E-8474-46E75D7E476E}"/>
                </c:ext>
              </c:extLst>
            </c:dLbl>
            <c:dLbl>
              <c:idx val="70"/>
              <c:tx>
                <c:rich>
                  <a:bodyPr/>
                  <a:lstStyle/>
                  <a:p>
                    <a:fld id="{520A503A-E97F-4B79-BE76-849F74BA0530}"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6-4834-439E-8474-46E75D7E476E}"/>
                </c:ext>
              </c:extLst>
            </c:dLbl>
            <c:dLbl>
              <c:idx val="71"/>
              <c:tx>
                <c:rich>
                  <a:bodyPr/>
                  <a:lstStyle/>
                  <a:p>
                    <a:fld id="{93C009F8-79B8-42F2-9FBA-FF39187A5AAD}"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7-4834-439E-8474-46E75D7E476E}"/>
                </c:ext>
              </c:extLst>
            </c:dLbl>
            <c:dLbl>
              <c:idx val="72"/>
              <c:tx>
                <c:rich>
                  <a:bodyPr/>
                  <a:lstStyle/>
                  <a:p>
                    <a:fld id="{6D061CC7-6D10-403A-B9C5-DA85DE7B2CA4}"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8-4834-439E-8474-46E75D7E476E}"/>
                </c:ext>
              </c:extLst>
            </c:dLbl>
            <c:dLbl>
              <c:idx val="73"/>
              <c:tx>
                <c:rich>
                  <a:bodyPr/>
                  <a:lstStyle/>
                  <a:p>
                    <a:fld id="{03E5D5B4-A82A-4330-BB9C-242C167A8CD2}"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9-4834-439E-8474-46E75D7E476E}"/>
                </c:ext>
              </c:extLst>
            </c:dLbl>
            <c:dLbl>
              <c:idx val="74"/>
              <c:tx>
                <c:rich>
                  <a:bodyPr/>
                  <a:lstStyle/>
                  <a:p>
                    <a:fld id="{1132AF6D-6AEF-4086-AB22-3042D339DD01}"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A-4834-439E-8474-46E75D7E476E}"/>
                </c:ext>
              </c:extLst>
            </c:dLbl>
            <c:dLbl>
              <c:idx val="75"/>
              <c:tx>
                <c:rich>
                  <a:bodyPr/>
                  <a:lstStyle/>
                  <a:p>
                    <a:fld id="{248AC4EB-AB5F-4581-940A-E2D7E05F38CC}"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B-4834-439E-8474-46E75D7E476E}"/>
                </c:ext>
              </c:extLst>
            </c:dLbl>
            <c:dLbl>
              <c:idx val="76"/>
              <c:tx>
                <c:rich>
                  <a:bodyPr/>
                  <a:lstStyle/>
                  <a:p>
                    <a:fld id="{47DEC958-F04B-4BDE-8EE3-345D702665DE}"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C-4834-439E-8474-46E75D7E476E}"/>
                </c:ext>
              </c:extLst>
            </c:dLbl>
            <c:dLbl>
              <c:idx val="77"/>
              <c:tx>
                <c:rich>
                  <a:bodyPr/>
                  <a:lstStyle/>
                  <a:p>
                    <a:fld id="{74D2DDAD-8739-4306-B19A-0BC3176B3822}"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D-4834-439E-8474-46E75D7E476E}"/>
                </c:ext>
              </c:extLst>
            </c:dLbl>
            <c:dLbl>
              <c:idx val="78"/>
              <c:tx>
                <c:rich>
                  <a:bodyPr/>
                  <a:lstStyle/>
                  <a:p>
                    <a:fld id="{D877D0BC-2652-485A-8D8B-A733D0637D50}"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E-4834-439E-8474-46E75D7E476E}"/>
                </c:ext>
              </c:extLst>
            </c:dLbl>
            <c:dLbl>
              <c:idx val="79"/>
              <c:tx>
                <c:rich>
                  <a:bodyPr/>
                  <a:lstStyle/>
                  <a:p>
                    <a:fld id="{335CC915-F338-4D2C-842D-F0CCCA1EBE36}"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F-4834-439E-8474-46E75D7E476E}"/>
                </c:ext>
              </c:extLst>
            </c:dLbl>
            <c:dLbl>
              <c:idx val="80"/>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0-4834-439E-8474-46E75D7E476E}"/>
                </c:ext>
              </c:extLst>
            </c:dLbl>
            <c:dLbl>
              <c:idx val="81"/>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1-4834-439E-8474-46E75D7E476E}"/>
                </c:ext>
              </c:extLst>
            </c:dLbl>
            <c:dLbl>
              <c:idx val="82"/>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2-4834-439E-8474-46E75D7E476E}"/>
                </c:ext>
              </c:extLst>
            </c:dLbl>
            <c:dLbl>
              <c:idx val="83"/>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3-4834-439E-8474-46E75D7E476E}"/>
                </c:ext>
              </c:extLst>
            </c:dLbl>
            <c:dLbl>
              <c:idx val="84"/>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4-4834-439E-8474-46E75D7E476E}"/>
                </c:ext>
              </c:extLst>
            </c:dLbl>
            <c:dLbl>
              <c:idx val="85"/>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5-4834-439E-8474-46E75D7E476E}"/>
                </c:ext>
              </c:extLst>
            </c:dLbl>
            <c:dLbl>
              <c:idx val="86"/>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6-4834-439E-8474-46E75D7E476E}"/>
                </c:ext>
              </c:extLst>
            </c:dLbl>
            <c:dLbl>
              <c:idx val="87"/>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7-4834-439E-8474-46E75D7E476E}"/>
                </c:ext>
              </c:extLst>
            </c:dLbl>
            <c:dLbl>
              <c:idx val="88"/>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8-4834-439E-8474-46E75D7E476E}"/>
                </c:ext>
              </c:extLst>
            </c:dLbl>
            <c:dLbl>
              <c:idx val="89"/>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9-4834-439E-8474-46E75D7E476E}"/>
                </c:ext>
              </c:extLst>
            </c:dLbl>
            <c:dLbl>
              <c:idx val="90"/>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A-4834-439E-8474-46E75D7E476E}"/>
                </c:ext>
              </c:extLst>
            </c:dLbl>
            <c:dLbl>
              <c:idx val="91"/>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B-4834-439E-8474-46E75D7E476E}"/>
                </c:ext>
              </c:extLst>
            </c:dLbl>
            <c:dLbl>
              <c:idx val="92"/>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C-4834-439E-8474-46E75D7E476E}"/>
                </c:ext>
              </c:extLst>
            </c:dLbl>
            <c:dLbl>
              <c:idx val="93"/>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D-4834-439E-8474-46E75D7E476E}"/>
                </c:ext>
              </c:extLst>
            </c:dLbl>
            <c:spPr>
              <a:noFill/>
              <a:ln>
                <a:noFill/>
              </a:ln>
              <a:effectLst/>
            </c:spPr>
            <c:txPr>
              <a:bodyPr wrap="square" lIns="38100" tIns="19050" rIns="38100" bIns="19050" anchor="ctr">
                <a:spAutoFit/>
              </a:bodyPr>
              <a:lstStyle/>
              <a:p>
                <a:pPr>
                  <a:defRPr sz="1000" baseline="0">
                    <a:solidFill>
                      <a:schemeClr val="bg1">
                        <a:lumMod val="75000"/>
                      </a:schemeClr>
                    </a:solidFill>
                  </a:defRPr>
                </a:pPr>
                <a:endParaRPr lang="fr-FR"/>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trendline>
            <c:spPr>
              <a:ln w="38100">
                <a:solidFill>
                  <a:srgbClr val="000000"/>
                </a:solidFill>
                <a:prstDash val="sysDash"/>
              </a:ln>
            </c:spPr>
            <c:trendlineType val="linear"/>
            <c:dispRSqr val="0"/>
            <c:dispEq val="0"/>
          </c:trendline>
          <c:trendline>
            <c:trendlineType val="linear"/>
            <c:dispRSqr val="0"/>
            <c:dispEq val="0"/>
          </c:trendline>
          <c:xVal>
            <c:numRef>
              <c:f>Lijour!$F$63:$F$156</c:f>
              <c:numCache>
                <c:formatCode>General</c:formatCode>
                <c:ptCount val="94"/>
                <c:pt idx="0">
                  <c:v>9.1510476458345558</c:v>
                </c:pt>
                <c:pt idx="1">
                  <c:v>13.22396877197639</c:v>
                </c:pt>
                <c:pt idx="2">
                  <c:v>7.8469075491417586</c:v>
                </c:pt>
                <c:pt idx="3">
                  <c:v>14.062268402263349</c:v>
                </c:pt>
                <c:pt idx="4">
                  <c:v>7.9940291742065144</c:v>
                </c:pt>
                <c:pt idx="5">
                  <c:v>12.621575882153341</c:v>
                </c:pt>
                <c:pt idx="6">
                  <c:v>9.6121604304485775</c:v>
                </c:pt>
                <c:pt idx="7">
                  <c:v>10.538184071263951</c:v>
                </c:pt>
                <c:pt idx="8">
                  <c:v>11.04939437603187</c:v>
                </c:pt>
                <c:pt idx="9">
                  <c:v>9.0639644088000928</c:v>
                </c:pt>
                <c:pt idx="10">
                  <c:v>12.468850709483769</c:v>
                </c:pt>
                <c:pt idx="11">
                  <c:v>12.134379195170681</c:v>
                </c:pt>
                <c:pt idx="12">
                  <c:v>8.3660186389140492</c:v>
                </c:pt>
                <c:pt idx="13">
                  <c:v>12.447517210997249</c:v>
                </c:pt>
                <c:pt idx="14">
                  <c:v>9.3690118521508374</c:v>
                </c:pt>
                <c:pt idx="15">
                  <c:v>10.714098985636181</c:v>
                </c:pt>
                <c:pt idx="16">
                  <c:v>12.44493285637056</c:v>
                </c:pt>
                <c:pt idx="17">
                  <c:v>12.906566910844839</c:v>
                </c:pt>
                <c:pt idx="18">
                  <c:v>11.964026913429951</c:v>
                </c:pt>
                <c:pt idx="19">
                  <c:v>10.168167717309119</c:v>
                </c:pt>
                <c:pt idx="20">
                  <c:v>9.2710417746237503</c:v>
                </c:pt>
                <c:pt idx="21">
                  <c:v>11.97154788257845</c:v>
                </c:pt>
                <c:pt idx="22">
                  <c:v>12.92162308965375</c:v>
                </c:pt>
                <c:pt idx="23">
                  <c:v>13.313125921168041</c:v>
                </c:pt>
                <c:pt idx="24">
                  <c:v>12.92334256244372</c:v>
                </c:pt>
                <c:pt idx="25">
                  <c:v>10.25792352490596</c:v>
                </c:pt>
                <c:pt idx="26">
                  <c:v>16.42485527504062</c:v>
                </c:pt>
                <c:pt idx="27">
                  <c:v>11.135292162577191</c:v>
                </c:pt>
                <c:pt idx="28">
                  <c:v>13.55800305679387</c:v>
                </c:pt>
                <c:pt idx="29">
                  <c:v>11.58193300362184</c:v>
                </c:pt>
                <c:pt idx="30">
                  <c:v>11.769532255969031</c:v>
                </c:pt>
                <c:pt idx="31">
                  <c:v>11.24348617194387</c:v>
                </c:pt>
                <c:pt idx="32">
                  <c:v>12.38604206940594</c:v>
                </c:pt>
                <c:pt idx="33">
                  <c:v>14.166535178452079</c:v>
                </c:pt>
                <c:pt idx="34">
                  <c:v>9.7224457827946367</c:v>
                </c:pt>
                <c:pt idx="35">
                  <c:v>8.0294822384142392</c:v>
                </c:pt>
                <c:pt idx="36">
                  <c:v>13.007449720064651</c:v>
                </c:pt>
                <c:pt idx="37">
                  <c:v>10.92623204605343</c:v>
                </c:pt>
                <c:pt idx="38">
                  <c:v>10.181207855134801</c:v>
                </c:pt>
                <c:pt idx="39">
                  <c:v>11.648466101800381</c:v>
                </c:pt>
                <c:pt idx="40">
                  <c:v>12.3318512654572</c:v>
                </c:pt>
                <c:pt idx="41">
                  <c:v>12.423310697771541</c:v>
                </c:pt>
                <c:pt idx="42">
                  <c:v>13.79822851470078</c:v>
                </c:pt>
                <c:pt idx="43">
                  <c:v>11.84716857946907</c:v>
                </c:pt>
                <c:pt idx="44">
                  <c:v>10.26019047618766</c:v>
                </c:pt>
                <c:pt idx="45">
                  <c:v>12.37790688820926</c:v>
                </c:pt>
                <c:pt idx="46">
                  <c:v>13.85411663818822</c:v>
                </c:pt>
                <c:pt idx="47">
                  <c:v>10.72279663857705</c:v>
                </c:pt>
                <c:pt idx="48">
                  <c:v>12.03431217962955</c:v>
                </c:pt>
                <c:pt idx="49">
                  <c:v>11.276469840739329</c:v>
                </c:pt>
                <c:pt idx="50">
                  <c:v>11.17352675562508</c:v>
                </c:pt>
                <c:pt idx="51">
                  <c:v>13.017403831782939</c:v>
                </c:pt>
                <c:pt idx="52">
                  <c:v>10.93803833891519</c:v>
                </c:pt>
                <c:pt idx="53">
                  <c:v>15.91366721333357</c:v>
                </c:pt>
                <c:pt idx="54">
                  <c:v>12.509833085789969</c:v>
                </c:pt>
                <c:pt idx="55">
                  <c:v>10.25870675202431</c:v>
                </c:pt>
                <c:pt idx="56">
                  <c:v>10.78625386002942</c:v>
                </c:pt>
                <c:pt idx="57">
                  <c:v>9.8557378718542825</c:v>
                </c:pt>
                <c:pt idx="58">
                  <c:v>14.5032694343427</c:v>
                </c:pt>
                <c:pt idx="59">
                  <c:v>9.4444645073690126</c:v>
                </c:pt>
                <c:pt idx="60">
                  <c:v>13.02512639952063</c:v>
                </c:pt>
                <c:pt idx="61">
                  <c:v>9.6207743711381006</c:v>
                </c:pt>
                <c:pt idx="62">
                  <c:v>13.580746942517109</c:v>
                </c:pt>
                <c:pt idx="63">
                  <c:v>11.76770142952763</c:v>
                </c:pt>
                <c:pt idx="64">
                  <c:v>13.04096826405614</c:v>
                </c:pt>
                <c:pt idx="65">
                  <c:v>11.67663219090544</c:v>
                </c:pt>
                <c:pt idx="66">
                  <c:v>15.563245659264631</c:v>
                </c:pt>
                <c:pt idx="67">
                  <c:v>12.82252194686833</c:v>
                </c:pt>
                <c:pt idx="68">
                  <c:v>11.33995205577194</c:v>
                </c:pt>
                <c:pt idx="69">
                  <c:v>13.72194889534074</c:v>
                </c:pt>
                <c:pt idx="70">
                  <c:v>11.69728337222932</c:v>
                </c:pt>
                <c:pt idx="71">
                  <c:v>14.190501700957601</c:v>
                </c:pt>
                <c:pt idx="72">
                  <c:v>11.593816045993099</c:v>
                </c:pt>
                <c:pt idx="73">
                  <c:v>14.965899823511039</c:v>
                </c:pt>
                <c:pt idx="74">
                  <c:v>14.727669804095351</c:v>
                </c:pt>
                <c:pt idx="75">
                  <c:v>14.01898160305092</c:v>
                </c:pt>
                <c:pt idx="76">
                  <c:v>15.41514732960802</c:v>
                </c:pt>
                <c:pt idx="77">
                  <c:v>14.671741752640949</c:v>
                </c:pt>
                <c:pt idx="78">
                  <c:v>5.7431370819267809</c:v>
                </c:pt>
                <c:pt idx="79">
                  <c:v>13.94206772121152</c:v>
                </c:pt>
              </c:numCache>
            </c:numRef>
          </c:xVal>
          <c:yVal>
            <c:numRef>
              <c:f>Lijour!$D$63:$D$156</c:f>
              <c:numCache>
                <c:formatCode>General</c:formatCode>
                <c:ptCount val="94"/>
                <c:pt idx="0">
                  <c:v>9.9399996000000002</c:v>
                </c:pt>
                <c:pt idx="1">
                  <c:v>10.0200005</c:v>
                </c:pt>
                <c:pt idx="2">
                  <c:v>10</c:v>
                </c:pt>
                <c:pt idx="3">
                  <c:v>10.5</c:v>
                </c:pt>
                <c:pt idx="4">
                  <c:v>10.779999699999999</c:v>
                </c:pt>
                <c:pt idx="5">
                  <c:v>10.449999800000001</c:v>
                </c:pt>
                <c:pt idx="6">
                  <c:v>11.0200005</c:v>
                </c:pt>
                <c:pt idx="7">
                  <c:v>10.800000199999999</c:v>
                </c:pt>
                <c:pt idx="8">
                  <c:v>10.8800001</c:v>
                </c:pt>
                <c:pt idx="9">
                  <c:v>11.0600004</c:v>
                </c:pt>
                <c:pt idx="10">
                  <c:v>11.0900002</c:v>
                </c:pt>
                <c:pt idx="11">
                  <c:v>11.6199999</c:v>
                </c:pt>
                <c:pt idx="12">
                  <c:v>9.9600000000000009</c:v>
                </c:pt>
                <c:pt idx="13">
                  <c:v>9.5</c:v>
                </c:pt>
                <c:pt idx="14">
                  <c:v>9.9899997999999997</c:v>
                </c:pt>
                <c:pt idx="15">
                  <c:v>10.0100002</c:v>
                </c:pt>
                <c:pt idx="16">
                  <c:v>9.8299999000000007</c:v>
                </c:pt>
                <c:pt idx="17">
                  <c:v>9.5699997000000003</c:v>
                </c:pt>
                <c:pt idx="18">
                  <c:v>9.9200000999999993</c:v>
                </c:pt>
                <c:pt idx="19">
                  <c:v>11.670000099999999</c:v>
                </c:pt>
                <c:pt idx="20">
                  <c:v>11.5</c:v>
                </c:pt>
                <c:pt idx="21">
                  <c:v>11.3699999</c:v>
                </c:pt>
                <c:pt idx="22">
                  <c:v>11.5900002</c:v>
                </c:pt>
                <c:pt idx="23">
                  <c:v>9.8800001000000002</c:v>
                </c:pt>
                <c:pt idx="24">
                  <c:v>11.8400002</c:v>
                </c:pt>
                <c:pt idx="25">
                  <c:v>10</c:v>
                </c:pt>
                <c:pt idx="26">
                  <c:v>10.100000400000001</c:v>
                </c:pt>
                <c:pt idx="27">
                  <c:v>11.399999599999999</c:v>
                </c:pt>
                <c:pt idx="28">
                  <c:v>10.279999699999999</c:v>
                </c:pt>
                <c:pt idx="29">
                  <c:v>12.21</c:v>
                </c:pt>
                <c:pt idx="30">
                  <c:v>11.9399996</c:v>
                </c:pt>
                <c:pt idx="31">
                  <c:v>10.3699999</c:v>
                </c:pt>
                <c:pt idx="32">
                  <c:v>10.3800001</c:v>
                </c:pt>
                <c:pt idx="33">
                  <c:v>9.8800001000000002</c:v>
                </c:pt>
                <c:pt idx="34">
                  <c:v>12.079999900000001</c:v>
                </c:pt>
                <c:pt idx="35">
                  <c:v>9.0799999000000007</c:v>
                </c:pt>
                <c:pt idx="36">
                  <c:v>10.800000199999999</c:v>
                </c:pt>
                <c:pt idx="37">
                  <c:v>9.3599996999999995</c:v>
                </c:pt>
                <c:pt idx="38">
                  <c:v>12.449999800000001</c:v>
                </c:pt>
                <c:pt idx="39">
                  <c:v>10.920000099999999</c:v>
                </c:pt>
                <c:pt idx="40">
                  <c:v>10.949999800000001</c:v>
                </c:pt>
                <c:pt idx="41">
                  <c:v>10.9899998</c:v>
                </c:pt>
                <c:pt idx="42">
                  <c:v>11</c:v>
                </c:pt>
                <c:pt idx="43">
                  <c:v>9.9700003000000006</c:v>
                </c:pt>
                <c:pt idx="44">
                  <c:v>12.899999599999999</c:v>
                </c:pt>
                <c:pt idx="45">
                  <c:v>10.529999699999999</c:v>
                </c:pt>
                <c:pt idx="46">
                  <c:v>11.0600004</c:v>
                </c:pt>
                <c:pt idx="47">
                  <c:v>9.1000004000000008</c:v>
                </c:pt>
                <c:pt idx="48">
                  <c:v>8.9700003000000006</c:v>
                </c:pt>
                <c:pt idx="49">
                  <c:v>11.1199999</c:v>
                </c:pt>
                <c:pt idx="50">
                  <c:v>9.2299994999999999</c:v>
                </c:pt>
                <c:pt idx="51">
                  <c:v>11.2299995</c:v>
                </c:pt>
                <c:pt idx="52">
                  <c:v>11.2299995</c:v>
                </c:pt>
                <c:pt idx="53">
                  <c:v>11.2399998</c:v>
                </c:pt>
                <c:pt idx="54">
                  <c:v>12.5600004</c:v>
                </c:pt>
                <c:pt idx="55">
                  <c:v>10.0699997</c:v>
                </c:pt>
                <c:pt idx="56">
                  <c:v>9.9399996000000002</c:v>
                </c:pt>
                <c:pt idx="57">
                  <c:v>10.2399998</c:v>
                </c:pt>
                <c:pt idx="58">
                  <c:v>11.420000099999999</c:v>
                </c:pt>
                <c:pt idx="59">
                  <c:v>10.5</c:v>
                </c:pt>
                <c:pt idx="60">
                  <c:v>13.140000300000001</c:v>
                </c:pt>
                <c:pt idx="61">
                  <c:v>11.699999800000001</c:v>
                </c:pt>
                <c:pt idx="62">
                  <c:v>10.3800001</c:v>
                </c:pt>
                <c:pt idx="63">
                  <c:v>13.350000400000001</c:v>
                </c:pt>
                <c:pt idx="64">
                  <c:v>12.6599998</c:v>
                </c:pt>
                <c:pt idx="65">
                  <c:v>11.9899998</c:v>
                </c:pt>
                <c:pt idx="66">
                  <c:v>12</c:v>
                </c:pt>
                <c:pt idx="67">
                  <c:v>12</c:v>
                </c:pt>
                <c:pt idx="68">
                  <c:v>13.1599998</c:v>
                </c:pt>
                <c:pt idx="69">
                  <c:v>12.170000099999999</c:v>
                </c:pt>
                <c:pt idx="70">
                  <c:v>10.970000300000001</c:v>
                </c:pt>
                <c:pt idx="71">
                  <c:v>12.2600002</c:v>
                </c:pt>
                <c:pt idx="72">
                  <c:v>13.029999699999999</c:v>
                </c:pt>
                <c:pt idx="73">
                  <c:v>12.359999699999999</c:v>
                </c:pt>
                <c:pt idx="74">
                  <c:v>12.399999599999999</c:v>
                </c:pt>
                <c:pt idx="75">
                  <c:v>12.5</c:v>
                </c:pt>
                <c:pt idx="76">
                  <c:v>12.600000400000001</c:v>
                </c:pt>
                <c:pt idx="77">
                  <c:v>12.670000099999999</c:v>
                </c:pt>
                <c:pt idx="78">
                  <c:v>12.699999800000001</c:v>
                </c:pt>
                <c:pt idx="79">
                  <c:v>14.4300003</c:v>
                </c:pt>
              </c:numCache>
            </c:numRef>
          </c:yVal>
          <c:smooth val="0"/>
          <c:extLst>
            <c:ext xmlns:c15="http://schemas.microsoft.com/office/drawing/2012/chart" uri="{02D57815-91ED-43cb-92C2-25804820EDAC}">
              <c15:datalabelsRange>
                <c15:f>Lijour!$B$63:$B$142</c15:f>
                <c15:dlblRangeCache>
                  <c:ptCount val="8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15:dlblRangeCache>
              </c15:datalabelsRange>
            </c:ext>
            <c:ext xmlns:c16="http://schemas.microsoft.com/office/drawing/2014/chart" uri="{C3380CC4-5D6E-409C-BE32-E72D297353CC}">
              <c16:uniqueId val="{00000060-4834-439E-8474-46E75D7E476E}"/>
            </c:ext>
          </c:extLst>
        </c:ser>
        <c:ser>
          <c:idx val="1"/>
          <c:order val="1"/>
          <c:tx>
            <c:v>45°</c:v>
          </c:tx>
          <c:spPr>
            <a:ln w="25400">
              <a:solidFill>
                <a:srgbClr val="FF0000"/>
              </a:solidFill>
              <a:prstDash val="solid"/>
            </a:ln>
          </c:spPr>
          <c:marker>
            <c:symbol val="none"/>
          </c:marker>
          <c:xVal>
            <c:numRef>
              <c:f>Lijour!$E$10:$E$11</c:f>
              <c:numCache>
                <c:formatCode>0.00</c:formatCode>
                <c:ptCount val="2"/>
                <c:pt idx="0">
                  <c:v>5</c:v>
                </c:pt>
                <c:pt idx="1">
                  <c:v>18</c:v>
                </c:pt>
              </c:numCache>
            </c:numRef>
          </c:xVal>
          <c:yVal>
            <c:numRef>
              <c:f>Lijour!$E$10:$E$11</c:f>
              <c:numCache>
                <c:formatCode>0.00</c:formatCode>
                <c:ptCount val="2"/>
                <c:pt idx="0">
                  <c:v>5</c:v>
                </c:pt>
                <c:pt idx="1">
                  <c:v>18</c:v>
                </c:pt>
              </c:numCache>
            </c:numRef>
          </c:yVal>
          <c:smooth val="0"/>
          <c:extLst>
            <c:ext xmlns:c16="http://schemas.microsoft.com/office/drawing/2014/chart" uri="{C3380CC4-5D6E-409C-BE32-E72D297353CC}">
              <c16:uniqueId val="{00000061-4834-439E-8474-46E75D7E476E}"/>
            </c:ext>
          </c:extLst>
        </c:ser>
        <c:ser>
          <c:idx val="2"/>
          <c:order val="2"/>
          <c:tx>
            <c:v>45°-Bias</c:v>
          </c:tx>
          <c:spPr>
            <a:ln w="38100">
              <a:solidFill>
                <a:srgbClr val="0000FF"/>
              </a:solidFill>
              <a:prstDash val="lgDashDotDot"/>
            </a:ln>
          </c:spPr>
          <c:marker>
            <c:symbol val="none"/>
          </c:marker>
          <c:xVal>
            <c:numRef>
              <c:f>Lijour!$W$10:$W$11</c:f>
              <c:numCache>
                <c:formatCode>0.00</c:formatCode>
                <c:ptCount val="2"/>
                <c:pt idx="0">
                  <c:v>5.7784969841999878</c:v>
                </c:pt>
                <c:pt idx="1">
                  <c:v>18.77849698419999</c:v>
                </c:pt>
              </c:numCache>
            </c:numRef>
          </c:xVal>
          <c:yVal>
            <c:numRef>
              <c:f>Lijour!$E$10:$E$11</c:f>
              <c:numCache>
                <c:formatCode>0.00</c:formatCode>
                <c:ptCount val="2"/>
                <c:pt idx="0">
                  <c:v>5</c:v>
                </c:pt>
                <c:pt idx="1">
                  <c:v>18</c:v>
                </c:pt>
              </c:numCache>
            </c:numRef>
          </c:yVal>
          <c:smooth val="0"/>
          <c:extLst>
            <c:ext xmlns:c16="http://schemas.microsoft.com/office/drawing/2014/chart" uri="{C3380CC4-5D6E-409C-BE32-E72D297353CC}">
              <c16:uniqueId val="{00000062-4834-439E-8474-46E75D7E476E}"/>
            </c:ext>
          </c:extLst>
        </c:ser>
        <c:ser>
          <c:idx val="3"/>
          <c:order val="3"/>
          <c:tx>
            <c:v>Least Rec </c:v>
          </c:tx>
          <c:spPr>
            <a:ln w="25400">
              <a:solidFill>
                <a:srgbClr val="FF9900"/>
              </a:solidFill>
              <a:prstDash val="sysDash"/>
            </a:ln>
          </c:spPr>
          <c:marker>
            <c:symbol val="none"/>
          </c:marker>
          <c:xVal>
            <c:numRef>
              <c:f>Lijour!$Y$19:$Y$20</c:f>
              <c:numCache>
                <c:formatCode>General</c:formatCode>
                <c:ptCount val="2"/>
                <c:pt idx="0">
                  <c:v>5</c:v>
                </c:pt>
                <c:pt idx="1">
                  <c:v>18</c:v>
                </c:pt>
              </c:numCache>
            </c:numRef>
          </c:xVal>
          <c:yVal>
            <c:numRef>
              <c:f>Lijour!$X$19:$X$20</c:f>
              <c:numCache>
                <c:formatCode>0.000</c:formatCode>
                <c:ptCount val="2"/>
                <c:pt idx="0">
                  <c:v>7.134358238993368</c:v>
                </c:pt>
                <c:pt idx="1">
                  <c:v>14.636806759466587</c:v>
                </c:pt>
              </c:numCache>
            </c:numRef>
          </c:yVal>
          <c:smooth val="0"/>
          <c:extLst>
            <c:ext xmlns:c16="http://schemas.microsoft.com/office/drawing/2014/chart" uri="{C3380CC4-5D6E-409C-BE32-E72D297353CC}">
              <c16:uniqueId val="{00000063-4834-439E-8474-46E75D7E476E}"/>
            </c:ext>
          </c:extLst>
        </c:ser>
        <c:dLbls>
          <c:showLegendKey val="0"/>
          <c:showVal val="0"/>
          <c:showCatName val="0"/>
          <c:showSerName val="0"/>
          <c:showPercent val="0"/>
          <c:showBubbleSize val="0"/>
        </c:dLbls>
        <c:axId val="159636864"/>
        <c:axId val="201328128"/>
      </c:scatterChart>
      <c:valAx>
        <c:axId val="159636864"/>
        <c:scaling>
          <c:orientation val="minMax"/>
          <c:max val="18"/>
          <c:min val="8"/>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775" b="0" i="0" u="none" strike="noStrike" baseline="0">
                <a:solidFill>
                  <a:srgbClr val="000000"/>
                </a:solidFill>
                <a:latin typeface="Arial"/>
                <a:ea typeface="Arial"/>
                <a:cs typeface="Arial"/>
              </a:defRPr>
            </a:pPr>
            <a:endParaRPr lang="fr-FR"/>
          </a:p>
        </c:txPr>
        <c:crossAx val="201328128"/>
        <c:crosses val="autoZero"/>
        <c:crossBetween val="midCat"/>
      </c:valAx>
      <c:valAx>
        <c:axId val="201328128"/>
        <c:scaling>
          <c:orientation val="minMax"/>
          <c:min val="8"/>
        </c:scaling>
        <c:delete val="0"/>
        <c:axPos val="l"/>
        <c:numFmt formatCode="General" sourceLinked="1"/>
        <c:majorTickMark val="out"/>
        <c:minorTickMark val="none"/>
        <c:tickLblPos val="nextTo"/>
        <c:spPr>
          <a:ln w="3175">
            <a:solidFill>
              <a:srgbClr val="000000"/>
            </a:solidFill>
            <a:prstDash val="solid"/>
          </a:ln>
        </c:spPr>
        <c:txPr>
          <a:bodyPr rot="0" vert="horz"/>
          <a:lstStyle/>
          <a:p>
            <a:pPr>
              <a:defRPr sz="1775" b="0" i="0" u="none" strike="noStrike" baseline="0">
                <a:solidFill>
                  <a:srgbClr val="000000"/>
                </a:solidFill>
                <a:latin typeface="Arial"/>
                <a:ea typeface="Arial"/>
                <a:cs typeface="Arial"/>
              </a:defRPr>
            </a:pPr>
            <a:endParaRPr lang="fr-FR"/>
          </a:p>
        </c:txPr>
        <c:crossAx val="159636864"/>
        <c:crosses val="autoZero"/>
        <c:crossBetween val="midCat"/>
      </c:valAx>
      <c:spPr>
        <a:noFill/>
        <a:ln w="12700">
          <a:solidFill>
            <a:srgbClr val="808080"/>
          </a:solidFill>
          <a:prstDash val="solid"/>
        </a:ln>
      </c:spPr>
    </c:plotArea>
    <c:legend>
      <c:legendPos val="r"/>
      <c:legendEntry>
        <c:idx val="5"/>
        <c:delete val="1"/>
      </c:legendEntry>
      <c:layout>
        <c:manualLayout>
          <c:xMode val="edge"/>
          <c:yMode val="edge"/>
          <c:x val="0.79767434134024384"/>
          <c:y val="0.33862478127734036"/>
          <c:w val="0.15397255752001976"/>
          <c:h val="0.2372110830586843"/>
        </c:manualLayout>
      </c:layout>
      <c:overlay val="0"/>
      <c:spPr>
        <a:solidFill>
          <a:srgbClr val="FFFFFF"/>
        </a:solidFill>
        <a:ln w="3175">
          <a:solidFill>
            <a:srgbClr val="000000"/>
          </a:solidFill>
          <a:prstDash val="solid"/>
        </a:ln>
      </c:spPr>
      <c:txPr>
        <a:bodyPr/>
        <a:lstStyle/>
        <a:p>
          <a:pPr>
            <a:defRPr sz="1350" b="1" i="0" u="none" strike="noStrike" baseline="0">
              <a:solidFill>
                <a:srgbClr val="000000"/>
              </a:solidFill>
              <a:latin typeface="Arial"/>
              <a:ea typeface="Arial"/>
              <a:cs typeface="Arial"/>
            </a:defRPr>
          </a:pPr>
          <a:endParaRPr lang="fr-FR"/>
        </a:p>
      </c:txPr>
    </c:legend>
    <c:plotVisOnly val="1"/>
    <c:dispBlanksAs val="gap"/>
    <c:showDLblsOverMax val="0"/>
  </c:chart>
  <c:spPr>
    <a:solidFill>
      <a:srgbClr val="FFFFFF"/>
    </a:solidFill>
    <a:ln w="25400">
      <a:solidFill>
        <a:srgbClr val="000000"/>
      </a:solidFill>
      <a:prstDash val="solid"/>
    </a:ln>
  </c:spPr>
  <c:txPr>
    <a:bodyPr/>
    <a:lstStyle/>
    <a:p>
      <a:pPr>
        <a:defRPr sz="1775" b="0" i="0" u="none" strike="noStrike" baseline="0">
          <a:solidFill>
            <a:srgbClr val="000000"/>
          </a:solidFill>
          <a:latin typeface="Arial"/>
          <a:ea typeface="Arial"/>
          <a:cs typeface="Arial"/>
        </a:defRPr>
      </a:pPr>
      <a:endParaRPr lang="fr-FR"/>
    </a:p>
  </c:txPr>
  <c:printSettings>
    <c:headerFooter alignWithMargins="0"/>
    <c:pageMargins b="1" l="0.75000000000000377" r="0.75000000000000377" t="1" header="0.5" footer="0.5"/>
    <c:pageSetup paperSize="9" orientation="landscape"/>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400" baseline="0"/>
              <a:t>Residuals vs References</a:t>
            </a:r>
          </a:p>
        </c:rich>
      </c:tx>
      <c:layout>
        <c:manualLayout>
          <c:xMode val="edge"/>
          <c:yMode val="edge"/>
          <c:x val="0.56681818181818189"/>
          <c:y val="3.53109202638453E-3"/>
        </c:manualLayout>
      </c:layout>
      <c:overlay val="1"/>
    </c:title>
    <c:autoTitleDeleted val="0"/>
    <c:plotArea>
      <c:layout/>
      <c:scatterChart>
        <c:scatterStyle val="lineMarker"/>
        <c:varyColors val="0"/>
        <c:ser>
          <c:idx val="0"/>
          <c:order val="0"/>
          <c:spPr>
            <a:ln>
              <a:noFill/>
            </a:ln>
          </c:spPr>
          <c:trendline>
            <c:trendlineType val="linear"/>
            <c:dispRSqr val="0"/>
            <c:dispEq val="1"/>
            <c:trendlineLbl>
              <c:layout>
                <c:manualLayout>
                  <c:x val="5.4747515059074582E-2"/>
                  <c:y val="0.43633237847491585"/>
                </c:manualLayout>
              </c:layout>
              <c:numFmt formatCode="General" sourceLinked="0"/>
            </c:trendlineLbl>
          </c:trendline>
          <c:xVal>
            <c:numRef>
              <c:f>Lijour!$D$63:$D$156</c:f>
              <c:numCache>
                <c:formatCode>General</c:formatCode>
                <c:ptCount val="94"/>
                <c:pt idx="0">
                  <c:v>9.9399996000000002</c:v>
                </c:pt>
                <c:pt idx="1">
                  <c:v>10.0200005</c:v>
                </c:pt>
                <c:pt idx="2">
                  <c:v>10</c:v>
                </c:pt>
                <c:pt idx="3">
                  <c:v>10.5</c:v>
                </c:pt>
                <c:pt idx="4">
                  <c:v>10.779999699999999</c:v>
                </c:pt>
                <c:pt idx="5">
                  <c:v>10.449999800000001</c:v>
                </c:pt>
                <c:pt idx="6">
                  <c:v>11.0200005</c:v>
                </c:pt>
                <c:pt idx="7">
                  <c:v>10.800000199999999</c:v>
                </c:pt>
                <c:pt idx="8">
                  <c:v>10.8800001</c:v>
                </c:pt>
                <c:pt idx="9">
                  <c:v>11.0600004</c:v>
                </c:pt>
                <c:pt idx="10">
                  <c:v>11.0900002</c:v>
                </c:pt>
                <c:pt idx="11">
                  <c:v>11.6199999</c:v>
                </c:pt>
                <c:pt idx="12">
                  <c:v>9.9600000000000009</c:v>
                </c:pt>
                <c:pt idx="13">
                  <c:v>9.5</c:v>
                </c:pt>
                <c:pt idx="14">
                  <c:v>9.9899997999999997</c:v>
                </c:pt>
                <c:pt idx="15">
                  <c:v>10.0100002</c:v>
                </c:pt>
                <c:pt idx="16">
                  <c:v>9.8299999000000007</c:v>
                </c:pt>
                <c:pt idx="17">
                  <c:v>9.5699997000000003</c:v>
                </c:pt>
                <c:pt idx="18">
                  <c:v>9.9200000999999993</c:v>
                </c:pt>
                <c:pt idx="19">
                  <c:v>11.670000099999999</c:v>
                </c:pt>
                <c:pt idx="20">
                  <c:v>11.5</c:v>
                </c:pt>
                <c:pt idx="21">
                  <c:v>11.3699999</c:v>
                </c:pt>
                <c:pt idx="22">
                  <c:v>11.5900002</c:v>
                </c:pt>
                <c:pt idx="23">
                  <c:v>9.8800001000000002</c:v>
                </c:pt>
                <c:pt idx="24">
                  <c:v>11.8400002</c:v>
                </c:pt>
                <c:pt idx="25">
                  <c:v>10</c:v>
                </c:pt>
                <c:pt idx="26">
                  <c:v>10.100000400000001</c:v>
                </c:pt>
                <c:pt idx="27">
                  <c:v>11.399999599999999</c:v>
                </c:pt>
                <c:pt idx="28">
                  <c:v>10.279999699999999</c:v>
                </c:pt>
                <c:pt idx="29">
                  <c:v>12.21</c:v>
                </c:pt>
                <c:pt idx="30">
                  <c:v>11.9399996</c:v>
                </c:pt>
                <c:pt idx="31">
                  <c:v>10.3699999</c:v>
                </c:pt>
                <c:pt idx="32">
                  <c:v>10.3800001</c:v>
                </c:pt>
                <c:pt idx="33">
                  <c:v>9.8800001000000002</c:v>
                </c:pt>
                <c:pt idx="34">
                  <c:v>12.079999900000001</c:v>
                </c:pt>
                <c:pt idx="35">
                  <c:v>9.0799999000000007</c:v>
                </c:pt>
                <c:pt idx="36">
                  <c:v>10.800000199999999</c:v>
                </c:pt>
                <c:pt idx="37">
                  <c:v>9.3599996999999995</c:v>
                </c:pt>
                <c:pt idx="38">
                  <c:v>12.449999800000001</c:v>
                </c:pt>
                <c:pt idx="39">
                  <c:v>10.920000099999999</c:v>
                </c:pt>
                <c:pt idx="40">
                  <c:v>10.949999800000001</c:v>
                </c:pt>
                <c:pt idx="41">
                  <c:v>10.9899998</c:v>
                </c:pt>
                <c:pt idx="42">
                  <c:v>11</c:v>
                </c:pt>
                <c:pt idx="43">
                  <c:v>9.9700003000000006</c:v>
                </c:pt>
                <c:pt idx="44">
                  <c:v>12.899999599999999</c:v>
                </c:pt>
                <c:pt idx="45">
                  <c:v>10.529999699999999</c:v>
                </c:pt>
                <c:pt idx="46">
                  <c:v>11.0600004</c:v>
                </c:pt>
                <c:pt idx="47">
                  <c:v>9.1000004000000008</c:v>
                </c:pt>
                <c:pt idx="48">
                  <c:v>8.9700003000000006</c:v>
                </c:pt>
                <c:pt idx="49">
                  <c:v>11.1199999</c:v>
                </c:pt>
                <c:pt idx="50">
                  <c:v>9.2299994999999999</c:v>
                </c:pt>
                <c:pt idx="51">
                  <c:v>11.2299995</c:v>
                </c:pt>
                <c:pt idx="52">
                  <c:v>11.2299995</c:v>
                </c:pt>
                <c:pt idx="53">
                  <c:v>11.2399998</c:v>
                </c:pt>
                <c:pt idx="54">
                  <c:v>12.5600004</c:v>
                </c:pt>
                <c:pt idx="55">
                  <c:v>10.0699997</c:v>
                </c:pt>
                <c:pt idx="56">
                  <c:v>9.9399996000000002</c:v>
                </c:pt>
                <c:pt idx="57">
                  <c:v>10.2399998</c:v>
                </c:pt>
                <c:pt idx="58">
                  <c:v>11.420000099999999</c:v>
                </c:pt>
                <c:pt idx="59">
                  <c:v>10.5</c:v>
                </c:pt>
                <c:pt idx="60">
                  <c:v>13.140000300000001</c:v>
                </c:pt>
                <c:pt idx="61">
                  <c:v>11.699999800000001</c:v>
                </c:pt>
                <c:pt idx="62">
                  <c:v>10.3800001</c:v>
                </c:pt>
                <c:pt idx="63">
                  <c:v>13.350000400000001</c:v>
                </c:pt>
                <c:pt idx="64">
                  <c:v>12.6599998</c:v>
                </c:pt>
                <c:pt idx="65">
                  <c:v>11.9899998</c:v>
                </c:pt>
                <c:pt idx="66">
                  <c:v>12</c:v>
                </c:pt>
                <c:pt idx="67">
                  <c:v>12</c:v>
                </c:pt>
                <c:pt idx="68">
                  <c:v>13.1599998</c:v>
                </c:pt>
                <c:pt idx="69">
                  <c:v>12.170000099999999</c:v>
                </c:pt>
                <c:pt idx="70">
                  <c:v>10.970000300000001</c:v>
                </c:pt>
                <c:pt idx="71">
                  <c:v>12.2600002</c:v>
                </c:pt>
                <c:pt idx="72">
                  <c:v>13.029999699999999</c:v>
                </c:pt>
                <c:pt idx="73">
                  <c:v>12.359999699999999</c:v>
                </c:pt>
                <c:pt idx="74">
                  <c:v>12.399999599999999</c:v>
                </c:pt>
                <c:pt idx="75">
                  <c:v>12.5</c:v>
                </c:pt>
                <c:pt idx="76">
                  <c:v>12.600000400000001</c:v>
                </c:pt>
                <c:pt idx="77">
                  <c:v>12.670000099999999</c:v>
                </c:pt>
                <c:pt idx="78">
                  <c:v>12.699999800000001</c:v>
                </c:pt>
                <c:pt idx="79">
                  <c:v>14.4300003</c:v>
                </c:pt>
              </c:numCache>
            </c:numRef>
          </c:xVal>
          <c:yVal>
            <c:numRef>
              <c:f>Lijour!$G$63:$G$156</c:f>
              <c:numCache>
                <c:formatCode>0.00</c:formatCode>
                <c:ptCount val="94"/>
                <c:pt idx="0">
                  <c:v>-0.78895195416544439</c:v>
                </c:pt>
                <c:pt idx="1">
                  <c:v>3.2039682719763896</c:v>
                </c:pt>
                <c:pt idx="2">
                  <c:v>-2.1530924508582414</c:v>
                </c:pt>
                <c:pt idx="3">
                  <c:v>3.5622684022633493</c:v>
                </c:pt>
                <c:pt idx="4">
                  <c:v>-2.785970525793485</c:v>
                </c:pt>
                <c:pt idx="5">
                  <c:v>2.1715760821533401</c:v>
                </c:pt>
                <c:pt idx="6">
                  <c:v>-1.4078400695514226</c:v>
                </c:pt>
                <c:pt idx="7">
                  <c:v>-0.26181612873604898</c:v>
                </c:pt>
                <c:pt idx="8">
                  <c:v>0.16939427603186985</c:v>
                </c:pt>
                <c:pt idx="9">
                  <c:v>-1.996035991199907</c:v>
                </c:pt>
                <c:pt idx="10">
                  <c:v>1.3788505094837689</c:v>
                </c:pt>
                <c:pt idx="11">
                  <c:v>0.51437929517068071</c:v>
                </c:pt>
                <c:pt idx="12">
                  <c:v>-1.5939813610859517</c:v>
                </c:pt>
                <c:pt idx="13">
                  <c:v>2.9475172109972494</c:v>
                </c:pt>
                <c:pt idx="14">
                  <c:v>-0.62098794784916223</c:v>
                </c:pt>
                <c:pt idx="15">
                  <c:v>0.70409878563618022</c:v>
                </c:pt>
                <c:pt idx="16">
                  <c:v>2.6149329563705592</c:v>
                </c:pt>
                <c:pt idx="17">
                  <c:v>3.336567210844839</c:v>
                </c:pt>
                <c:pt idx="18">
                  <c:v>2.0440268134299515</c:v>
                </c:pt>
                <c:pt idx="19">
                  <c:v>-1.5018323826908802</c:v>
                </c:pt>
                <c:pt idx="20">
                  <c:v>-2.2289582253762497</c:v>
                </c:pt>
                <c:pt idx="21">
                  <c:v>0.60154798257845066</c:v>
                </c:pt>
                <c:pt idx="22">
                  <c:v>1.3316228896537492</c:v>
                </c:pt>
                <c:pt idx="23">
                  <c:v>3.4331258211680407</c:v>
                </c:pt>
                <c:pt idx="24">
                  <c:v>1.0833423624437195</c:v>
                </c:pt>
                <c:pt idx="25">
                  <c:v>0.25792352490596038</c:v>
                </c:pt>
                <c:pt idx="26">
                  <c:v>6.3248548750406197</c:v>
                </c:pt>
                <c:pt idx="27">
                  <c:v>-0.26470743742280867</c:v>
                </c:pt>
                <c:pt idx="28">
                  <c:v>3.2780033567938709</c:v>
                </c:pt>
                <c:pt idx="29">
                  <c:v>-0.62806699637816088</c:v>
                </c:pt>
                <c:pt idx="30">
                  <c:v>-0.17046734403096941</c:v>
                </c:pt>
                <c:pt idx="31">
                  <c:v>0.87348627194386985</c:v>
                </c:pt>
                <c:pt idx="32">
                  <c:v>2.0060419694059402</c:v>
                </c:pt>
                <c:pt idx="33">
                  <c:v>4.2865350784520793</c:v>
                </c:pt>
                <c:pt idx="34">
                  <c:v>-2.357554117205364</c:v>
                </c:pt>
                <c:pt idx="35">
                  <c:v>-1.0505176615857614</c:v>
                </c:pt>
                <c:pt idx="36">
                  <c:v>2.2074495200646513</c:v>
                </c:pt>
                <c:pt idx="37">
                  <c:v>1.5662323460534306</c:v>
                </c:pt>
                <c:pt idx="38">
                  <c:v>-2.2687919448651996</c:v>
                </c:pt>
                <c:pt idx="39">
                  <c:v>0.72846600180038124</c:v>
                </c:pt>
                <c:pt idx="40">
                  <c:v>1.3818514654571992</c:v>
                </c:pt>
                <c:pt idx="41">
                  <c:v>1.4333108977715412</c:v>
                </c:pt>
                <c:pt idx="42">
                  <c:v>2.7982285147007797</c:v>
                </c:pt>
                <c:pt idx="43">
                  <c:v>1.8771682794690694</c:v>
                </c:pt>
                <c:pt idx="44">
                  <c:v>-2.6398091238123396</c:v>
                </c:pt>
                <c:pt idx="45">
                  <c:v>1.8479071882092608</c:v>
                </c:pt>
                <c:pt idx="46">
                  <c:v>2.7941162381882201</c:v>
                </c:pt>
                <c:pt idx="47">
                  <c:v>1.6227962385770489</c:v>
                </c:pt>
                <c:pt idx="48">
                  <c:v>3.0643118796295497</c:v>
                </c:pt>
                <c:pt idx="49">
                  <c:v>0.15646994073932952</c:v>
                </c:pt>
                <c:pt idx="50">
                  <c:v>1.9435272556250798</c:v>
                </c:pt>
                <c:pt idx="51">
                  <c:v>1.7874043317829393</c:v>
                </c:pt>
                <c:pt idx="52">
                  <c:v>-0.29196116108481007</c:v>
                </c:pt>
                <c:pt idx="53">
                  <c:v>4.6736674133335701</c:v>
                </c:pt>
                <c:pt idx="54">
                  <c:v>-5.0167314210030511E-2</c:v>
                </c:pt>
                <c:pt idx="55">
                  <c:v>0.18870705202430926</c:v>
                </c:pt>
                <c:pt idx="56">
                  <c:v>0.84625426002942028</c:v>
                </c:pt>
                <c:pt idx="57">
                  <c:v>-0.38426192814571714</c:v>
                </c:pt>
                <c:pt idx="58">
                  <c:v>3.0832693343427007</c:v>
                </c:pt>
                <c:pt idx="59">
                  <c:v>-1.0555354926309874</c:v>
                </c:pt>
                <c:pt idx="60">
                  <c:v>-0.11487390047937041</c:v>
                </c:pt>
                <c:pt idx="61">
                  <c:v>-2.0792254288618999</c:v>
                </c:pt>
                <c:pt idx="62">
                  <c:v>3.2007468425171091</c:v>
                </c:pt>
                <c:pt idx="63">
                  <c:v>-1.5822989704723707</c:v>
                </c:pt>
                <c:pt idx="64">
                  <c:v>0.38096846405614038</c:v>
                </c:pt>
                <c:pt idx="65">
                  <c:v>-0.31336760909455919</c:v>
                </c:pt>
                <c:pt idx="66">
                  <c:v>3.5632456592646307</c:v>
                </c:pt>
                <c:pt idx="67">
                  <c:v>0.82252194686832958</c:v>
                </c:pt>
                <c:pt idx="68">
                  <c:v>-1.8200477442280594</c:v>
                </c:pt>
                <c:pt idx="69">
                  <c:v>1.5519487953407403</c:v>
                </c:pt>
                <c:pt idx="70">
                  <c:v>0.72728307222931932</c:v>
                </c:pt>
                <c:pt idx="71">
                  <c:v>1.9305015009576003</c:v>
                </c:pt>
                <c:pt idx="72">
                  <c:v>-1.4361836540069</c:v>
                </c:pt>
                <c:pt idx="73">
                  <c:v>2.6059001235110397</c:v>
                </c:pt>
                <c:pt idx="74">
                  <c:v>2.3276702040953516</c:v>
                </c:pt>
                <c:pt idx="75">
                  <c:v>1.5189816030509196</c:v>
                </c:pt>
                <c:pt idx="76">
                  <c:v>2.8151469296080194</c:v>
                </c:pt>
                <c:pt idx="77">
                  <c:v>2.0017416526409502</c:v>
                </c:pt>
                <c:pt idx="78">
                  <c:v>-6.9568627180732197</c:v>
                </c:pt>
                <c:pt idx="79">
                  <c:v>-0.48793257878847918</c:v>
                </c:pt>
              </c:numCache>
            </c:numRef>
          </c:yVal>
          <c:smooth val="0"/>
          <c:extLst>
            <c:ext xmlns:c16="http://schemas.microsoft.com/office/drawing/2014/chart" uri="{C3380CC4-5D6E-409C-BE32-E72D297353CC}">
              <c16:uniqueId val="{00000001-D8CE-4810-8F27-C7373828C094}"/>
            </c:ext>
          </c:extLst>
        </c:ser>
        <c:dLbls>
          <c:showLegendKey val="0"/>
          <c:showVal val="0"/>
          <c:showCatName val="0"/>
          <c:showSerName val="0"/>
          <c:showPercent val="0"/>
          <c:showBubbleSize val="0"/>
        </c:dLbls>
        <c:axId val="244482048"/>
        <c:axId val="244483968"/>
      </c:scatterChart>
      <c:valAx>
        <c:axId val="244482048"/>
        <c:scaling>
          <c:orientation val="minMax"/>
        </c:scaling>
        <c:delete val="0"/>
        <c:axPos val="b"/>
        <c:title>
          <c:tx>
            <c:rich>
              <a:bodyPr/>
              <a:lstStyle/>
              <a:p>
                <a:pPr>
                  <a:defRPr/>
                </a:pPr>
                <a:r>
                  <a:rPr lang="en-US"/>
                  <a:t>REFERENCE VALUES</a:t>
                </a:r>
              </a:p>
            </c:rich>
          </c:tx>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244483968"/>
        <c:crosses val="autoZero"/>
        <c:crossBetween val="midCat"/>
      </c:valAx>
      <c:valAx>
        <c:axId val="244483968"/>
        <c:scaling>
          <c:orientation val="minMax"/>
        </c:scaling>
        <c:delete val="0"/>
        <c:axPos val="l"/>
        <c:majorGridlines/>
        <c:numFmt formatCode="0.00" sourceLinked="1"/>
        <c:majorTickMark val="out"/>
        <c:minorTickMark val="none"/>
        <c:tickLblPos val="nextTo"/>
        <c:crossAx val="244482048"/>
        <c:crosses val="autoZero"/>
        <c:crossBetween val="midCat"/>
      </c:valAx>
    </c:plotArea>
    <c:plotVisOnly val="1"/>
    <c:dispBlanksAs val="gap"/>
    <c:showDLblsOverMax val="0"/>
  </c:chart>
  <c:printSettings>
    <c:headerFooter/>
    <c:pageMargins b="0.750000000000004" l="0.70000000000000062" r="0.70000000000000062" t="0.750000000000004"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400" baseline="0"/>
              <a:t>Residuals vs predicted</a:t>
            </a:r>
          </a:p>
        </c:rich>
      </c:tx>
      <c:layout>
        <c:manualLayout>
          <c:xMode val="edge"/>
          <c:yMode val="edge"/>
          <c:x val="0.59043500709952246"/>
          <c:y val="0"/>
        </c:manualLayout>
      </c:layout>
      <c:overlay val="1"/>
    </c:title>
    <c:autoTitleDeleted val="0"/>
    <c:plotArea>
      <c:layout/>
      <c:scatterChart>
        <c:scatterStyle val="lineMarker"/>
        <c:varyColors val="0"/>
        <c:ser>
          <c:idx val="0"/>
          <c:order val="0"/>
          <c:spPr>
            <a:ln>
              <a:noFill/>
            </a:ln>
          </c:spPr>
          <c:trendline>
            <c:trendlineType val="linear"/>
            <c:dispRSqr val="0"/>
            <c:dispEq val="1"/>
            <c:trendlineLbl>
              <c:layout>
                <c:manualLayout>
                  <c:x val="8.6646154745701892E-3"/>
                  <c:y val="0.32626926854701888"/>
                </c:manualLayout>
              </c:layout>
              <c:numFmt formatCode="General" sourceLinked="0"/>
            </c:trendlineLbl>
          </c:trendline>
          <c:xVal>
            <c:numRef>
              <c:f>Lijour!$F$63:$F$156</c:f>
              <c:numCache>
                <c:formatCode>General</c:formatCode>
                <c:ptCount val="94"/>
                <c:pt idx="0">
                  <c:v>9.1510476458345558</c:v>
                </c:pt>
                <c:pt idx="1">
                  <c:v>13.22396877197639</c:v>
                </c:pt>
                <c:pt idx="2">
                  <c:v>7.8469075491417586</c:v>
                </c:pt>
                <c:pt idx="3">
                  <c:v>14.062268402263349</c:v>
                </c:pt>
                <c:pt idx="4">
                  <c:v>7.9940291742065144</c:v>
                </c:pt>
                <c:pt idx="5">
                  <c:v>12.621575882153341</c:v>
                </c:pt>
                <c:pt idx="6">
                  <c:v>9.6121604304485775</c:v>
                </c:pt>
                <c:pt idx="7">
                  <c:v>10.538184071263951</c:v>
                </c:pt>
                <c:pt idx="8">
                  <c:v>11.04939437603187</c:v>
                </c:pt>
                <c:pt idx="9">
                  <c:v>9.0639644088000928</c:v>
                </c:pt>
                <c:pt idx="10">
                  <c:v>12.468850709483769</c:v>
                </c:pt>
                <c:pt idx="11">
                  <c:v>12.134379195170681</c:v>
                </c:pt>
                <c:pt idx="12">
                  <c:v>8.3660186389140492</c:v>
                </c:pt>
                <c:pt idx="13">
                  <c:v>12.447517210997249</c:v>
                </c:pt>
                <c:pt idx="14">
                  <c:v>9.3690118521508374</c:v>
                </c:pt>
                <c:pt idx="15">
                  <c:v>10.714098985636181</c:v>
                </c:pt>
                <c:pt idx="16">
                  <c:v>12.44493285637056</c:v>
                </c:pt>
                <c:pt idx="17">
                  <c:v>12.906566910844839</c:v>
                </c:pt>
                <c:pt idx="18">
                  <c:v>11.964026913429951</c:v>
                </c:pt>
                <c:pt idx="19">
                  <c:v>10.168167717309119</c:v>
                </c:pt>
                <c:pt idx="20">
                  <c:v>9.2710417746237503</c:v>
                </c:pt>
                <c:pt idx="21">
                  <c:v>11.97154788257845</c:v>
                </c:pt>
                <c:pt idx="22">
                  <c:v>12.92162308965375</c:v>
                </c:pt>
                <c:pt idx="23">
                  <c:v>13.313125921168041</c:v>
                </c:pt>
                <c:pt idx="24">
                  <c:v>12.92334256244372</c:v>
                </c:pt>
                <c:pt idx="25">
                  <c:v>10.25792352490596</c:v>
                </c:pt>
                <c:pt idx="26">
                  <c:v>16.42485527504062</c:v>
                </c:pt>
                <c:pt idx="27">
                  <c:v>11.135292162577191</c:v>
                </c:pt>
                <c:pt idx="28">
                  <c:v>13.55800305679387</c:v>
                </c:pt>
                <c:pt idx="29">
                  <c:v>11.58193300362184</c:v>
                </c:pt>
                <c:pt idx="30">
                  <c:v>11.769532255969031</c:v>
                </c:pt>
                <c:pt idx="31">
                  <c:v>11.24348617194387</c:v>
                </c:pt>
                <c:pt idx="32">
                  <c:v>12.38604206940594</c:v>
                </c:pt>
                <c:pt idx="33">
                  <c:v>14.166535178452079</c:v>
                </c:pt>
                <c:pt idx="34">
                  <c:v>9.7224457827946367</c:v>
                </c:pt>
                <c:pt idx="35">
                  <c:v>8.0294822384142392</c:v>
                </c:pt>
                <c:pt idx="36">
                  <c:v>13.007449720064651</c:v>
                </c:pt>
                <c:pt idx="37">
                  <c:v>10.92623204605343</c:v>
                </c:pt>
                <c:pt idx="38">
                  <c:v>10.181207855134801</c:v>
                </c:pt>
                <c:pt idx="39">
                  <c:v>11.648466101800381</c:v>
                </c:pt>
                <c:pt idx="40">
                  <c:v>12.3318512654572</c:v>
                </c:pt>
                <c:pt idx="41">
                  <c:v>12.423310697771541</c:v>
                </c:pt>
                <c:pt idx="42">
                  <c:v>13.79822851470078</c:v>
                </c:pt>
                <c:pt idx="43">
                  <c:v>11.84716857946907</c:v>
                </c:pt>
                <c:pt idx="44">
                  <c:v>10.26019047618766</c:v>
                </c:pt>
                <c:pt idx="45">
                  <c:v>12.37790688820926</c:v>
                </c:pt>
                <c:pt idx="46">
                  <c:v>13.85411663818822</c:v>
                </c:pt>
                <c:pt idx="47">
                  <c:v>10.72279663857705</c:v>
                </c:pt>
                <c:pt idx="48">
                  <c:v>12.03431217962955</c:v>
                </c:pt>
                <c:pt idx="49">
                  <c:v>11.276469840739329</c:v>
                </c:pt>
                <c:pt idx="50">
                  <c:v>11.17352675562508</c:v>
                </c:pt>
                <c:pt idx="51">
                  <c:v>13.017403831782939</c:v>
                </c:pt>
                <c:pt idx="52">
                  <c:v>10.93803833891519</c:v>
                </c:pt>
                <c:pt idx="53">
                  <c:v>15.91366721333357</c:v>
                </c:pt>
                <c:pt idx="54">
                  <c:v>12.509833085789969</c:v>
                </c:pt>
                <c:pt idx="55">
                  <c:v>10.25870675202431</c:v>
                </c:pt>
                <c:pt idx="56">
                  <c:v>10.78625386002942</c:v>
                </c:pt>
                <c:pt idx="57">
                  <c:v>9.8557378718542825</c:v>
                </c:pt>
                <c:pt idx="58">
                  <c:v>14.5032694343427</c:v>
                </c:pt>
                <c:pt idx="59">
                  <c:v>9.4444645073690126</c:v>
                </c:pt>
                <c:pt idx="60">
                  <c:v>13.02512639952063</c:v>
                </c:pt>
                <c:pt idx="61">
                  <c:v>9.6207743711381006</c:v>
                </c:pt>
                <c:pt idx="62">
                  <c:v>13.580746942517109</c:v>
                </c:pt>
                <c:pt idx="63">
                  <c:v>11.76770142952763</c:v>
                </c:pt>
                <c:pt idx="64">
                  <c:v>13.04096826405614</c:v>
                </c:pt>
                <c:pt idx="65">
                  <c:v>11.67663219090544</c:v>
                </c:pt>
                <c:pt idx="66">
                  <c:v>15.563245659264631</c:v>
                </c:pt>
                <c:pt idx="67">
                  <c:v>12.82252194686833</c:v>
                </c:pt>
                <c:pt idx="68">
                  <c:v>11.33995205577194</c:v>
                </c:pt>
                <c:pt idx="69">
                  <c:v>13.72194889534074</c:v>
                </c:pt>
                <c:pt idx="70">
                  <c:v>11.69728337222932</c:v>
                </c:pt>
                <c:pt idx="71">
                  <c:v>14.190501700957601</c:v>
                </c:pt>
                <c:pt idx="72">
                  <c:v>11.593816045993099</c:v>
                </c:pt>
                <c:pt idx="73">
                  <c:v>14.965899823511039</c:v>
                </c:pt>
                <c:pt idx="74">
                  <c:v>14.727669804095351</c:v>
                </c:pt>
                <c:pt idx="75">
                  <c:v>14.01898160305092</c:v>
                </c:pt>
                <c:pt idx="76">
                  <c:v>15.41514732960802</c:v>
                </c:pt>
                <c:pt idx="77">
                  <c:v>14.671741752640949</c:v>
                </c:pt>
                <c:pt idx="78">
                  <c:v>5.7431370819267809</c:v>
                </c:pt>
                <c:pt idx="79">
                  <c:v>13.94206772121152</c:v>
                </c:pt>
              </c:numCache>
            </c:numRef>
          </c:xVal>
          <c:yVal>
            <c:numRef>
              <c:f>Lijour!$G$63:$G$156</c:f>
              <c:numCache>
                <c:formatCode>0.00</c:formatCode>
                <c:ptCount val="94"/>
                <c:pt idx="0">
                  <c:v>-0.78895195416544439</c:v>
                </c:pt>
                <c:pt idx="1">
                  <c:v>3.2039682719763896</c:v>
                </c:pt>
                <c:pt idx="2">
                  <c:v>-2.1530924508582414</c:v>
                </c:pt>
                <c:pt idx="3">
                  <c:v>3.5622684022633493</c:v>
                </c:pt>
                <c:pt idx="4">
                  <c:v>-2.785970525793485</c:v>
                </c:pt>
                <c:pt idx="5">
                  <c:v>2.1715760821533401</c:v>
                </c:pt>
                <c:pt idx="6">
                  <c:v>-1.4078400695514226</c:v>
                </c:pt>
                <c:pt idx="7">
                  <c:v>-0.26181612873604898</c:v>
                </c:pt>
                <c:pt idx="8">
                  <c:v>0.16939427603186985</c:v>
                </c:pt>
                <c:pt idx="9">
                  <c:v>-1.996035991199907</c:v>
                </c:pt>
                <c:pt idx="10">
                  <c:v>1.3788505094837689</c:v>
                </c:pt>
                <c:pt idx="11">
                  <c:v>0.51437929517068071</c:v>
                </c:pt>
                <c:pt idx="12">
                  <c:v>-1.5939813610859517</c:v>
                </c:pt>
                <c:pt idx="13">
                  <c:v>2.9475172109972494</c:v>
                </c:pt>
                <c:pt idx="14">
                  <c:v>-0.62098794784916223</c:v>
                </c:pt>
                <c:pt idx="15">
                  <c:v>0.70409878563618022</c:v>
                </c:pt>
                <c:pt idx="16">
                  <c:v>2.6149329563705592</c:v>
                </c:pt>
                <c:pt idx="17">
                  <c:v>3.336567210844839</c:v>
                </c:pt>
                <c:pt idx="18">
                  <c:v>2.0440268134299515</c:v>
                </c:pt>
                <c:pt idx="19">
                  <c:v>-1.5018323826908802</c:v>
                </c:pt>
                <c:pt idx="20">
                  <c:v>-2.2289582253762497</c:v>
                </c:pt>
                <c:pt idx="21">
                  <c:v>0.60154798257845066</c:v>
                </c:pt>
                <c:pt idx="22">
                  <c:v>1.3316228896537492</c:v>
                </c:pt>
                <c:pt idx="23">
                  <c:v>3.4331258211680407</c:v>
                </c:pt>
                <c:pt idx="24">
                  <c:v>1.0833423624437195</c:v>
                </c:pt>
                <c:pt idx="25">
                  <c:v>0.25792352490596038</c:v>
                </c:pt>
                <c:pt idx="26">
                  <c:v>6.3248548750406197</c:v>
                </c:pt>
                <c:pt idx="27">
                  <c:v>-0.26470743742280867</c:v>
                </c:pt>
                <c:pt idx="28">
                  <c:v>3.2780033567938709</c:v>
                </c:pt>
                <c:pt idx="29">
                  <c:v>-0.62806699637816088</c:v>
                </c:pt>
                <c:pt idx="30">
                  <c:v>-0.17046734403096941</c:v>
                </c:pt>
                <c:pt idx="31">
                  <c:v>0.87348627194386985</c:v>
                </c:pt>
                <c:pt idx="32">
                  <c:v>2.0060419694059402</c:v>
                </c:pt>
                <c:pt idx="33">
                  <c:v>4.2865350784520793</c:v>
                </c:pt>
                <c:pt idx="34">
                  <c:v>-2.357554117205364</c:v>
                </c:pt>
                <c:pt idx="35">
                  <c:v>-1.0505176615857614</c:v>
                </c:pt>
                <c:pt idx="36">
                  <c:v>2.2074495200646513</c:v>
                </c:pt>
                <c:pt idx="37">
                  <c:v>1.5662323460534306</c:v>
                </c:pt>
                <c:pt idx="38">
                  <c:v>-2.2687919448651996</c:v>
                </c:pt>
                <c:pt idx="39">
                  <c:v>0.72846600180038124</c:v>
                </c:pt>
                <c:pt idx="40">
                  <c:v>1.3818514654571992</c:v>
                </c:pt>
                <c:pt idx="41">
                  <c:v>1.4333108977715412</c:v>
                </c:pt>
                <c:pt idx="42">
                  <c:v>2.7982285147007797</c:v>
                </c:pt>
                <c:pt idx="43">
                  <c:v>1.8771682794690694</c:v>
                </c:pt>
                <c:pt idx="44">
                  <c:v>-2.6398091238123396</c:v>
                </c:pt>
                <c:pt idx="45">
                  <c:v>1.8479071882092608</c:v>
                </c:pt>
                <c:pt idx="46">
                  <c:v>2.7941162381882201</c:v>
                </c:pt>
                <c:pt idx="47">
                  <c:v>1.6227962385770489</c:v>
                </c:pt>
                <c:pt idx="48">
                  <c:v>3.0643118796295497</c:v>
                </c:pt>
                <c:pt idx="49">
                  <c:v>0.15646994073932952</c:v>
                </c:pt>
                <c:pt idx="50">
                  <c:v>1.9435272556250798</c:v>
                </c:pt>
                <c:pt idx="51">
                  <c:v>1.7874043317829393</c:v>
                </c:pt>
                <c:pt idx="52">
                  <c:v>-0.29196116108481007</c:v>
                </c:pt>
                <c:pt idx="53">
                  <c:v>4.6736674133335701</c:v>
                </c:pt>
                <c:pt idx="54">
                  <c:v>-5.0167314210030511E-2</c:v>
                </c:pt>
                <c:pt idx="55">
                  <c:v>0.18870705202430926</c:v>
                </c:pt>
                <c:pt idx="56">
                  <c:v>0.84625426002942028</c:v>
                </c:pt>
                <c:pt idx="57">
                  <c:v>-0.38426192814571714</c:v>
                </c:pt>
                <c:pt idx="58">
                  <c:v>3.0832693343427007</c:v>
                </c:pt>
                <c:pt idx="59">
                  <c:v>-1.0555354926309874</c:v>
                </c:pt>
                <c:pt idx="60">
                  <c:v>-0.11487390047937041</c:v>
                </c:pt>
                <c:pt idx="61">
                  <c:v>-2.0792254288618999</c:v>
                </c:pt>
                <c:pt idx="62">
                  <c:v>3.2007468425171091</c:v>
                </c:pt>
                <c:pt idx="63">
                  <c:v>-1.5822989704723707</c:v>
                </c:pt>
                <c:pt idx="64">
                  <c:v>0.38096846405614038</c:v>
                </c:pt>
                <c:pt idx="65">
                  <c:v>-0.31336760909455919</c:v>
                </c:pt>
                <c:pt idx="66">
                  <c:v>3.5632456592646307</c:v>
                </c:pt>
                <c:pt idx="67">
                  <c:v>0.82252194686832958</c:v>
                </c:pt>
                <c:pt idx="68">
                  <c:v>-1.8200477442280594</c:v>
                </c:pt>
                <c:pt idx="69">
                  <c:v>1.5519487953407403</c:v>
                </c:pt>
                <c:pt idx="70">
                  <c:v>0.72728307222931932</c:v>
                </c:pt>
                <c:pt idx="71">
                  <c:v>1.9305015009576003</c:v>
                </c:pt>
                <c:pt idx="72">
                  <c:v>-1.4361836540069</c:v>
                </c:pt>
                <c:pt idx="73">
                  <c:v>2.6059001235110397</c:v>
                </c:pt>
                <c:pt idx="74">
                  <c:v>2.3276702040953516</c:v>
                </c:pt>
                <c:pt idx="75">
                  <c:v>1.5189816030509196</c:v>
                </c:pt>
                <c:pt idx="76">
                  <c:v>2.8151469296080194</c:v>
                </c:pt>
                <c:pt idx="77">
                  <c:v>2.0017416526409502</c:v>
                </c:pt>
                <c:pt idx="78">
                  <c:v>-6.9568627180732197</c:v>
                </c:pt>
                <c:pt idx="79">
                  <c:v>-0.48793257878847918</c:v>
                </c:pt>
              </c:numCache>
            </c:numRef>
          </c:yVal>
          <c:smooth val="0"/>
          <c:extLst>
            <c:ext xmlns:c16="http://schemas.microsoft.com/office/drawing/2014/chart" uri="{C3380CC4-5D6E-409C-BE32-E72D297353CC}">
              <c16:uniqueId val="{00000001-3651-4DE8-B6AF-8719CA46D5A5}"/>
            </c:ext>
          </c:extLst>
        </c:ser>
        <c:dLbls>
          <c:showLegendKey val="0"/>
          <c:showVal val="0"/>
          <c:showCatName val="0"/>
          <c:showSerName val="0"/>
          <c:showPercent val="0"/>
          <c:showBubbleSize val="0"/>
        </c:dLbls>
        <c:axId val="251667584"/>
        <c:axId val="251669504"/>
      </c:scatterChart>
      <c:valAx>
        <c:axId val="251667584"/>
        <c:scaling>
          <c:orientation val="minMax"/>
        </c:scaling>
        <c:delete val="0"/>
        <c:axPos val="b"/>
        <c:title>
          <c:tx>
            <c:rich>
              <a:bodyPr/>
              <a:lstStyle/>
              <a:p>
                <a:pPr>
                  <a:defRPr/>
                </a:pPr>
                <a:r>
                  <a:rPr lang="en-US"/>
                  <a:t>PREDICTED NIRS</a:t>
                </a:r>
              </a:p>
            </c:rich>
          </c:tx>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251669504"/>
        <c:crosses val="autoZero"/>
        <c:crossBetween val="midCat"/>
      </c:valAx>
      <c:valAx>
        <c:axId val="251669504"/>
        <c:scaling>
          <c:orientation val="minMax"/>
        </c:scaling>
        <c:delete val="0"/>
        <c:axPos val="l"/>
        <c:majorGridlines/>
        <c:numFmt formatCode="0.00" sourceLinked="1"/>
        <c:majorTickMark val="out"/>
        <c:minorTickMark val="none"/>
        <c:tickLblPos val="nextTo"/>
        <c:crossAx val="251667584"/>
        <c:crosses val="autoZero"/>
        <c:crossBetween val="midCat"/>
      </c:valAx>
    </c:plotArea>
    <c:plotVisOnly val="1"/>
    <c:dispBlanksAs val="gap"/>
    <c:showDLblsOverMax val="0"/>
  </c:chart>
  <c:printSettings>
    <c:headerFooter/>
    <c:pageMargins b="0.75000000000000422" l="0.70000000000000062" r="0.70000000000000062" t="0.75000000000000422"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400" baseline="0"/>
              <a:t>Residuals vs position</a:t>
            </a:r>
          </a:p>
        </c:rich>
      </c:tx>
      <c:layout>
        <c:manualLayout>
          <c:xMode val="edge"/>
          <c:yMode val="edge"/>
          <c:x val="0.61770845220434401"/>
          <c:y val="9.2592592592592587E-3"/>
        </c:manualLayout>
      </c:layout>
      <c:overlay val="1"/>
    </c:title>
    <c:autoTitleDeleted val="0"/>
    <c:plotArea>
      <c:layout>
        <c:manualLayout>
          <c:layoutTarget val="inner"/>
          <c:xMode val="edge"/>
          <c:yMode val="edge"/>
          <c:x val="9.7295231451277789E-2"/>
          <c:y val="4.1365688184682434E-2"/>
          <c:w val="0.8505582003234009"/>
          <c:h val="0.89909093674129181"/>
        </c:manualLayout>
      </c:layout>
      <c:scatterChart>
        <c:scatterStyle val="lineMarker"/>
        <c:varyColors val="0"/>
        <c:ser>
          <c:idx val="0"/>
          <c:order val="0"/>
          <c:spPr>
            <a:ln w="28575">
              <a:noFill/>
            </a:ln>
          </c:spPr>
          <c:xVal>
            <c:numRef>
              <c:f>Lijour!$B$63:$B$156</c:f>
              <c:numCache>
                <c:formatCode>General</c:formatCode>
                <c:ptCount val="9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numCache>
            </c:numRef>
          </c:xVal>
          <c:yVal>
            <c:numRef>
              <c:f>Lijour!$G$63:$G$156</c:f>
              <c:numCache>
                <c:formatCode>0.00</c:formatCode>
                <c:ptCount val="94"/>
                <c:pt idx="0">
                  <c:v>-0.78895195416544439</c:v>
                </c:pt>
                <c:pt idx="1">
                  <c:v>3.2039682719763896</c:v>
                </c:pt>
                <c:pt idx="2">
                  <c:v>-2.1530924508582414</c:v>
                </c:pt>
                <c:pt idx="3">
                  <c:v>3.5622684022633493</c:v>
                </c:pt>
                <c:pt idx="4">
                  <c:v>-2.785970525793485</c:v>
                </c:pt>
                <c:pt idx="5">
                  <c:v>2.1715760821533401</c:v>
                </c:pt>
                <c:pt idx="6">
                  <c:v>-1.4078400695514226</c:v>
                </c:pt>
                <c:pt idx="7">
                  <c:v>-0.26181612873604898</c:v>
                </c:pt>
                <c:pt idx="8">
                  <c:v>0.16939427603186985</c:v>
                </c:pt>
                <c:pt idx="9">
                  <c:v>-1.996035991199907</c:v>
                </c:pt>
                <c:pt idx="10">
                  <c:v>1.3788505094837689</c:v>
                </c:pt>
                <c:pt idx="11">
                  <c:v>0.51437929517068071</c:v>
                </c:pt>
                <c:pt idx="12">
                  <c:v>-1.5939813610859517</c:v>
                </c:pt>
                <c:pt idx="13">
                  <c:v>2.9475172109972494</c:v>
                </c:pt>
                <c:pt idx="14">
                  <c:v>-0.62098794784916223</c:v>
                </c:pt>
                <c:pt idx="15">
                  <c:v>0.70409878563618022</c:v>
                </c:pt>
                <c:pt idx="16">
                  <c:v>2.6149329563705592</c:v>
                </c:pt>
                <c:pt idx="17">
                  <c:v>3.336567210844839</c:v>
                </c:pt>
                <c:pt idx="18">
                  <c:v>2.0440268134299515</c:v>
                </c:pt>
                <c:pt idx="19">
                  <c:v>-1.5018323826908802</c:v>
                </c:pt>
                <c:pt idx="20">
                  <c:v>-2.2289582253762497</c:v>
                </c:pt>
                <c:pt idx="21">
                  <c:v>0.60154798257845066</c:v>
                </c:pt>
                <c:pt idx="22">
                  <c:v>1.3316228896537492</c:v>
                </c:pt>
                <c:pt idx="23">
                  <c:v>3.4331258211680407</c:v>
                </c:pt>
                <c:pt idx="24">
                  <c:v>1.0833423624437195</c:v>
                </c:pt>
                <c:pt idx="25">
                  <c:v>0.25792352490596038</c:v>
                </c:pt>
                <c:pt idx="26">
                  <c:v>6.3248548750406197</c:v>
                </c:pt>
                <c:pt idx="27">
                  <c:v>-0.26470743742280867</c:v>
                </c:pt>
                <c:pt idx="28">
                  <c:v>3.2780033567938709</c:v>
                </c:pt>
                <c:pt idx="29">
                  <c:v>-0.62806699637816088</c:v>
                </c:pt>
                <c:pt idx="30">
                  <c:v>-0.17046734403096941</c:v>
                </c:pt>
                <c:pt idx="31">
                  <c:v>0.87348627194386985</c:v>
                </c:pt>
                <c:pt idx="32">
                  <c:v>2.0060419694059402</c:v>
                </c:pt>
                <c:pt idx="33">
                  <c:v>4.2865350784520793</c:v>
                </c:pt>
                <c:pt idx="34">
                  <c:v>-2.357554117205364</c:v>
                </c:pt>
                <c:pt idx="35">
                  <c:v>-1.0505176615857614</c:v>
                </c:pt>
                <c:pt idx="36">
                  <c:v>2.2074495200646513</c:v>
                </c:pt>
                <c:pt idx="37">
                  <c:v>1.5662323460534306</c:v>
                </c:pt>
                <c:pt idx="38">
                  <c:v>-2.2687919448651996</c:v>
                </c:pt>
                <c:pt idx="39">
                  <c:v>0.72846600180038124</c:v>
                </c:pt>
                <c:pt idx="40">
                  <c:v>1.3818514654571992</c:v>
                </c:pt>
                <c:pt idx="41">
                  <c:v>1.4333108977715412</c:v>
                </c:pt>
                <c:pt idx="42">
                  <c:v>2.7982285147007797</c:v>
                </c:pt>
                <c:pt idx="43">
                  <c:v>1.8771682794690694</c:v>
                </c:pt>
                <c:pt idx="44">
                  <c:v>-2.6398091238123396</c:v>
                </c:pt>
                <c:pt idx="45">
                  <c:v>1.8479071882092608</c:v>
                </c:pt>
                <c:pt idx="46">
                  <c:v>2.7941162381882201</c:v>
                </c:pt>
                <c:pt idx="47">
                  <c:v>1.6227962385770489</c:v>
                </c:pt>
                <c:pt idx="48">
                  <c:v>3.0643118796295497</c:v>
                </c:pt>
                <c:pt idx="49">
                  <c:v>0.15646994073932952</c:v>
                </c:pt>
                <c:pt idx="50">
                  <c:v>1.9435272556250798</c:v>
                </c:pt>
                <c:pt idx="51">
                  <c:v>1.7874043317829393</c:v>
                </c:pt>
                <c:pt idx="52">
                  <c:v>-0.29196116108481007</c:v>
                </c:pt>
                <c:pt idx="53">
                  <c:v>4.6736674133335701</c:v>
                </c:pt>
                <c:pt idx="54">
                  <c:v>-5.0167314210030511E-2</c:v>
                </c:pt>
                <c:pt idx="55">
                  <c:v>0.18870705202430926</c:v>
                </c:pt>
                <c:pt idx="56">
                  <c:v>0.84625426002942028</c:v>
                </c:pt>
                <c:pt idx="57">
                  <c:v>-0.38426192814571714</c:v>
                </c:pt>
                <c:pt idx="58">
                  <c:v>3.0832693343427007</c:v>
                </c:pt>
                <c:pt idx="59">
                  <c:v>-1.0555354926309874</c:v>
                </c:pt>
                <c:pt idx="60">
                  <c:v>-0.11487390047937041</c:v>
                </c:pt>
                <c:pt idx="61">
                  <c:v>-2.0792254288618999</c:v>
                </c:pt>
                <c:pt idx="62">
                  <c:v>3.2007468425171091</c:v>
                </c:pt>
                <c:pt idx="63">
                  <c:v>-1.5822989704723707</c:v>
                </c:pt>
                <c:pt idx="64">
                  <c:v>0.38096846405614038</c:v>
                </c:pt>
                <c:pt idx="65">
                  <c:v>-0.31336760909455919</c:v>
                </c:pt>
                <c:pt idx="66">
                  <c:v>3.5632456592646307</c:v>
                </c:pt>
                <c:pt idx="67">
                  <c:v>0.82252194686832958</c:v>
                </c:pt>
                <c:pt idx="68">
                  <c:v>-1.8200477442280594</c:v>
                </c:pt>
                <c:pt idx="69">
                  <c:v>1.5519487953407403</c:v>
                </c:pt>
                <c:pt idx="70">
                  <c:v>0.72728307222931932</c:v>
                </c:pt>
                <c:pt idx="71">
                  <c:v>1.9305015009576003</c:v>
                </c:pt>
                <c:pt idx="72">
                  <c:v>-1.4361836540069</c:v>
                </c:pt>
                <c:pt idx="73">
                  <c:v>2.6059001235110397</c:v>
                </c:pt>
                <c:pt idx="74">
                  <c:v>2.3276702040953516</c:v>
                </c:pt>
                <c:pt idx="75">
                  <c:v>1.5189816030509196</c:v>
                </c:pt>
                <c:pt idx="76">
                  <c:v>2.8151469296080194</c:v>
                </c:pt>
                <c:pt idx="77">
                  <c:v>2.0017416526409502</c:v>
                </c:pt>
                <c:pt idx="78">
                  <c:v>-6.9568627180732197</c:v>
                </c:pt>
                <c:pt idx="79">
                  <c:v>-0.48793257878847918</c:v>
                </c:pt>
              </c:numCache>
            </c:numRef>
          </c:yVal>
          <c:smooth val="0"/>
          <c:extLst>
            <c:ext xmlns:c16="http://schemas.microsoft.com/office/drawing/2014/chart" uri="{C3380CC4-5D6E-409C-BE32-E72D297353CC}">
              <c16:uniqueId val="{00000000-F166-4BCD-A890-10CBD2CB3CD5}"/>
            </c:ext>
          </c:extLst>
        </c:ser>
        <c:dLbls>
          <c:showLegendKey val="0"/>
          <c:showVal val="0"/>
          <c:showCatName val="0"/>
          <c:showSerName val="0"/>
          <c:showPercent val="0"/>
          <c:showBubbleSize val="0"/>
        </c:dLbls>
        <c:axId val="274780160"/>
        <c:axId val="274781696"/>
      </c:scatterChart>
      <c:valAx>
        <c:axId val="274780160"/>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274781696"/>
        <c:crosses val="autoZero"/>
        <c:crossBetween val="midCat"/>
      </c:valAx>
      <c:valAx>
        <c:axId val="274781696"/>
        <c:scaling>
          <c:orientation val="minMax"/>
        </c:scaling>
        <c:delete val="0"/>
        <c:axPos val="l"/>
        <c:majorGridlines/>
        <c:numFmt formatCode="0.00" sourceLinked="1"/>
        <c:majorTickMark val="out"/>
        <c:minorTickMark val="none"/>
        <c:tickLblPos val="nextTo"/>
        <c:crossAx val="274780160"/>
        <c:crosses val="autoZero"/>
        <c:crossBetween val="midCat"/>
      </c:valAx>
    </c:plotArea>
    <c:plotVisOnly val="1"/>
    <c:dispBlanksAs val="gap"/>
    <c:showDLblsOverMax val="0"/>
  </c:chart>
  <c:printSettings>
    <c:headerFooter/>
    <c:pageMargins b="0.75000000000000211" l="0.70000000000000062" r="0.70000000000000062" t="0.75000000000000211"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3834418474441655E-2"/>
          <c:y val="0.13250935178105364"/>
          <c:w val="0.6729182365583003"/>
          <c:h val="0.71284029659820869"/>
        </c:manualLayout>
      </c:layout>
      <c:scatterChart>
        <c:scatterStyle val="lineMarker"/>
        <c:varyColors val="0"/>
        <c:ser>
          <c:idx val="0"/>
          <c:order val="0"/>
          <c:tx>
            <c:v> </c:v>
          </c:tx>
          <c:spPr>
            <a:ln w="28575">
              <a:noFill/>
            </a:ln>
          </c:spPr>
          <c:marker>
            <c:symbol val="circle"/>
            <c:size val="8"/>
            <c:spPr>
              <a:solidFill>
                <a:srgbClr val="000080"/>
              </a:solidFill>
              <a:ln>
                <a:solidFill>
                  <a:srgbClr val="000080"/>
                </a:solidFill>
                <a:prstDash val="solid"/>
              </a:ln>
            </c:spPr>
          </c:marker>
          <c:dLbls>
            <c:dLbl>
              <c:idx val="0"/>
              <c:tx>
                <c:rich>
                  <a:bodyPr/>
                  <a:lstStyle/>
                  <a:p>
                    <a:fld id="{41061EE3-D01F-4589-80BF-87D9DE28316B}" type="CELLRANGE">
                      <a:rPr lang="en-US"/>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C48F-47F1-B988-51F74E68AE7D}"/>
                </c:ext>
              </c:extLst>
            </c:dLbl>
            <c:dLbl>
              <c:idx val="1"/>
              <c:tx>
                <c:rich>
                  <a:bodyPr/>
                  <a:lstStyle/>
                  <a:p>
                    <a:fld id="{37F305AD-143A-41A3-AF3F-0440CA2F8317}"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C48F-47F1-B988-51F74E68AE7D}"/>
                </c:ext>
              </c:extLst>
            </c:dLbl>
            <c:dLbl>
              <c:idx val="2"/>
              <c:tx>
                <c:rich>
                  <a:bodyPr/>
                  <a:lstStyle/>
                  <a:p>
                    <a:fld id="{47EE579C-25D1-463A-BAFB-29ED9CB84253}"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C48F-47F1-B988-51F74E68AE7D}"/>
                </c:ext>
              </c:extLst>
            </c:dLbl>
            <c:dLbl>
              <c:idx val="3"/>
              <c:tx>
                <c:rich>
                  <a:bodyPr/>
                  <a:lstStyle/>
                  <a:p>
                    <a:fld id="{01A4306F-9473-4B22-8305-EF650E0D29D3}"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C48F-47F1-B988-51F74E68AE7D}"/>
                </c:ext>
              </c:extLst>
            </c:dLbl>
            <c:dLbl>
              <c:idx val="4"/>
              <c:tx>
                <c:rich>
                  <a:bodyPr/>
                  <a:lstStyle/>
                  <a:p>
                    <a:fld id="{9BF86632-E7FE-4AA1-B6F4-519DD3FD5801}"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C48F-47F1-B988-51F74E68AE7D}"/>
                </c:ext>
              </c:extLst>
            </c:dLbl>
            <c:dLbl>
              <c:idx val="5"/>
              <c:tx>
                <c:rich>
                  <a:bodyPr/>
                  <a:lstStyle/>
                  <a:p>
                    <a:fld id="{E3786B34-7FD9-4491-AA13-1A9EF8AA7C8B}"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C48F-47F1-B988-51F74E68AE7D}"/>
                </c:ext>
              </c:extLst>
            </c:dLbl>
            <c:dLbl>
              <c:idx val="6"/>
              <c:tx>
                <c:rich>
                  <a:bodyPr/>
                  <a:lstStyle/>
                  <a:p>
                    <a:fld id="{BCA4EE6C-7BDC-407A-AC6B-2148EF8A62AC}"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C48F-47F1-B988-51F74E68AE7D}"/>
                </c:ext>
              </c:extLst>
            </c:dLbl>
            <c:dLbl>
              <c:idx val="7"/>
              <c:tx>
                <c:rich>
                  <a:bodyPr/>
                  <a:lstStyle/>
                  <a:p>
                    <a:fld id="{08307EAC-FC4F-48BA-8F3C-006D67F9C017}"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C48F-47F1-B988-51F74E68AE7D}"/>
                </c:ext>
              </c:extLst>
            </c:dLbl>
            <c:dLbl>
              <c:idx val="8"/>
              <c:tx>
                <c:rich>
                  <a:bodyPr/>
                  <a:lstStyle/>
                  <a:p>
                    <a:fld id="{E1EF682D-596F-4B87-96D6-1FC5E1BBD82B}"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C48F-47F1-B988-51F74E68AE7D}"/>
                </c:ext>
              </c:extLst>
            </c:dLbl>
            <c:dLbl>
              <c:idx val="9"/>
              <c:tx>
                <c:rich>
                  <a:bodyPr/>
                  <a:lstStyle/>
                  <a:p>
                    <a:fld id="{312F3666-6EA5-4B08-9350-9B2F3DF2BA85}"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C48F-47F1-B988-51F74E68AE7D}"/>
                </c:ext>
              </c:extLst>
            </c:dLbl>
            <c:dLbl>
              <c:idx val="10"/>
              <c:tx>
                <c:rich>
                  <a:bodyPr/>
                  <a:lstStyle/>
                  <a:p>
                    <a:fld id="{8F15FFEE-9F63-4D7A-BBFC-6A581725F423}"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C48F-47F1-B988-51F74E68AE7D}"/>
                </c:ext>
              </c:extLst>
            </c:dLbl>
            <c:dLbl>
              <c:idx val="11"/>
              <c:tx>
                <c:rich>
                  <a:bodyPr/>
                  <a:lstStyle/>
                  <a:p>
                    <a:fld id="{4FA2AA4D-9A50-4E36-9BD8-BA093B5F5254}"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C48F-47F1-B988-51F74E68AE7D}"/>
                </c:ext>
              </c:extLst>
            </c:dLbl>
            <c:dLbl>
              <c:idx val="12"/>
              <c:tx>
                <c:rich>
                  <a:bodyPr/>
                  <a:lstStyle/>
                  <a:p>
                    <a:fld id="{C43AAAB0-A578-4295-AD6B-57B3110FAC59}"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C48F-47F1-B988-51F74E68AE7D}"/>
                </c:ext>
              </c:extLst>
            </c:dLbl>
            <c:dLbl>
              <c:idx val="13"/>
              <c:tx>
                <c:rich>
                  <a:bodyPr/>
                  <a:lstStyle/>
                  <a:p>
                    <a:fld id="{4FA48A73-3999-43BF-9D3B-24590E9D1E4E}"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C48F-47F1-B988-51F74E68AE7D}"/>
                </c:ext>
              </c:extLst>
            </c:dLbl>
            <c:dLbl>
              <c:idx val="14"/>
              <c:tx>
                <c:rich>
                  <a:bodyPr/>
                  <a:lstStyle/>
                  <a:p>
                    <a:fld id="{488CF21E-D1C2-40C1-A328-FB071FBD20A6}"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C48F-47F1-B988-51F74E68AE7D}"/>
                </c:ext>
              </c:extLst>
            </c:dLbl>
            <c:dLbl>
              <c:idx val="15"/>
              <c:tx>
                <c:rich>
                  <a:bodyPr/>
                  <a:lstStyle/>
                  <a:p>
                    <a:fld id="{AA7E8795-892E-4785-AF8A-A9C6821B0BE2}"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C48F-47F1-B988-51F74E68AE7D}"/>
                </c:ext>
              </c:extLst>
            </c:dLbl>
            <c:dLbl>
              <c:idx val="16"/>
              <c:tx>
                <c:rich>
                  <a:bodyPr/>
                  <a:lstStyle/>
                  <a:p>
                    <a:fld id="{8E7BDDA1-3177-4A03-B449-47EB13DE7346}"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C48F-47F1-B988-51F74E68AE7D}"/>
                </c:ext>
              </c:extLst>
            </c:dLbl>
            <c:dLbl>
              <c:idx val="17"/>
              <c:tx>
                <c:rich>
                  <a:bodyPr/>
                  <a:lstStyle/>
                  <a:p>
                    <a:fld id="{164DBAF5-05C3-4190-8F0A-823F0783150E}"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C48F-47F1-B988-51F74E68AE7D}"/>
                </c:ext>
              </c:extLst>
            </c:dLbl>
            <c:dLbl>
              <c:idx val="18"/>
              <c:tx>
                <c:rich>
                  <a:bodyPr/>
                  <a:lstStyle/>
                  <a:p>
                    <a:fld id="{12260615-2347-4ADD-AF0B-FB253F29FFF4}"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C48F-47F1-B988-51F74E68AE7D}"/>
                </c:ext>
              </c:extLst>
            </c:dLbl>
            <c:dLbl>
              <c:idx val="19"/>
              <c:tx>
                <c:rich>
                  <a:bodyPr/>
                  <a:lstStyle/>
                  <a:p>
                    <a:fld id="{DACD41BF-79DA-4A82-939B-D4BB5C994320}"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C48F-47F1-B988-51F74E68AE7D}"/>
                </c:ext>
              </c:extLst>
            </c:dLbl>
            <c:dLbl>
              <c:idx val="20"/>
              <c:tx>
                <c:rich>
                  <a:bodyPr/>
                  <a:lstStyle/>
                  <a:p>
                    <a:fld id="{27DBAF32-1C34-4B96-B620-E35053D6E04D}"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C48F-47F1-B988-51F74E68AE7D}"/>
                </c:ext>
              </c:extLst>
            </c:dLbl>
            <c:dLbl>
              <c:idx val="21"/>
              <c:tx>
                <c:rich>
                  <a:bodyPr/>
                  <a:lstStyle/>
                  <a:p>
                    <a:fld id="{08A30E84-3FEA-4848-B5DF-9F69DEA21E83}"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C48F-47F1-B988-51F74E68AE7D}"/>
                </c:ext>
              </c:extLst>
            </c:dLbl>
            <c:dLbl>
              <c:idx val="22"/>
              <c:tx>
                <c:rich>
                  <a:bodyPr/>
                  <a:lstStyle/>
                  <a:p>
                    <a:fld id="{B59482F0-8404-41D3-B0C9-67F0A96C1A71}"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C48F-47F1-B988-51F74E68AE7D}"/>
                </c:ext>
              </c:extLst>
            </c:dLbl>
            <c:dLbl>
              <c:idx val="23"/>
              <c:tx>
                <c:rich>
                  <a:bodyPr/>
                  <a:lstStyle/>
                  <a:p>
                    <a:fld id="{8A2A1942-E92C-448F-B897-00EA4626E663}"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C48F-47F1-B988-51F74E68AE7D}"/>
                </c:ext>
              </c:extLst>
            </c:dLbl>
            <c:dLbl>
              <c:idx val="24"/>
              <c:tx>
                <c:rich>
                  <a:bodyPr/>
                  <a:lstStyle/>
                  <a:p>
                    <a:fld id="{A4957AFB-0C9E-4065-B455-52C60C538A8D}"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C48F-47F1-B988-51F74E68AE7D}"/>
                </c:ext>
              </c:extLst>
            </c:dLbl>
            <c:dLbl>
              <c:idx val="25"/>
              <c:tx>
                <c:rich>
                  <a:bodyPr/>
                  <a:lstStyle/>
                  <a:p>
                    <a:fld id="{47646ADE-B455-4461-BDC1-659B8BF4D04C}"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C48F-47F1-B988-51F74E68AE7D}"/>
                </c:ext>
              </c:extLst>
            </c:dLbl>
            <c:dLbl>
              <c:idx val="26"/>
              <c:tx>
                <c:rich>
                  <a:bodyPr/>
                  <a:lstStyle/>
                  <a:p>
                    <a:fld id="{0813CEBB-33F9-40D5-BDBD-311CF78C6C72}"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C48F-47F1-B988-51F74E68AE7D}"/>
                </c:ext>
              </c:extLst>
            </c:dLbl>
            <c:dLbl>
              <c:idx val="27"/>
              <c:tx>
                <c:rich>
                  <a:bodyPr/>
                  <a:lstStyle/>
                  <a:p>
                    <a:fld id="{C282A817-EF6C-44E5-8DF9-13AF15230F23}"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C48F-47F1-B988-51F74E68AE7D}"/>
                </c:ext>
              </c:extLst>
            </c:dLbl>
            <c:dLbl>
              <c:idx val="28"/>
              <c:tx>
                <c:rich>
                  <a:bodyPr/>
                  <a:lstStyle/>
                  <a:p>
                    <a:fld id="{21CAE977-19E0-483A-B49A-5C69E357F280}"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C48F-47F1-B988-51F74E68AE7D}"/>
                </c:ext>
              </c:extLst>
            </c:dLbl>
            <c:dLbl>
              <c:idx val="29"/>
              <c:tx>
                <c:rich>
                  <a:bodyPr/>
                  <a:lstStyle/>
                  <a:p>
                    <a:fld id="{5059B6A3-8C78-424D-870E-8818902684CA}"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C48F-47F1-B988-51F74E68AE7D}"/>
                </c:ext>
              </c:extLst>
            </c:dLbl>
            <c:dLbl>
              <c:idx val="30"/>
              <c:tx>
                <c:rich>
                  <a:bodyPr/>
                  <a:lstStyle/>
                  <a:p>
                    <a:fld id="{F9C77F9A-9ED7-465E-8469-16B9CAFC9580}"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C48F-47F1-B988-51F74E68AE7D}"/>
                </c:ext>
              </c:extLst>
            </c:dLbl>
            <c:dLbl>
              <c:idx val="31"/>
              <c:tx>
                <c:rich>
                  <a:bodyPr/>
                  <a:lstStyle/>
                  <a:p>
                    <a:fld id="{C4C7B692-CD55-45E0-B4F8-68400FC88F35}"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C48F-47F1-B988-51F74E68AE7D}"/>
                </c:ext>
              </c:extLst>
            </c:dLbl>
            <c:dLbl>
              <c:idx val="32"/>
              <c:tx>
                <c:rich>
                  <a:bodyPr/>
                  <a:lstStyle/>
                  <a:p>
                    <a:fld id="{B05AD8EB-3C9D-4A76-AC16-3ACC027DAA02}"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C48F-47F1-B988-51F74E68AE7D}"/>
                </c:ext>
              </c:extLst>
            </c:dLbl>
            <c:dLbl>
              <c:idx val="33"/>
              <c:tx>
                <c:rich>
                  <a:bodyPr/>
                  <a:lstStyle/>
                  <a:p>
                    <a:fld id="{D989F9E4-DDB4-4966-B340-593DCD2E5E8F}"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C48F-47F1-B988-51F74E68AE7D}"/>
                </c:ext>
              </c:extLst>
            </c:dLbl>
            <c:dLbl>
              <c:idx val="34"/>
              <c:tx>
                <c:rich>
                  <a:bodyPr/>
                  <a:lstStyle/>
                  <a:p>
                    <a:fld id="{F10F0CC1-346D-4FDB-BB35-443A4F5F8B23}"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C48F-47F1-B988-51F74E68AE7D}"/>
                </c:ext>
              </c:extLst>
            </c:dLbl>
            <c:dLbl>
              <c:idx val="35"/>
              <c:tx>
                <c:rich>
                  <a:bodyPr/>
                  <a:lstStyle/>
                  <a:p>
                    <a:fld id="{7D7088D8-1690-41B2-A07B-B645E048F6FE}"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C48F-47F1-B988-51F74E68AE7D}"/>
                </c:ext>
              </c:extLst>
            </c:dLbl>
            <c:dLbl>
              <c:idx val="36"/>
              <c:tx>
                <c:rich>
                  <a:bodyPr/>
                  <a:lstStyle/>
                  <a:p>
                    <a:fld id="{D7290F2D-E6EE-49F8-8745-B31A626927C5}"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C48F-47F1-B988-51F74E68AE7D}"/>
                </c:ext>
              </c:extLst>
            </c:dLbl>
            <c:dLbl>
              <c:idx val="37"/>
              <c:tx>
                <c:rich>
                  <a:bodyPr/>
                  <a:lstStyle/>
                  <a:p>
                    <a:fld id="{323E4F32-67B9-4E54-9022-035FECFFA4B1}"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C48F-47F1-B988-51F74E68AE7D}"/>
                </c:ext>
              </c:extLst>
            </c:dLbl>
            <c:dLbl>
              <c:idx val="38"/>
              <c:tx>
                <c:rich>
                  <a:bodyPr/>
                  <a:lstStyle/>
                  <a:p>
                    <a:fld id="{F7EF1B8C-D788-4812-A876-AB017F9BB400}"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C48F-47F1-B988-51F74E68AE7D}"/>
                </c:ext>
              </c:extLst>
            </c:dLbl>
            <c:dLbl>
              <c:idx val="39"/>
              <c:tx>
                <c:rich>
                  <a:bodyPr/>
                  <a:lstStyle/>
                  <a:p>
                    <a:fld id="{D3978173-3F25-4077-893C-B4A025380039}"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C48F-47F1-B988-51F74E68AE7D}"/>
                </c:ext>
              </c:extLst>
            </c:dLbl>
            <c:dLbl>
              <c:idx val="40"/>
              <c:tx>
                <c:rich>
                  <a:bodyPr/>
                  <a:lstStyle/>
                  <a:p>
                    <a:fld id="{7C9B7B80-86E8-4BE7-8BF7-793663752012}"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C48F-47F1-B988-51F74E68AE7D}"/>
                </c:ext>
              </c:extLst>
            </c:dLbl>
            <c:dLbl>
              <c:idx val="41"/>
              <c:tx>
                <c:rich>
                  <a:bodyPr/>
                  <a:lstStyle/>
                  <a:p>
                    <a:fld id="{0F56DBF3-8B10-4F10-805B-D7241E62CD7F}"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C48F-47F1-B988-51F74E68AE7D}"/>
                </c:ext>
              </c:extLst>
            </c:dLbl>
            <c:dLbl>
              <c:idx val="42"/>
              <c:tx>
                <c:rich>
                  <a:bodyPr/>
                  <a:lstStyle/>
                  <a:p>
                    <a:fld id="{64FD79C7-5A7E-4F29-8EE3-2F14335C6874}"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C48F-47F1-B988-51F74E68AE7D}"/>
                </c:ext>
              </c:extLst>
            </c:dLbl>
            <c:dLbl>
              <c:idx val="43"/>
              <c:tx>
                <c:rich>
                  <a:bodyPr/>
                  <a:lstStyle/>
                  <a:p>
                    <a:fld id="{BEB4CEBC-E070-4ADF-9FA2-9DFE1DB39B66}"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C48F-47F1-B988-51F74E68AE7D}"/>
                </c:ext>
              </c:extLst>
            </c:dLbl>
            <c:dLbl>
              <c:idx val="44"/>
              <c:tx>
                <c:rich>
                  <a:bodyPr/>
                  <a:lstStyle/>
                  <a:p>
                    <a:fld id="{B10855F2-07A8-493C-912D-A9496073E9AC}"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C48F-47F1-B988-51F74E68AE7D}"/>
                </c:ext>
              </c:extLst>
            </c:dLbl>
            <c:dLbl>
              <c:idx val="45"/>
              <c:tx>
                <c:rich>
                  <a:bodyPr/>
                  <a:lstStyle/>
                  <a:p>
                    <a:fld id="{B7D14DBC-6C4E-4C4C-B17C-03EBD1FAFF84}"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C48F-47F1-B988-51F74E68AE7D}"/>
                </c:ext>
              </c:extLst>
            </c:dLbl>
            <c:dLbl>
              <c:idx val="46"/>
              <c:tx>
                <c:rich>
                  <a:bodyPr/>
                  <a:lstStyle/>
                  <a:p>
                    <a:fld id="{7CD947A8-8AD6-4B0F-BAEA-C78BBE8E9AD3}"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C48F-47F1-B988-51F74E68AE7D}"/>
                </c:ext>
              </c:extLst>
            </c:dLbl>
            <c:dLbl>
              <c:idx val="47"/>
              <c:tx>
                <c:rich>
                  <a:bodyPr/>
                  <a:lstStyle/>
                  <a:p>
                    <a:fld id="{21309EA4-EFDC-4BF0-B1A0-C2D593F567C2}"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C48F-47F1-B988-51F74E68AE7D}"/>
                </c:ext>
              </c:extLst>
            </c:dLbl>
            <c:dLbl>
              <c:idx val="48"/>
              <c:tx>
                <c:rich>
                  <a:bodyPr/>
                  <a:lstStyle/>
                  <a:p>
                    <a:fld id="{697FF3A4-D121-4610-B8D7-713F0C8B7E59}"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C48F-47F1-B988-51F74E68AE7D}"/>
                </c:ext>
              </c:extLst>
            </c:dLbl>
            <c:dLbl>
              <c:idx val="49"/>
              <c:tx>
                <c:rich>
                  <a:bodyPr/>
                  <a:lstStyle/>
                  <a:p>
                    <a:fld id="{2EF7EA20-0D66-42EE-A398-9406B44FA07D}"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C48F-47F1-B988-51F74E68AE7D}"/>
                </c:ext>
              </c:extLst>
            </c:dLbl>
            <c:dLbl>
              <c:idx val="50"/>
              <c:tx>
                <c:rich>
                  <a:bodyPr/>
                  <a:lstStyle/>
                  <a:p>
                    <a:fld id="{AA93F261-93AD-44E5-BB6C-3FD65278D99A}"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C48F-47F1-B988-51F74E68AE7D}"/>
                </c:ext>
              </c:extLst>
            </c:dLbl>
            <c:dLbl>
              <c:idx val="51"/>
              <c:tx>
                <c:rich>
                  <a:bodyPr/>
                  <a:lstStyle/>
                  <a:p>
                    <a:fld id="{BE94F23B-E43C-4A0C-A3E3-36BB34FC803C}"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C48F-47F1-B988-51F74E68AE7D}"/>
                </c:ext>
              </c:extLst>
            </c:dLbl>
            <c:dLbl>
              <c:idx val="52"/>
              <c:tx>
                <c:rich>
                  <a:bodyPr/>
                  <a:lstStyle/>
                  <a:p>
                    <a:fld id="{75159D03-E71A-4BFB-932C-5846D8238A52}"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C48F-47F1-B988-51F74E68AE7D}"/>
                </c:ext>
              </c:extLst>
            </c:dLbl>
            <c:dLbl>
              <c:idx val="53"/>
              <c:tx>
                <c:rich>
                  <a:bodyPr/>
                  <a:lstStyle/>
                  <a:p>
                    <a:fld id="{18C019F6-4C86-40EE-990D-07ED5E507CB9}"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C48F-47F1-B988-51F74E68AE7D}"/>
                </c:ext>
              </c:extLst>
            </c:dLbl>
            <c:dLbl>
              <c:idx val="54"/>
              <c:tx>
                <c:rich>
                  <a:bodyPr/>
                  <a:lstStyle/>
                  <a:p>
                    <a:fld id="{C06C4EEF-CFEC-4FBB-AF40-C92C433C46B7}"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C48F-47F1-B988-51F74E68AE7D}"/>
                </c:ext>
              </c:extLst>
            </c:dLbl>
            <c:dLbl>
              <c:idx val="55"/>
              <c:tx>
                <c:rich>
                  <a:bodyPr/>
                  <a:lstStyle/>
                  <a:p>
                    <a:fld id="{09EAE18B-69B6-46AD-A2EE-DD39CACB8804}"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C48F-47F1-B988-51F74E68AE7D}"/>
                </c:ext>
              </c:extLst>
            </c:dLbl>
            <c:dLbl>
              <c:idx val="56"/>
              <c:tx>
                <c:rich>
                  <a:bodyPr/>
                  <a:lstStyle/>
                  <a:p>
                    <a:fld id="{99FCC38C-4C0F-4B11-953C-58DBF12FA4F3}"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C48F-47F1-B988-51F74E68AE7D}"/>
                </c:ext>
              </c:extLst>
            </c:dLbl>
            <c:dLbl>
              <c:idx val="57"/>
              <c:tx>
                <c:rich>
                  <a:bodyPr/>
                  <a:lstStyle/>
                  <a:p>
                    <a:fld id="{A174B097-496F-44AF-BB97-294AF8B6667E}"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C48F-47F1-B988-51F74E68AE7D}"/>
                </c:ext>
              </c:extLst>
            </c:dLbl>
            <c:dLbl>
              <c:idx val="58"/>
              <c:tx>
                <c:rich>
                  <a:bodyPr/>
                  <a:lstStyle/>
                  <a:p>
                    <a:fld id="{38631FD4-8756-42A1-A75D-29EE8105CDDB}"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A-C48F-47F1-B988-51F74E68AE7D}"/>
                </c:ext>
              </c:extLst>
            </c:dLbl>
            <c:dLbl>
              <c:idx val="59"/>
              <c:tx>
                <c:rich>
                  <a:bodyPr/>
                  <a:lstStyle/>
                  <a:p>
                    <a:fld id="{F2CC0F5D-74E6-452E-9A19-98CEC325141B}"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C48F-47F1-B988-51F74E68AE7D}"/>
                </c:ext>
              </c:extLst>
            </c:dLbl>
            <c:dLbl>
              <c:idx val="60"/>
              <c:tx>
                <c:rich>
                  <a:bodyPr/>
                  <a:lstStyle/>
                  <a:p>
                    <a:fld id="{C9A04FFB-7814-42FB-BDFE-21CBEBDA3A3A}"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C48F-47F1-B988-51F74E68AE7D}"/>
                </c:ext>
              </c:extLst>
            </c:dLbl>
            <c:dLbl>
              <c:idx val="61"/>
              <c:tx>
                <c:rich>
                  <a:bodyPr/>
                  <a:lstStyle/>
                  <a:p>
                    <a:fld id="{E5C74EC1-A889-42B8-A1EA-2D244D30C133}"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C48F-47F1-B988-51F74E68AE7D}"/>
                </c:ext>
              </c:extLst>
            </c:dLbl>
            <c:dLbl>
              <c:idx val="62"/>
              <c:tx>
                <c:rich>
                  <a:bodyPr/>
                  <a:lstStyle/>
                  <a:p>
                    <a:fld id="{3C62953D-4C8C-4AA9-85F7-330C4A1C294A}"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C48F-47F1-B988-51F74E68AE7D}"/>
                </c:ext>
              </c:extLst>
            </c:dLbl>
            <c:dLbl>
              <c:idx val="63"/>
              <c:tx>
                <c:rich>
                  <a:bodyPr/>
                  <a:lstStyle/>
                  <a:p>
                    <a:fld id="{3D438458-B1FF-4720-8014-FA5560C6AD8D}"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C48F-47F1-B988-51F74E68AE7D}"/>
                </c:ext>
              </c:extLst>
            </c:dLbl>
            <c:dLbl>
              <c:idx val="64"/>
              <c:tx>
                <c:rich>
                  <a:bodyPr/>
                  <a:lstStyle/>
                  <a:p>
                    <a:fld id="{F346533D-7D57-4EE2-8CB3-3F6F292DBFA1}"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0-C48F-47F1-B988-51F74E68AE7D}"/>
                </c:ext>
              </c:extLst>
            </c:dLbl>
            <c:dLbl>
              <c:idx val="65"/>
              <c:tx>
                <c:rich>
                  <a:bodyPr/>
                  <a:lstStyle/>
                  <a:p>
                    <a:fld id="{E8EF8415-8E5F-4C9D-A607-F4CCE6685230}"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1-C48F-47F1-B988-51F74E68AE7D}"/>
                </c:ext>
              </c:extLst>
            </c:dLbl>
            <c:dLbl>
              <c:idx val="66"/>
              <c:tx>
                <c:rich>
                  <a:bodyPr/>
                  <a:lstStyle/>
                  <a:p>
                    <a:fld id="{711636E2-22EF-4EDB-ABF3-D5A4D755C6B6}"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C48F-47F1-B988-51F74E68AE7D}"/>
                </c:ext>
              </c:extLst>
            </c:dLbl>
            <c:dLbl>
              <c:idx val="67"/>
              <c:tx>
                <c:rich>
                  <a:bodyPr/>
                  <a:lstStyle/>
                  <a:p>
                    <a:fld id="{B06D4EED-82CC-4330-8624-7C02785FB0C1}"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3-C48F-47F1-B988-51F74E68AE7D}"/>
                </c:ext>
              </c:extLst>
            </c:dLbl>
            <c:dLbl>
              <c:idx val="68"/>
              <c:tx>
                <c:rich>
                  <a:bodyPr/>
                  <a:lstStyle/>
                  <a:p>
                    <a:fld id="{6D7A696F-A585-42F4-860D-FBB9692E35E2}"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4-C48F-47F1-B988-51F74E68AE7D}"/>
                </c:ext>
              </c:extLst>
            </c:dLbl>
            <c:dLbl>
              <c:idx val="69"/>
              <c:tx>
                <c:rich>
                  <a:bodyPr/>
                  <a:lstStyle/>
                  <a:p>
                    <a:fld id="{7E1AFA18-A9CF-4F10-8740-B1AD4CEC1571}"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5-C48F-47F1-B988-51F74E68AE7D}"/>
                </c:ext>
              </c:extLst>
            </c:dLbl>
            <c:dLbl>
              <c:idx val="70"/>
              <c:tx>
                <c:rich>
                  <a:bodyPr/>
                  <a:lstStyle/>
                  <a:p>
                    <a:fld id="{8467428C-6F16-41AC-984C-7FEBCFAE3DBE}"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6-C48F-47F1-B988-51F74E68AE7D}"/>
                </c:ext>
              </c:extLst>
            </c:dLbl>
            <c:dLbl>
              <c:idx val="71"/>
              <c:tx>
                <c:rich>
                  <a:bodyPr/>
                  <a:lstStyle/>
                  <a:p>
                    <a:fld id="{75B2D4D1-0D6C-4570-89C0-E864BF092A60}"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7-C48F-47F1-B988-51F74E68AE7D}"/>
                </c:ext>
              </c:extLst>
            </c:dLbl>
            <c:dLbl>
              <c:idx val="72"/>
              <c:tx>
                <c:rich>
                  <a:bodyPr/>
                  <a:lstStyle/>
                  <a:p>
                    <a:fld id="{64A0BAF9-B375-471D-BA17-5C0EE21467C0}"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8-C48F-47F1-B988-51F74E68AE7D}"/>
                </c:ext>
              </c:extLst>
            </c:dLbl>
            <c:dLbl>
              <c:idx val="73"/>
              <c:tx>
                <c:rich>
                  <a:bodyPr/>
                  <a:lstStyle/>
                  <a:p>
                    <a:fld id="{256AA739-B5FE-4AD9-B632-3B9456B02C6E}"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9-C48F-47F1-B988-51F74E68AE7D}"/>
                </c:ext>
              </c:extLst>
            </c:dLbl>
            <c:dLbl>
              <c:idx val="74"/>
              <c:tx>
                <c:rich>
                  <a:bodyPr/>
                  <a:lstStyle/>
                  <a:p>
                    <a:fld id="{2183E8AE-9201-45F9-AF0D-677C386A1DB4}"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A-C48F-47F1-B988-51F74E68AE7D}"/>
                </c:ext>
              </c:extLst>
            </c:dLbl>
            <c:dLbl>
              <c:idx val="75"/>
              <c:tx>
                <c:rich>
                  <a:bodyPr/>
                  <a:lstStyle/>
                  <a:p>
                    <a:fld id="{380746C0-37FB-4CFC-8D3F-B1E07CCD0C16}"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B-C48F-47F1-B988-51F74E68AE7D}"/>
                </c:ext>
              </c:extLst>
            </c:dLbl>
            <c:dLbl>
              <c:idx val="76"/>
              <c:tx>
                <c:rich>
                  <a:bodyPr/>
                  <a:lstStyle/>
                  <a:p>
                    <a:fld id="{FCE0A822-1663-49DA-A0A8-A8307E6E54AD}"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C-C48F-47F1-B988-51F74E68AE7D}"/>
                </c:ext>
              </c:extLst>
            </c:dLbl>
            <c:dLbl>
              <c:idx val="77"/>
              <c:tx>
                <c:rich>
                  <a:bodyPr/>
                  <a:lstStyle/>
                  <a:p>
                    <a:fld id="{389D2EE1-F039-4B6C-9587-18E660E88FDE}"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D-C48F-47F1-B988-51F74E68AE7D}"/>
                </c:ext>
              </c:extLst>
            </c:dLbl>
            <c:dLbl>
              <c:idx val="78"/>
              <c:tx>
                <c:rich>
                  <a:bodyPr/>
                  <a:lstStyle/>
                  <a:p>
                    <a:fld id="{F826885D-4A04-4B7A-B419-151BF99E7B2F}"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E-C48F-47F1-B988-51F74E68AE7D}"/>
                </c:ext>
              </c:extLst>
            </c:dLbl>
            <c:dLbl>
              <c:idx val="79"/>
              <c:tx>
                <c:rich>
                  <a:bodyPr/>
                  <a:lstStyle/>
                  <a:p>
                    <a:fld id="{B9835A5D-5865-4CA9-9F86-41A263D11478}"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F-C48F-47F1-B988-51F74E68AE7D}"/>
                </c:ext>
              </c:extLst>
            </c:dLbl>
            <c:dLbl>
              <c:idx val="80"/>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0-C48F-47F1-B988-51F74E68AE7D}"/>
                </c:ext>
              </c:extLst>
            </c:dLbl>
            <c:dLbl>
              <c:idx val="81"/>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1-C48F-47F1-B988-51F74E68AE7D}"/>
                </c:ext>
              </c:extLst>
            </c:dLbl>
            <c:dLbl>
              <c:idx val="82"/>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2-C48F-47F1-B988-51F74E68AE7D}"/>
                </c:ext>
              </c:extLst>
            </c:dLbl>
            <c:dLbl>
              <c:idx val="83"/>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3-C48F-47F1-B988-51F74E68AE7D}"/>
                </c:ext>
              </c:extLst>
            </c:dLbl>
            <c:dLbl>
              <c:idx val="84"/>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4-C48F-47F1-B988-51F74E68AE7D}"/>
                </c:ext>
              </c:extLst>
            </c:dLbl>
            <c:dLbl>
              <c:idx val="85"/>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5-C48F-47F1-B988-51F74E68AE7D}"/>
                </c:ext>
              </c:extLst>
            </c:dLbl>
            <c:dLbl>
              <c:idx val="86"/>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6-C48F-47F1-B988-51F74E68AE7D}"/>
                </c:ext>
              </c:extLst>
            </c:dLbl>
            <c:dLbl>
              <c:idx val="87"/>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7-C48F-47F1-B988-51F74E68AE7D}"/>
                </c:ext>
              </c:extLst>
            </c:dLbl>
            <c:dLbl>
              <c:idx val="88"/>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8-C48F-47F1-B988-51F74E68AE7D}"/>
                </c:ext>
              </c:extLst>
            </c:dLbl>
            <c:dLbl>
              <c:idx val="89"/>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9-C48F-47F1-B988-51F74E68AE7D}"/>
                </c:ext>
              </c:extLst>
            </c:dLbl>
            <c:dLbl>
              <c:idx val="90"/>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A-C48F-47F1-B988-51F74E68AE7D}"/>
                </c:ext>
              </c:extLst>
            </c:dLbl>
            <c:dLbl>
              <c:idx val="91"/>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B-C48F-47F1-B988-51F74E68AE7D}"/>
                </c:ext>
              </c:extLst>
            </c:dLbl>
            <c:dLbl>
              <c:idx val="92"/>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C-C48F-47F1-B988-51F74E68AE7D}"/>
                </c:ext>
              </c:extLst>
            </c:dLbl>
            <c:dLbl>
              <c:idx val="93"/>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D-C48F-47F1-B988-51F74E68AE7D}"/>
                </c:ext>
              </c:extLst>
            </c:dLbl>
            <c:spPr>
              <a:noFill/>
              <a:ln>
                <a:noFill/>
              </a:ln>
              <a:effectLst/>
            </c:spPr>
            <c:txPr>
              <a:bodyPr wrap="square" lIns="38100" tIns="19050" rIns="38100" bIns="19050" anchor="ctr">
                <a:spAutoFit/>
              </a:bodyPr>
              <a:lstStyle/>
              <a:p>
                <a:pPr>
                  <a:defRPr sz="1000" baseline="0">
                    <a:solidFill>
                      <a:schemeClr val="bg1">
                        <a:lumMod val="75000"/>
                      </a:schemeClr>
                    </a:solidFill>
                  </a:defRPr>
                </a:pPr>
                <a:endParaRPr lang="fr-FR"/>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trendline>
            <c:spPr>
              <a:ln w="38100">
                <a:solidFill>
                  <a:srgbClr val="000000"/>
                </a:solidFill>
                <a:prstDash val="sysDash"/>
              </a:ln>
            </c:spPr>
            <c:trendlineType val="linear"/>
            <c:dispRSqr val="0"/>
            <c:dispEq val="0"/>
          </c:trendline>
          <c:trendline>
            <c:trendlineType val="linear"/>
            <c:dispRSqr val="0"/>
            <c:dispEq val="0"/>
          </c:trendline>
          <c:xVal>
            <c:numRef>
              <c:f>'Loudiyi '!$F$63:$F$156</c:f>
              <c:numCache>
                <c:formatCode>0.00</c:formatCode>
                <c:ptCount val="94"/>
                <c:pt idx="0">
                  <c:v>9.5907829627088006</c:v>
                </c:pt>
                <c:pt idx="1">
                  <c:v>12.8123007733034</c:v>
                </c:pt>
                <c:pt idx="2">
                  <c:v>8.7886582957074495</c:v>
                </c:pt>
                <c:pt idx="3">
                  <c:v>14.0037328566728</c:v>
                </c:pt>
                <c:pt idx="4">
                  <c:v>9.9301256259771602</c:v>
                </c:pt>
                <c:pt idx="5">
                  <c:v>12.7006500819483</c:v>
                </c:pt>
                <c:pt idx="6">
                  <c:v>9.9560812857157295</c:v>
                </c:pt>
                <c:pt idx="7">
                  <c:v>11.2463675459909</c:v>
                </c:pt>
                <c:pt idx="8">
                  <c:v>11.8069677117605</c:v>
                </c:pt>
                <c:pt idx="9">
                  <c:v>10.549199656766</c:v>
                </c:pt>
                <c:pt idx="10">
                  <c:v>13.178681443267701</c:v>
                </c:pt>
                <c:pt idx="11">
                  <c:v>12.457609270619599</c:v>
                </c:pt>
                <c:pt idx="12">
                  <c:v>10.7436345255808</c:v>
                </c:pt>
                <c:pt idx="13">
                  <c:v>11.4769449484661</c:v>
                </c:pt>
                <c:pt idx="14">
                  <c:v>9.5212608161641903</c:v>
                </c:pt>
                <c:pt idx="15">
                  <c:v>10.8171827444339</c:v>
                </c:pt>
                <c:pt idx="16">
                  <c:v>11.572542281162001</c:v>
                </c:pt>
                <c:pt idx="17">
                  <c:v>10.520870146675801</c:v>
                </c:pt>
                <c:pt idx="18">
                  <c:v>11.1040041917498</c:v>
                </c:pt>
                <c:pt idx="19">
                  <c:v>11.8470154218352</c:v>
                </c:pt>
                <c:pt idx="20">
                  <c:v>10.770667699508</c:v>
                </c:pt>
                <c:pt idx="21">
                  <c:v>13.236268858214</c:v>
                </c:pt>
                <c:pt idx="22">
                  <c:v>13.036375087244901</c:v>
                </c:pt>
                <c:pt idx="23">
                  <c:v>10.4081896114883</c:v>
                </c:pt>
                <c:pt idx="24">
                  <c:v>14.038381916056901</c:v>
                </c:pt>
                <c:pt idx="25">
                  <c:v>10.457967472385</c:v>
                </c:pt>
                <c:pt idx="26">
                  <c:v>11.7257813319604</c:v>
                </c:pt>
                <c:pt idx="27">
                  <c:v>13.3201508099317</c:v>
                </c:pt>
                <c:pt idx="28">
                  <c:v>11.3042455720141</c:v>
                </c:pt>
                <c:pt idx="29">
                  <c:v>12.4897868416296</c:v>
                </c:pt>
                <c:pt idx="30">
                  <c:v>12.9683058442589</c:v>
                </c:pt>
                <c:pt idx="31">
                  <c:v>11.758745443748801</c:v>
                </c:pt>
                <c:pt idx="32">
                  <c:v>11.622583729472201</c:v>
                </c:pt>
                <c:pt idx="33">
                  <c:v>12.263069342043</c:v>
                </c:pt>
                <c:pt idx="34">
                  <c:v>11.7959299367675</c:v>
                </c:pt>
                <c:pt idx="35">
                  <c:v>8.0820684470731692</c:v>
                </c:pt>
                <c:pt idx="36">
                  <c:v>9.4566882176730491</c:v>
                </c:pt>
                <c:pt idx="37">
                  <c:v>11.2950739186787</c:v>
                </c:pt>
                <c:pt idx="38">
                  <c:v>12.5192361111085</c:v>
                </c:pt>
                <c:pt idx="39">
                  <c:v>10.4499904386421</c:v>
                </c:pt>
                <c:pt idx="40">
                  <c:v>12.3424716213637</c:v>
                </c:pt>
                <c:pt idx="41">
                  <c:v>11.261041418738399</c:v>
                </c:pt>
                <c:pt idx="42">
                  <c:v>12.4614311299788</c:v>
                </c:pt>
                <c:pt idx="43">
                  <c:v>12.241699891511599</c:v>
                </c:pt>
                <c:pt idx="44">
                  <c:v>12.5329161922641</c:v>
                </c:pt>
                <c:pt idx="45">
                  <c:v>11.739682554826601</c:v>
                </c:pt>
                <c:pt idx="46">
                  <c:v>12.9922221998468</c:v>
                </c:pt>
                <c:pt idx="47">
                  <c:v>11.3273622969296</c:v>
                </c:pt>
                <c:pt idx="48">
                  <c:v>11.3580522343215</c:v>
                </c:pt>
                <c:pt idx="49">
                  <c:v>10.9030238653731</c:v>
                </c:pt>
                <c:pt idx="50">
                  <c:v>10.482469449979201</c:v>
                </c:pt>
                <c:pt idx="51">
                  <c:v>12.5172495263753</c:v>
                </c:pt>
                <c:pt idx="52">
                  <c:v>11.180507178981401</c:v>
                </c:pt>
                <c:pt idx="53">
                  <c:v>9.0097299440247696</c:v>
                </c:pt>
                <c:pt idx="54">
                  <c:v>13.5573882384841</c:v>
                </c:pt>
                <c:pt idx="55">
                  <c:v>10.639742523486801</c:v>
                </c:pt>
                <c:pt idx="56">
                  <c:v>9.3041710621614602</c:v>
                </c:pt>
                <c:pt idx="57">
                  <c:v>9.0932719359618392</c:v>
                </c:pt>
                <c:pt idx="58">
                  <c:v>14.1481845295772</c:v>
                </c:pt>
                <c:pt idx="59">
                  <c:v>9.9057206909225801</c:v>
                </c:pt>
                <c:pt idx="60">
                  <c:v>14.6308474604342</c:v>
                </c:pt>
                <c:pt idx="61">
                  <c:v>10.695547871610099</c:v>
                </c:pt>
                <c:pt idx="62">
                  <c:v>13.4629304677392</c:v>
                </c:pt>
                <c:pt idx="63">
                  <c:v>13.963622513280599</c:v>
                </c:pt>
                <c:pt idx="64">
                  <c:v>14.7973460106976</c:v>
                </c:pt>
                <c:pt idx="65">
                  <c:v>12.8541703871284</c:v>
                </c:pt>
                <c:pt idx="66">
                  <c:v>12.904076262597201</c:v>
                </c:pt>
                <c:pt idx="67">
                  <c:v>10.959684920743699</c:v>
                </c:pt>
                <c:pt idx="68">
                  <c:v>13.468006512283001</c:v>
                </c:pt>
                <c:pt idx="69">
                  <c:v>10.3776295193357</c:v>
                </c:pt>
                <c:pt idx="70">
                  <c:v>12.9869566911656</c:v>
                </c:pt>
                <c:pt idx="71">
                  <c:v>13.2633000098006</c:v>
                </c:pt>
                <c:pt idx="72">
                  <c:v>13.566937263437</c:v>
                </c:pt>
                <c:pt idx="73">
                  <c:v>14.4886985871613</c:v>
                </c:pt>
                <c:pt idx="74">
                  <c:v>12.897274103460999</c:v>
                </c:pt>
                <c:pt idx="75">
                  <c:v>11.0336537247923</c:v>
                </c:pt>
                <c:pt idx="76">
                  <c:v>12.640089808991201</c:v>
                </c:pt>
                <c:pt idx="77">
                  <c:v>14.2778412937512</c:v>
                </c:pt>
                <c:pt idx="78">
                  <c:v>14.4903626635395</c:v>
                </c:pt>
                <c:pt idx="79">
                  <c:v>15.9949861979449</c:v>
                </c:pt>
              </c:numCache>
            </c:numRef>
          </c:xVal>
          <c:yVal>
            <c:numRef>
              <c:f>'Loudiyi '!$D$63:$D$156</c:f>
              <c:numCache>
                <c:formatCode>General</c:formatCode>
                <c:ptCount val="94"/>
                <c:pt idx="0">
                  <c:v>9.9399996000000002</c:v>
                </c:pt>
                <c:pt idx="1">
                  <c:v>10.0200005</c:v>
                </c:pt>
                <c:pt idx="2">
                  <c:v>10</c:v>
                </c:pt>
                <c:pt idx="3">
                  <c:v>10.5</c:v>
                </c:pt>
                <c:pt idx="4">
                  <c:v>10.779999699999999</c:v>
                </c:pt>
                <c:pt idx="5">
                  <c:v>10.449999800000001</c:v>
                </c:pt>
                <c:pt idx="6">
                  <c:v>11.0200005</c:v>
                </c:pt>
                <c:pt idx="7">
                  <c:v>10.800000199999999</c:v>
                </c:pt>
                <c:pt idx="8">
                  <c:v>10.8800001</c:v>
                </c:pt>
                <c:pt idx="9">
                  <c:v>11.0600004</c:v>
                </c:pt>
                <c:pt idx="10">
                  <c:v>11.0900002</c:v>
                </c:pt>
                <c:pt idx="11">
                  <c:v>11.6199999</c:v>
                </c:pt>
                <c:pt idx="12">
                  <c:v>9.9600000000000009</c:v>
                </c:pt>
                <c:pt idx="13">
                  <c:v>9.5</c:v>
                </c:pt>
                <c:pt idx="14">
                  <c:v>9.9899997999999997</c:v>
                </c:pt>
                <c:pt idx="15">
                  <c:v>10.0100002</c:v>
                </c:pt>
                <c:pt idx="16">
                  <c:v>9.8299999000000007</c:v>
                </c:pt>
                <c:pt idx="17">
                  <c:v>9.5699997000000003</c:v>
                </c:pt>
                <c:pt idx="18">
                  <c:v>9.9200000999999993</c:v>
                </c:pt>
                <c:pt idx="19">
                  <c:v>11.670000099999999</c:v>
                </c:pt>
                <c:pt idx="20">
                  <c:v>11.5</c:v>
                </c:pt>
                <c:pt idx="21">
                  <c:v>11.3699999</c:v>
                </c:pt>
                <c:pt idx="22">
                  <c:v>11.5900002</c:v>
                </c:pt>
                <c:pt idx="23">
                  <c:v>9.8800001000000002</c:v>
                </c:pt>
                <c:pt idx="24">
                  <c:v>11.8400002</c:v>
                </c:pt>
                <c:pt idx="25">
                  <c:v>10</c:v>
                </c:pt>
                <c:pt idx="26">
                  <c:v>10.100000400000001</c:v>
                </c:pt>
                <c:pt idx="27">
                  <c:v>11.399999599999999</c:v>
                </c:pt>
                <c:pt idx="28">
                  <c:v>10.279999699999999</c:v>
                </c:pt>
                <c:pt idx="29">
                  <c:v>12.21</c:v>
                </c:pt>
                <c:pt idx="30">
                  <c:v>11.9399996</c:v>
                </c:pt>
                <c:pt idx="31">
                  <c:v>10.3699999</c:v>
                </c:pt>
                <c:pt idx="32">
                  <c:v>10.3800001</c:v>
                </c:pt>
                <c:pt idx="33">
                  <c:v>9.8800001000000002</c:v>
                </c:pt>
                <c:pt idx="34">
                  <c:v>12.079999900000001</c:v>
                </c:pt>
                <c:pt idx="35">
                  <c:v>9.0799999000000007</c:v>
                </c:pt>
                <c:pt idx="36">
                  <c:v>10.800000199999999</c:v>
                </c:pt>
                <c:pt idx="37">
                  <c:v>9.3599996999999995</c:v>
                </c:pt>
                <c:pt idx="38">
                  <c:v>12.449999800000001</c:v>
                </c:pt>
                <c:pt idx="39">
                  <c:v>10.920000099999999</c:v>
                </c:pt>
                <c:pt idx="40">
                  <c:v>10.949999800000001</c:v>
                </c:pt>
                <c:pt idx="41">
                  <c:v>10.9899998</c:v>
                </c:pt>
                <c:pt idx="42">
                  <c:v>11</c:v>
                </c:pt>
                <c:pt idx="43">
                  <c:v>9.9700003000000006</c:v>
                </c:pt>
                <c:pt idx="44">
                  <c:v>12.899999599999999</c:v>
                </c:pt>
                <c:pt idx="45">
                  <c:v>10.529999699999999</c:v>
                </c:pt>
                <c:pt idx="46">
                  <c:v>11.0600004</c:v>
                </c:pt>
                <c:pt idx="47">
                  <c:v>9.1000004000000008</c:v>
                </c:pt>
                <c:pt idx="48">
                  <c:v>8.9700003000000006</c:v>
                </c:pt>
                <c:pt idx="49">
                  <c:v>11.1199999</c:v>
                </c:pt>
                <c:pt idx="50">
                  <c:v>9.2299994999999999</c:v>
                </c:pt>
                <c:pt idx="51">
                  <c:v>11.2299995</c:v>
                </c:pt>
                <c:pt idx="52">
                  <c:v>11.2299995</c:v>
                </c:pt>
                <c:pt idx="53">
                  <c:v>11.2399998</c:v>
                </c:pt>
                <c:pt idx="54">
                  <c:v>12.5600004</c:v>
                </c:pt>
                <c:pt idx="55">
                  <c:v>10.0699997</c:v>
                </c:pt>
                <c:pt idx="56">
                  <c:v>9.9399996000000002</c:v>
                </c:pt>
                <c:pt idx="57">
                  <c:v>10.2399998</c:v>
                </c:pt>
                <c:pt idx="58">
                  <c:v>11.420000099999999</c:v>
                </c:pt>
                <c:pt idx="59">
                  <c:v>10.5</c:v>
                </c:pt>
                <c:pt idx="60">
                  <c:v>13.140000300000001</c:v>
                </c:pt>
                <c:pt idx="61">
                  <c:v>11.699999800000001</c:v>
                </c:pt>
                <c:pt idx="62">
                  <c:v>10.3800001</c:v>
                </c:pt>
                <c:pt idx="63">
                  <c:v>13.350000400000001</c:v>
                </c:pt>
                <c:pt idx="64">
                  <c:v>12.6599998</c:v>
                </c:pt>
                <c:pt idx="65">
                  <c:v>11.9899998</c:v>
                </c:pt>
                <c:pt idx="66">
                  <c:v>12</c:v>
                </c:pt>
                <c:pt idx="67">
                  <c:v>12</c:v>
                </c:pt>
                <c:pt idx="68">
                  <c:v>13.1599998</c:v>
                </c:pt>
                <c:pt idx="69">
                  <c:v>12.170000099999999</c:v>
                </c:pt>
                <c:pt idx="70">
                  <c:v>10.970000300000001</c:v>
                </c:pt>
                <c:pt idx="71">
                  <c:v>12.2600002</c:v>
                </c:pt>
                <c:pt idx="72">
                  <c:v>13.029999699999999</c:v>
                </c:pt>
                <c:pt idx="73">
                  <c:v>12.359999699999999</c:v>
                </c:pt>
                <c:pt idx="74">
                  <c:v>12.399999599999999</c:v>
                </c:pt>
                <c:pt idx="75">
                  <c:v>12.5</c:v>
                </c:pt>
                <c:pt idx="76">
                  <c:v>12.600000400000001</c:v>
                </c:pt>
                <c:pt idx="77">
                  <c:v>12.670000099999999</c:v>
                </c:pt>
                <c:pt idx="78">
                  <c:v>12.699999800000001</c:v>
                </c:pt>
                <c:pt idx="79">
                  <c:v>14.4300003</c:v>
                </c:pt>
              </c:numCache>
            </c:numRef>
          </c:yVal>
          <c:smooth val="0"/>
          <c:extLst>
            <c:ext xmlns:c15="http://schemas.microsoft.com/office/drawing/2012/chart" uri="{02D57815-91ED-43cb-92C2-25804820EDAC}">
              <c15:datalabelsRange>
                <c15:f>'Loudiyi '!$B$63:$B$142</c15:f>
                <c15:dlblRangeCache>
                  <c:ptCount val="8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15:dlblRangeCache>
              </c15:datalabelsRange>
            </c:ext>
            <c:ext xmlns:c16="http://schemas.microsoft.com/office/drawing/2014/chart" uri="{C3380CC4-5D6E-409C-BE32-E72D297353CC}">
              <c16:uniqueId val="{00000060-C48F-47F1-B988-51F74E68AE7D}"/>
            </c:ext>
          </c:extLst>
        </c:ser>
        <c:ser>
          <c:idx val="1"/>
          <c:order val="1"/>
          <c:tx>
            <c:v>45°</c:v>
          </c:tx>
          <c:spPr>
            <a:ln w="25400">
              <a:solidFill>
                <a:srgbClr val="FF0000"/>
              </a:solidFill>
              <a:prstDash val="solid"/>
            </a:ln>
          </c:spPr>
          <c:marker>
            <c:symbol val="none"/>
          </c:marker>
          <c:xVal>
            <c:numRef>
              <c:f>'Loudiyi '!$E$10:$E$11</c:f>
              <c:numCache>
                <c:formatCode>0.00</c:formatCode>
                <c:ptCount val="2"/>
                <c:pt idx="0">
                  <c:v>8</c:v>
                </c:pt>
                <c:pt idx="1">
                  <c:v>17</c:v>
                </c:pt>
              </c:numCache>
            </c:numRef>
          </c:xVal>
          <c:yVal>
            <c:numRef>
              <c:f>'Loudiyi '!$E$10:$E$11</c:f>
              <c:numCache>
                <c:formatCode>0.00</c:formatCode>
                <c:ptCount val="2"/>
                <c:pt idx="0">
                  <c:v>8</c:v>
                </c:pt>
                <c:pt idx="1">
                  <c:v>17</c:v>
                </c:pt>
              </c:numCache>
            </c:numRef>
          </c:yVal>
          <c:smooth val="0"/>
          <c:extLst>
            <c:ext xmlns:c16="http://schemas.microsoft.com/office/drawing/2014/chart" uri="{C3380CC4-5D6E-409C-BE32-E72D297353CC}">
              <c16:uniqueId val="{00000061-C48F-47F1-B988-51F74E68AE7D}"/>
            </c:ext>
          </c:extLst>
        </c:ser>
        <c:ser>
          <c:idx val="2"/>
          <c:order val="2"/>
          <c:tx>
            <c:v>45°-Bias</c:v>
          </c:tx>
          <c:spPr>
            <a:ln w="38100">
              <a:solidFill>
                <a:srgbClr val="0000FF"/>
              </a:solidFill>
              <a:prstDash val="lgDashDotDot"/>
            </a:ln>
          </c:spPr>
          <c:marker>
            <c:symbol val="none"/>
          </c:marker>
          <c:xVal>
            <c:numRef>
              <c:f>'Loudiyi '!$W$10:$W$11</c:f>
              <c:numCache>
                <c:formatCode>0.00</c:formatCode>
                <c:ptCount val="2"/>
                <c:pt idx="0">
                  <c:v>8.7702052696425987</c:v>
                </c:pt>
                <c:pt idx="1">
                  <c:v>17.770205269642599</c:v>
                </c:pt>
              </c:numCache>
            </c:numRef>
          </c:xVal>
          <c:yVal>
            <c:numRef>
              <c:f>'Loudiyi '!$E$10:$E$11</c:f>
              <c:numCache>
                <c:formatCode>0.00</c:formatCode>
                <c:ptCount val="2"/>
                <c:pt idx="0">
                  <c:v>8</c:v>
                </c:pt>
                <c:pt idx="1">
                  <c:v>17</c:v>
                </c:pt>
              </c:numCache>
            </c:numRef>
          </c:yVal>
          <c:smooth val="0"/>
          <c:extLst>
            <c:ext xmlns:c16="http://schemas.microsoft.com/office/drawing/2014/chart" uri="{C3380CC4-5D6E-409C-BE32-E72D297353CC}">
              <c16:uniqueId val="{00000062-C48F-47F1-B988-51F74E68AE7D}"/>
            </c:ext>
          </c:extLst>
        </c:ser>
        <c:ser>
          <c:idx val="3"/>
          <c:order val="3"/>
          <c:tx>
            <c:v>Least Rec </c:v>
          </c:tx>
          <c:spPr>
            <a:ln w="25400">
              <a:solidFill>
                <a:srgbClr val="FF9900"/>
              </a:solidFill>
              <a:prstDash val="sysDash"/>
            </a:ln>
          </c:spPr>
          <c:marker>
            <c:symbol val="none"/>
          </c:marker>
          <c:xVal>
            <c:numRef>
              <c:f>'Loudiyi '!$Y$19:$Y$20</c:f>
              <c:numCache>
                <c:formatCode>General</c:formatCode>
                <c:ptCount val="2"/>
                <c:pt idx="0">
                  <c:v>8</c:v>
                </c:pt>
                <c:pt idx="1">
                  <c:v>17</c:v>
                </c:pt>
              </c:numCache>
            </c:numRef>
          </c:xVal>
          <c:yVal>
            <c:numRef>
              <c:f>'Loudiyi '!$X$19:$X$20</c:f>
              <c:numCache>
                <c:formatCode>0.000</c:formatCode>
                <c:ptCount val="2"/>
                <c:pt idx="0">
                  <c:v>8.2745250034755031</c:v>
                </c:pt>
                <c:pt idx="1">
                  <c:v>14.85099747933457</c:v>
                </c:pt>
              </c:numCache>
            </c:numRef>
          </c:yVal>
          <c:smooth val="0"/>
          <c:extLst>
            <c:ext xmlns:c16="http://schemas.microsoft.com/office/drawing/2014/chart" uri="{C3380CC4-5D6E-409C-BE32-E72D297353CC}">
              <c16:uniqueId val="{00000063-C48F-47F1-B988-51F74E68AE7D}"/>
            </c:ext>
          </c:extLst>
        </c:ser>
        <c:dLbls>
          <c:showLegendKey val="0"/>
          <c:showVal val="0"/>
          <c:showCatName val="0"/>
          <c:showSerName val="0"/>
          <c:showPercent val="0"/>
          <c:showBubbleSize val="0"/>
        </c:dLbls>
        <c:axId val="159636864"/>
        <c:axId val="201328128"/>
      </c:scatterChart>
      <c:valAx>
        <c:axId val="159636864"/>
        <c:scaling>
          <c:orientation val="minMax"/>
          <c:max val="18"/>
          <c:min val="8"/>
        </c:scaling>
        <c:delete val="0"/>
        <c:axPos val="b"/>
        <c:numFmt formatCode="0.00" sourceLinked="1"/>
        <c:majorTickMark val="out"/>
        <c:minorTickMark val="none"/>
        <c:tickLblPos val="nextTo"/>
        <c:spPr>
          <a:ln w="3175">
            <a:solidFill>
              <a:srgbClr val="000000"/>
            </a:solidFill>
            <a:prstDash val="solid"/>
          </a:ln>
        </c:spPr>
        <c:txPr>
          <a:bodyPr rot="0" vert="horz"/>
          <a:lstStyle/>
          <a:p>
            <a:pPr>
              <a:defRPr sz="1775" b="0" i="0" u="none" strike="noStrike" baseline="0">
                <a:solidFill>
                  <a:srgbClr val="000000"/>
                </a:solidFill>
                <a:latin typeface="Arial"/>
                <a:ea typeface="Arial"/>
                <a:cs typeface="Arial"/>
              </a:defRPr>
            </a:pPr>
            <a:endParaRPr lang="fr-FR"/>
          </a:p>
        </c:txPr>
        <c:crossAx val="201328128"/>
        <c:crosses val="autoZero"/>
        <c:crossBetween val="midCat"/>
      </c:valAx>
      <c:valAx>
        <c:axId val="201328128"/>
        <c:scaling>
          <c:orientation val="minMax"/>
          <c:min val="8"/>
        </c:scaling>
        <c:delete val="0"/>
        <c:axPos val="l"/>
        <c:numFmt formatCode="General" sourceLinked="1"/>
        <c:majorTickMark val="out"/>
        <c:minorTickMark val="none"/>
        <c:tickLblPos val="nextTo"/>
        <c:spPr>
          <a:ln w="3175">
            <a:solidFill>
              <a:srgbClr val="000000"/>
            </a:solidFill>
            <a:prstDash val="solid"/>
          </a:ln>
        </c:spPr>
        <c:txPr>
          <a:bodyPr rot="0" vert="horz"/>
          <a:lstStyle/>
          <a:p>
            <a:pPr>
              <a:defRPr sz="1775" b="0" i="0" u="none" strike="noStrike" baseline="0">
                <a:solidFill>
                  <a:srgbClr val="000000"/>
                </a:solidFill>
                <a:latin typeface="Arial"/>
                <a:ea typeface="Arial"/>
                <a:cs typeface="Arial"/>
              </a:defRPr>
            </a:pPr>
            <a:endParaRPr lang="fr-FR"/>
          </a:p>
        </c:txPr>
        <c:crossAx val="159636864"/>
        <c:crosses val="autoZero"/>
        <c:crossBetween val="midCat"/>
      </c:valAx>
      <c:spPr>
        <a:noFill/>
        <a:ln w="12700">
          <a:solidFill>
            <a:srgbClr val="808080"/>
          </a:solidFill>
          <a:prstDash val="solid"/>
        </a:ln>
      </c:spPr>
    </c:plotArea>
    <c:legend>
      <c:legendPos val="r"/>
      <c:legendEntry>
        <c:idx val="5"/>
        <c:delete val="1"/>
      </c:legendEntry>
      <c:layout>
        <c:manualLayout>
          <c:xMode val="edge"/>
          <c:yMode val="edge"/>
          <c:x val="0.79767434134024384"/>
          <c:y val="0.33862478127734036"/>
          <c:w val="0.15397255752001976"/>
          <c:h val="0.2372110830586843"/>
        </c:manualLayout>
      </c:layout>
      <c:overlay val="0"/>
      <c:spPr>
        <a:solidFill>
          <a:srgbClr val="FFFFFF"/>
        </a:solidFill>
        <a:ln w="3175">
          <a:solidFill>
            <a:srgbClr val="000000"/>
          </a:solidFill>
          <a:prstDash val="solid"/>
        </a:ln>
      </c:spPr>
      <c:txPr>
        <a:bodyPr/>
        <a:lstStyle/>
        <a:p>
          <a:pPr>
            <a:defRPr sz="1350" b="1" i="0" u="none" strike="noStrike" baseline="0">
              <a:solidFill>
                <a:srgbClr val="000000"/>
              </a:solidFill>
              <a:latin typeface="Arial"/>
              <a:ea typeface="Arial"/>
              <a:cs typeface="Arial"/>
            </a:defRPr>
          </a:pPr>
          <a:endParaRPr lang="fr-FR"/>
        </a:p>
      </c:txPr>
    </c:legend>
    <c:plotVisOnly val="1"/>
    <c:dispBlanksAs val="gap"/>
    <c:showDLblsOverMax val="0"/>
  </c:chart>
  <c:spPr>
    <a:solidFill>
      <a:srgbClr val="FFFFFF"/>
    </a:solidFill>
    <a:ln w="25400">
      <a:solidFill>
        <a:srgbClr val="000000"/>
      </a:solidFill>
      <a:prstDash val="solid"/>
    </a:ln>
  </c:spPr>
  <c:txPr>
    <a:bodyPr/>
    <a:lstStyle/>
    <a:p>
      <a:pPr>
        <a:defRPr sz="1775" b="0" i="0" u="none" strike="noStrike" baseline="0">
          <a:solidFill>
            <a:srgbClr val="000000"/>
          </a:solidFill>
          <a:latin typeface="Arial"/>
          <a:ea typeface="Arial"/>
          <a:cs typeface="Arial"/>
        </a:defRPr>
      </a:pPr>
      <a:endParaRPr lang="fr-FR"/>
    </a:p>
  </c:txPr>
  <c:printSettings>
    <c:headerFooter alignWithMargins="0"/>
    <c:pageMargins b="1" l="0.75000000000000377" r="0.75000000000000377" t="1" header="0.5" footer="0.5"/>
    <c:pageSetup paperSize="9" orientation="landscape"/>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400" baseline="0"/>
              <a:t>Residuals vs References</a:t>
            </a:r>
          </a:p>
        </c:rich>
      </c:tx>
      <c:layout>
        <c:manualLayout>
          <c:xMode val="edge"/>
          <c:yMode val="edge"/>
          <c:x val="0.56681818181818189"/>
          <c:y val="3.53109202638453E-3"/>
        </c:manualLayout>
      </c:layout>
      <c:overlay val="1"/>
    </c:title>
    <c:autoTitleDeleted val="0"/>
    <c:plotArea>
      <c:layout/>
      <c:scatterChart>
        <c:scatterStyle val="lineMarker"/>
        <c:varyColors val="0"/>
        <c:ser>
          <c:idx val="0"/>
          <c:order val="0"/>
          <c:spPr>
            <a:ln>
              <a:noFill/>
            </a:ln>
          </c:spPr>
          <c:trendline>
            <c:trendlineType val="linear"/>
            <c:dispRSqr val="0"/>
            <c:dispEq val="1"/>
            <c:trendlineLbl>
              <c:layout>
                <c:manualLayout>
                  <c:x val="5.4747515059074582E-2"/>
                  <c:y val="0.43633237847491585"/>
                </c:manualLayout>
              </c:layout>
              <c:numFmt formatCode="General" sourceLinked="0"/>
            </c:trendlineLbl>
          </c:trendline>
          <c:xVal>
            <c:numRef>
              <c:f>'Loudiyi '!$D$63:$D$156</c:f>
              <c:numCache>
                <c:formatCode>General</c:formatCode>
                <c:ptCount val="94"/>
                <c:pt idx="0">
                  <c:v>9.9399996000000002</c:v>
                </c:pt>
                <c:pt idx="1">
                  <c:v>10.0200005</c:v>
                </c:pt>
                <c:pt idx="2">
                  <c:v>10</c:v>
                </c:pt>
                <c:pt idx="3">
                  <c:v>10.5</c:v>
                </c:pt>
                <c:pt idx="4">
                  <c:v>10.779999699999999</c:v>
                </c:pt>
                <c:pt idx="5">
                  <c:v>10.449999800000001</c:v>
                </c:pt>
                <c:pt idx="6">
                  <c:v>11.0200005</c:v>
                </c:pt>
                <c:pt idx="7">
                  <c:v>10.800000199999999</c:v>
                </c:pt>
                <c:pt idx="8">
                  <c:v>10.8800001</c:v>
                </c:pt>
                <c:pt idx="9">
                  <c:v>11.0600004</c:v>
                </c:pt>
                <c:pt idx="10">
                  <c:v>11.0900002</c:v>
                </c:pt>
                <c:pt idx="11">
                  <c:v>11.6199999</c:v>
                </c:pt>
                <c:pt idx="12">
                  <c:v>9.9600000000000009</c:v>
                </c:pt>
                <c:pt idx="13">
                  <c:v>9.5</c:v>
                </c:pt>
                <c:pt idx="14">
                  <c:v>9.9899997999999997</c:v>
                </c:pt>
                <c:pt idx="15">
                  <c:v>10.0100002</c:v>
                </c:pt>
                <c:pt idx="16">
                  <c:v>9.8299999000000007</c:v>
                </c:pt>
                <c:pt idx="17">
                  <c:v>9.5699997000000003</c:v>
                </c:pt>
                <c:pt idx="18">
                  <c:v>9.9200000999999993</c:v>
                </c:pt>
                <c:pt idx="19">
                  <c:v>11.670000099999999</c:v>
                </c:pt>
                <c:pt idx="20">
                  <c:v>11.5</c:v>
                </c:pt>
                <c:pt idx="21">
                  <c:v>11.3699999</c:v>
                </c:pt>
                <c:pt idx="22">
                  <c:v>11.5900002</c:v>
                </c:pt>
                <c:pt idx="23">
                  <c:v>9.8800001000000002</c:v>
                </c:pt>
                <c:pt idx="24">
                  <c:v>11.8400002</c:v>
                </c:pt>
                <c:pt idx="25">
                  <c:v>10</c:v>
                </c:pt>
                <c:pt idx="26">
                  <c:v>10.100000400000001</c:v>
                </c:pt>
                <c:pt idx="27">
                  <c:v>11.399999599999999</c:v>
                </c:pt>
                <c:pt idx="28">
                  <c:v>10.279999699999999</c:v>
                </c:pt>
                <c:pt idx="29">
                  <c:v>12.21</c:v>
                </c:pt>
                <c:pt idx="30">
                  <c:v>11.9399996</c:v>
                </c:pt>
                <c:pt idx="31">
                  <c:v>10.3699999</c:v>
                </c:pt>
                <c:pt idx="32">
                  <c:v>10.3800001</c:v>
                </c:pt>
                <c:pt idx="33">
                  <c:v>9.8800001000000002</c:v>
                </c:pt>
                <c:pt idx="34">
                  <c:v>12.079999900000001</c:v>
                </c:pt>
                <c:pt idx="35">
                  <c:v>9.0799999000000007</c:v>
                </c:pt>
                <c:pt idx="36">
                  <c:v>10.800000199999999</c:v>
                </c:pt>
                <c:pt idx="37">
                  <c:v>9.3599996999999995</c:v>
                </c:pt>
                <c:pt idx="38">
                  <c:v>12.449999800000001</c:v>
                </c:pt>
                <c:pt idx="39">
                  <c:v>10.920000099999999</c:v>
                </c:pt>
                <c:pt idx="40">
                  <c:v>10.949999800000001</c:v>
                </c:pt>
                <c:pt idx="41">
                  <c:v>10.9899998</c:v>
                </c:pt>
                <c:pt idx="42">
                  <c:v>11</c:v>
                </c:pt>
                <c:pt idx="43">
                  <c:v>9.9700003000000006</c:v>
                </c:pt>
                <c:pt idx="44">
                  <c:v>12.899999599999999</c:v>
                </c:pt>
                <c:pt idx="45">
                  <c:v>10.529999699999999</c:v>
                </c:pt>
                <c:pt idx="46">
                  <c:v>11.0600004</c:v>
                </c:pt>
                <c:pt idx="47">
                  <c:v>9.1000004000000008</c:v>
                </c:pt>
                <c:pt idx="48">
                  <c:v>8.9700003000000006</c:v>
                </c:pt>
                <c:pt idx="49">
                  <c:v>11.1199999</c:v>
                </c:pt>
                <c:pt idx="50">
                  <c:v>9.2299994999999999</c:v>
                </c:pt>
                <c:pt idx="51">
                  <c:v>11.2299995</c:v>
                </c:pt>
                <c:pt idx="52">
                  <c:v>11.2299995</c:v>
                </c:pt>
                <c:pt idx="53">
                  <c:v>11.2399998</c:v>
                </c:pt>
                <c:pt idx="54">
                  <c:v>12.5600004</c:v>
                </c:pt>
                <c:pt idx="55">
                  <c:v>10.0699997</c:v>
                </c:pt>
                <c:pt idx="56">
                  <c:v>9.9399996000000002</c:v>
                </c:pt>
                <c:pt idx="57">
                  <c:v>10.2399998</c:v>
                </c:pt>
                <c:pt idx="58">
                  <c:v>11.420000099999999</c:v>
                </c:pt>
                <c:pt idx="59">
                  <c:v>10.5</c:v>
                </c:pt>
                <c:pt idx="60">
                  <c:v>13.140000300000001</c:v>
                </c:pt>
                <c:pt idx="61">
                  <c:v>11.699999800000001</c:v>
                </c:pt>
                <c:pt idx="62">
                  <c:v>10.3800001</c:v>
                </c:pt>
                <c:pt idx="63">
                  <c:v>13.350000400000001</c:v>
                </c:pt>
                <c:pt idx="64">
                  <c:v>12.6599998</c:v>
                </c:pt>
                <c:pt idx="65">
                  <c:v>11.9899998</c:v>
                </c:pt>
                <c:pt idx="66">
                  <c:v>12</c:v>
                </c:pt>
                <c:pt idx="67">
                  <c:v>12</c:v>
                </c:pt>
                <c:pt idx="68">
                  <c:v>13.1599998</c:v>
                </c:pt>
                <c:pt idx="69">
                  <c:v>12.170000099999999</c:v>
                </c:pt>
                <c:pt idx="70">
                  <c:v>10.970000300000001</c:v>
                </c:pt>
                <c:pt idx="71">
                  <c:v>12.2600002</c:v>
                </c:pt>
                <c:pt idx="72">
                  <c:v>13.029999699999999</c:v>
                </c:pt>
                <c:pt idx="73">
                  <c:v>12.359999699999999</c:v>
                </c:pt>
                <c:pt idx="74">
                  <c:v>12.399999599999999</c:v>
                </c:pt>
                <c:pt idx="75">
                  <c:v>12.5</c:v>
                </c:pt>
                <c:pt idx="76">
                  <c:v>12.600000400000001</c:v>
                </c:pt>
                <c:pt idx="77">
                  <c:v>12.670000099999999</c:v>
                </c:pt>
                <c:pt idx="78">
                  <c:v>12.699999800000001</c:v>
                </c:pt>
                <c:pt idx="79">
                  <c:v>14.4300003</c:v>
                </c:pt>
              </c:numCache>
            </c:numRef>
          </c:xVal>
          <c:yVal>
            <c:numRef>
              <c:f>'Loudiyi '!$G$63:$G$156</c:f>
              <c:numCache>
                <c:formatCode>0.00</c:formatCode>
                <c:ptCount val="94"/>
                <c:pt idx="0">
                  <c:v>-0.34921663729119956</c:v>
                </c:pt>
                <c:pt idx="1">
                  <c:v>2.7923002733034004</c:v>
                </c:pt>
                <c:pt idx="2">
                  <c:v>-1.2113417042925505</c:v>
                </c:pt>
                <c:pt idx="3">
                  <c:v>3.5037328566727997</c:v>
                </c:pt>
                <c:pt idx="4">
                  <c:v>-0.84987407402283921</c:v>
                </c:pt>
                <c:pt idx="5">
                  <c:v>2.2506502819482996</c:v>
                </c:pt>
                <c:pt idx="6">
                  <c:v>-1.0639192142842706</c:v>
                </c:pt>
                <c:pt idx="7">
                  <c:v>0.44636734599090033</c:v>
                </c:pt>
                <c:pt idx="8">
                  <c:v>0.92696761176049947</c:v>
                </c:pt>
                <c:pt idx="9">
                  <c:v>-0.51080074323400027</c:v>
                </c:pt>
                <c:pt idx="10">
                  <c:v>2.0886812432677004</c:v>
                </c:pt>
                <c:pt idx="11">
                  <c:v>0.8376093706195995</c:v>
                </c:pt>
                <c:pt idx="12">
                  <c:v>0.78363452558079949</c:v>
                </c:pt>
                <c:pt idx="13">
                  <c:v>1.9769449484660999</c:v>
                </c:pt>
                <c:pt idx="14">
                  <c:v>-0.46873898383580936</c:v>
                </c:pt>
                <c:pt idx="15">
                  <c:v>0.80718254443389981</c:v>
                </c:pt>
                <c:pt idx="16">
                  <c:v>1.742542381162</c:v>
                </c:pt>
                <c:pt idx="17">
                  <c:v>0.95087044667580045</c:v>
                </c:pt>
                <c:pt idx="18">
                  <c:v>1.1840040917498005</c:v>
                </c:pt>
                <c:pt idx="19">
                  <c:v>0.17701532183520108</c:v>
                </c:pt>
                <c:pt idx="20">
                  <c:v>-0.72933230049200048</c:v>
                </c:pt>
                <c:pt idx="21">
                  <c:v>1.8662689582140004</c:v>
                </c:pt>
                <c:pt idx="22">
                  <c:v>1.4463748872449003</c:v>
                </c:pt>
                <c:pt idx="23">
                  <c:v>0.52818951148829996</c:v>
                </c:pt>
                <c:pt idx="24">
                  <c:v>2.1983817160569004</c:v>
                </c:pt>
                <c:pt idx="25">
                  <c:v>0.45796747238500046</c:v>
                </c:pt>
                <c:pt idx="26">
                  <c:v>1.6257809319603993</c:v>
                </c:pt>
                <c:pt idx="27">
                  <c:v>1.9201512099317011</c:v>
                </c:pt>
                <c:pt idx="28">
                  <c:v>1.0242458720141006</c:v>
                </c:pt>
                <c:pt idx="29">
                  <c:v>0.27978684162959944</c:v>
                </c:pt>
                <c:pt idx="30">
                  <c:v>1.0283062442588999</c:v>
                </c:pt>
                <c:pt idx="31">
                  <c:v>1.3887455437488008</c:v>
                </c:pt>
                <c:pt idx="32">
                  <c:v>1.2425836294722004</c:v>
                </c:pt>
                <c:pt idx="33">
                  <c:v>2.3830692420429997</c:v>
                </c:pt>
                <c:pt idx="34">
                  <c:v>-0.28406996323250056</c:v>
                </c:pt>
                <c:pt idx="35">
                  <c:v>-0.9979314529268315</c:v>
                </c:pt>
                <c:pt idx="36">
                  <c:v>-1.3433119823269504</c:v>
                </c:pt>
                <c:pt idx="37">
                  <c:v>1.9350742186787002</c:v>
                </c:pt>
                <c:pt idx="38">
                  <c:v>6.9236311108499038E-2</c:v>
                </c:pt>
                <c:pt idx="39">
                  <c:v>-0.47000966135789923</c:v>
                </c:pt>
                <c:pt idx="40">
                  <c:v>1.3924718213636993</c:v>
                </c:pt>
                <c:pt idx="41">
                  <c:v>0.27104161873839949</c:v>
                </c:pt>
                <c:pt idx="42">
                  <c:v>1.4614311299788003</c:v>
                </c:pt>
                <c:pt idx="43">
                  <c:v>2.2716995915115987</c:v>
                </c:pt>
                <c:pt idx="44">
                  <c:v>-0.36708340773589931</c:v>
                </c:pt>
                <c:pt idx="45">
                  <c:v>1.2096828548266014</c:v>
                </c:pt>
                <c:pt idx="46">
                  <c:v>1.9322217998468005</c:v>
                </c:pt>
                <c:pt idx="47">
                  <c:v>2.2273618969295992</c:v>
                </c:pt>
                <c:pt idx="48">
                  <c:v>2.3880519343214992</c:v>
                </c:pt>
                <c:pt idx="49">
                  <c:v>-0.21697603462689941</c:v>
                </c:pt>
                <c:pt idx="50">
                  <c:v>1.2524699499792007</c:v>
                </c:pt>
                <c:pt idx="51">
                  <c:v>1.2872500263753004</c:v>
                </c:pt>
                <c:pt idx="52">
                  <c:v>-4.9492321018599128E-2</c:v>
                </c:pt>
                <c:pt idx="53">
                  <c:v>-2.2302698559752301</c:v>
                </c:pt>
                <c:pt idx="54">
                  <c:v>0.99738783848409973</c:v>
                </c:pt>
                <c:pt idx="55">
                  <c:v>0.56974282348680028</c:v>
                </c:pt>
                <c:pt idx="56">
                  <c:v>-0.63582853783853999</c:v>
                </c:pt>
                <c:pt idx="57">
                  <c:v>-1.1467278640381604</c:v>
                </c:pt>
                <c:pt idx="58">
                  <c:v>2.7281844295772011</c:v>
                </c:pt>
                <c:pt idx="59">
                  <c:v>-0.59427930907741988</c:v>
                </c:pt>
                <c:pt idx="60">
                  <c:v>1.4908471604341997</c:v>
                </c:pt>
                <c:pt idx="61">
                  <c:v>-1.0044519283899014</c:v>
                </c:pt>
                <c:pt idx="62">
                  <c:v>3.0829303677392002</c:v>
                </c:pt>
                <c:pt idx="63">
                  <c:v>0.61362211328059857</c:v>
                </c:pt>
                <c:pt idx="64">
                  <c:v>2.1373462106976007</c:v>
                </c:pt>
                <c:pt idx="65">
                  <c:v>0.86417058712840067</c:v>
                </c:pt>
                <c:pt idx="66">
                  <c:v>0.90407626259720075</c:v>
                </c:pt>
                <c:pt idx="67">
                  <c:v>-1.0403150792563007</c:v>
                </c:pt>
                <c:pt idx="68">
                  <c:v>0.30800671228300125</c:v>
                </c:pt>
                <c:pt idx="69">
                  <c:v>-1.7923705806642989</c:v>
                </c:pt>
                <c:pt idx="70">
                  <c:v>2.0169563911655999</c:v>
                </c:pt>
                <c:pt idx="71">
                  <c:v>1.0032998098006001</c:v>
                </c:pt>
                <c:pt idx="72">
                  <c:v>0.53693756343700016</c:v>
                </c:pt>
                <c:pt idx="73">
                  <c:v>2.1286988871613008</c:v>
                </c:pt>
                <c:pt idx="74">
                  <c:v>0.49727450346099999</c:v>
                </c:pt>
                <c:pt idx="75">
                  <c:v>-1.4663462752076999</c:v>
                </c:pt>
                <c:pt idx="76">
                  <c:v>4.008940899120006E-2</c:v>
                </c:pt>
                <c:pt idx="77">
                  <c:v>1.6078411937512005</c:v>
                </c:pt>
                <c:pt idx="78">
                  <c:v>1.7903628635394995</c:v>
                </c:pt>
                <c:pt idx="79">
                  <c:v>1.5649858979449007</c:v>
                </c:pt>
              </c:numCache>
            </c:numRef>
          </c:yVal>
          <c:smooth val="0"/>
          <c:extLst>
            <c:ext xmlns:c16="http://schemas.microsoft.com/office/drawing/2014/chart" uri="{C3380CC4-5D6E-409C-BE32-E72D297353CC}">
              <c16:uniqueId val="{00000001-8BA3-4FE2-AD47-6777D25D7B48}"/>
            </c:ext>
          </c:extLst>
        </c:ser>
        <c:dLbls>
          <c:showLegendKey val="0"/>
          <c:showVal val="0"/>
          <c:showCatName val="0"/>
          <c:showSerName val="0"/>
          <c:showPercent val="0"/>
          <c:showBubbleSize val="0"/>
        </c:dLbls>
        <c:axId val="244482048"/>
        <c:axId val="244483968"/>
      </c:scatterChart>
      <c:valAx>
        <c:axId val="244482048"/>
        <c:scaling>
          <c:orientation val="minMax"/>
        </c:scaling>
        <c:delete val="0"/>
        <c:axPos val="b"/>
        <c:title>
          <c:tx>
            <c:rich>
              <a:bodyPr/>
              <a:lstStyle/>
              <a:p>
                <a:pPr>
                  <a:defRPr/>
                </a:pPr>
                <a:r>
                  <a:rPr lang="en-US"/>
                  <a:t>REFERENCE VALUES</a:t>
                </a:r>
              </a:p>
            </c:rich>
          </c:tx>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244483968"/>
        <c:crosses val="autoZero"/>
        <c:crossBetween val="midCat"/>
      </c:valAx>
      <c:valAx>
        <c:axId val="244483968"/>
        <c:scaling>
          <c:orientation val="minMax"/>
        </c:scaling>
        <c:delete val="0"/>
        <c:axPos val="l"/>
        <c:majorGridlines/>
        <c:numFmt formatCode="0.00" sourceLinked="1"/>
        <c:majorTickMark val="out"/>
        <c:minorTickMark val="none"/>
        <c:tickLblPos val="nextTo"/>
        <c:crossAx val="244482048"/>
        <c:crosses val="autoZero"/>
        <c:crossBetween val="midCat"/>
      </c:valAx>
    </c:plotArea>
    <c:plotVisOnly val="1"/>
    <c:dispBlanksAs val="gap"/>
    <c:showDLblsOverMax val="0"/>
  </c:chart>
  <c:printSettings>
    <c:headerFooter/>
    <c:pageMargins b="0.750000000000004" l="0.70000000000000062" r="0.70000000000000062" t="0.750000000000004"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400" baseline="0"/>
              <a:t>Residuals vs predicted</a:t>
            </a:r>
          </a:p>
        </c:rich>
      </c:tx>
      <c:layout>
        <c:manualLayout>
          <c:xMode val="edge"/>
          <c:yMode val="edge"/>
          <c:x val="0.59043500709952246"/>
          <c:y val="0"/>
        </c:manualLayout>
      </c:layout>
      <c:overlay val="1"/>
    </c:title>
    <c:autoTitleDeleted val="0"/>
    <c:plotArea>
      <c:layout/>
      <c:scatterChart>
        <c:scatterStyle val="lineMarker"/>
        <c:varyColors val="0"/>
        <c:ser>
          <c:idx val="0"/>
          <c:order val="0"/>
          <c:spPr>
            <a:ln>
              <a:noFill/>
            </a:ln>
          </c:spPr>
          <c:trendline>
            <c:trendlineType val="linear"/>
            <c:dispRSqr val="0"/>
            <c:dispEq val="1"/>
            <c:trendlineLbl>
              <c:layout>
                <c:manualLayout>
                  <c:x val="8.6646154745701892E-3"/>
                  <c:y val="0.32626926854701888"/>
                </c:manualLayout>
              </c:layout>
              <c:numFmt formatCode="General" sourceLinked="0"/>
            </c:trendlineLbl>
          </c:trendline>
          <c:xVal>
            <c:numRef>
              <c:f>'Loudiyi '!$F$63:$F$156</c:f>
              <c:numCache>
                <c:formatCode>0.00</c:formatCode>
                <c:ptCount val="94"/>
                <c:pt idx="0">
                  <c:v>9.5907829627088006</c:v>
                </c:pt>
                <c:pt idx="1">
                  <c:v>12.8123007733034</c:v>
                </c:pt>
                <c:pt idx="2">
                  <c:v>8.7886582957074495</c:v>
                </c:pt>
                <c:pt idx="3">
                  <c:v>14.0037328566728</c:v>
                </c:pt>
                <c:pt idx="4">
                  <c:v>9.9301256259771602</c:v>
                </c:pt>
                <c:pt idx="5">
                  <c:v>12.7006500819483</c:v>
                </c:pt>
                <c:pt idx="6">
                  <c:v>9.9560812857157295</c:v>
                </c:pt>
                <c:pt idx="7">
                  <c:v>11.2463675459909</c:v>
                </c:pt>
                <c:pt idx="8">
                  <c:v>11.8069677117605</c:v>
                </c:pt>
                <c:pt idx="9">
                  <c:v>10.549199656766</c:v>
                </c:pt>
                <c:pt idx="10">
                  <c:v>13.178681443267701</c:v>
                </c:pt>
                <c:pt idx="11">
                  <c:v>12.457609270619599</c:v>
                </c:pt>
                <c:pt idx="12">
                  <c:v>10.7436345255808</c:v>
                </c:pt>
                <c:pt idx="13">
                  <c:v>11.4769449484661</c:v>
                </c:pt>
                <c:pt idx="14">
                  <c:v>9.5212608161641903</c:v>
                </c:pt>
                <c:pt idx="15">
                  <c:v>10.8171827444339</c:v>
                </c:pt>
                <c:pt idx="16">
                  <c:v>11.572542281162001</c:v>
                </c:pt>
                <c:pt idx="17">
                  <c:v>10.520870146675801</c:v>
                </c:pt>
                <c:pt idx="18">
                  <c:v>11.1040041917498</c:v>
                </c:pt>
                <c:pt idx="19">
                  <c:v>11.8470154218352</c:v>
                </c:pt>
                <c:pt idx="20">
                  <c:v>10.770667699508</c:v>
                </c:pt>
                <c:pt idx="21">
                  <c:v>13.236268858214</c:v>
                </c:pt>
                <c:pt idx="22">
                  <c:v>13.036375087244901</c:v>
                </c:pt>
                <c:pt idx="23">
                  <c:v>10.4081896114883</c:v>
                </c:pt>
                <c:pt idx="24">
                  <c:v>14.038381916056901</c:v>
                </c:pt>
                <c:pt idx="25">
                  <c:v>10.457967472385</c:v>
                </c:pt>
                <c:pt idx="26">
                  <c:v>11.7257813319604</c:v>
                </c:pt>
                <c:pt idx="27">
                  <c:v>13.3201508099317</c:v>
                </c:pt>
                <c:pt idx="28">
                  <c:v>11.3042455720141</c:v>
                </c:pt>
                <c:pt idx="29">
                  <c:v>12.4897868416296</c:v>
                </c:pt>
                <c:pt idx="30">
                  <c:v>12.9683058442589</c:v>
                </c:pt>
                <c:pt idx="31">
                  <c:v>11.758745443748801</c:v>
                </c:pt>
                <c:pt idx="32">
                  <c:v>11.622583729472201</c:v>
                </c:pt>
                <c:pt idx="33">
                  <c:v>12.263069342043</c:v>
                </c:pt>
                <c:pt idx="34">
                  <c:v>11.7959299367675</c:v>
                </c:pt>
                <c:pt idx="35">
                  <c:v>8.0820684470731692</c:v>
                </c:pt>
                <c:pt idx="36">
                  <c:v>9.4566882176730491</c:v>
                </c:pt>
                <c:pt idx="37">
                  <c:v>11.2950739186787</c:v>
                </c:pt>
                <c:pt idx="38">
                  <c:v>12.5192361111085</c:v>
                </c:pt>
                <c:pt idx="39">
                  <c:v>10.4499904386421</c:v>
                </c:pt>
                <c:pt idx="40">
                  <c:v>12.3424716213637</c:v>
                </c:pt>
                <c:pt idx="41">
                  <c:v>11.261041418738399</c:v>
                </c:pt>
                <c:pt idx="42">
                  <c:v>12.4614311299788</c:v>
                </c:pt>
                <c:pt idx="43">
                  <c:v>12.241699891511599</c:v>
                </c:pt>
                <c:pt idx="44">
                  <c:v>12.5329161922641</c:v>
                </c:pt>
                <c:pt idx="45">
                  <c:v>11.739682554826601</c:v>
                </c:pt>
                <c:pt idx="46">
                  <c:v>12.9922221998468</c:v>
                </c:pt>
                <c:pt idx="47">
                  <c:v>11.3273622969296</c:v>
                </c:pt>
                <c:pt idx="48">
                  <c:v>11.3580522343215</c:v>
                </c:pt>
                <c:pt idx="49">
                  <c:v>10.9030238653731</c:v>
                </c:pt>
                <c:pt idx="50">
                  <c:v>10.482469449979201</c:v>
                </c:pt>
                <c:pt idx="51">
                  <c:v>12.5172495263753</c:v>
                </c:pt>
                <c:pt idx="52">
                  <c:v>11.180507178981401</c:v>
                </c:pt>
                <c:pt idx="53">
                  <c:v>9.0097299440247696</c:v>
                </c:pt>
                <c:pt idx="54">
                  <c:v>13.5573882384841</c:v>
                </c:pt>
                <c:pt idx="55">
                  <c:v>10.639742523486801</c:v>
                </c:pt>
                <c:pt idx="56">
                  <c:v>9.3041710621614602</c:v>
                </c:pt>
                <c:pt idx="57">
                  <c:v>9.0932719359618392</c:v>
                </c:pt>
                <c:pt idx="58">
                  <c:v>14.1481845295772</c:v>
                </c:pt>
                <c:pt idx="59">
                  <c:v>9.9057206909225801</c:v>
                </c:pt>
                <c:pt idx="60">
                  <c:v>14.6308474604342</c:v>
                </c:pt>
                <c:pt idx="61">
                  <c:v>10.695547871610099</c:v>
                </c:pt>
                <c:pt idx="62">
                  <c:v>13.4629304677392</c:v>
                </c:pt>
                <c:pt idx="63">
                  <c:v>13.963622513280599</c:v>
                </c:pt>
                <c:pt idx="64">
                  <c:v>14.7973460106976</c:v>
                </c:pt>
                <c:pt idx="65">
                  <c:v>12.8541703871284</c:v>
                </c:pt>
                <c:pt idx="66">
                  <c:v>12.904076262597201</c:v>
                </c:pt>
                <c:pt idx="67">
                  <c:v>10.959684920743699</c:v>
                </c:pt>
                <c:pt idx="68">
                  <c:v>13.468006512283001</c:v>
                </c:pt>
                <c:pt idx="69">
                  <c:v>10.3776295193357</c:v>
                </c:pt>
                <c:pt idx="70">
                  <c:v>12.9869566911656</c:v>
                </c:pt>
                <c:pt idx="71">
                  <c:v>13.2633000098006</c:v>
                </c:pt>
                <c:pt idx="72">
                  <c:v>13.566937263437</c:v>
                </c:pt>
                <c:pt idx="73">
                  <c:v>14.4886985871613</c:v>
                </c:pt>
                <c:pt idx="74">
                  <c:v>12.897274103460999</c:v>
                </c:pt>
                <c:pt idx="75">
                  <c:v>11.0336537247923</c:v>
                </c:pt>
                <c:pt idx="76">
                  <c:v>12.640089808991201</c:v>
                </c:pt>
                <c:pt idx="77">
                  <c:v>14.2778412937512</c:v>
                </c:pt>
                <c:pt idx="78">
                  <c:v>14.4903626635395</c:v>
                </c:pt>
                <c:pt idx="79">
                  <c:v>15.9949861979449</c:v>
                </c:pt>
              </c:numCache>
            </c:numRef>
          </c:xVal>
          <c:yVal>
            <c:numRef>
              <c:f>'Loudiyi '!$G$63:$G$156</c:f>
              <c:numCache>
                <c:formatCode>0.00</c:formatCode>
                <c:ptCount val="94"/>
                <c:pt idx="0">
                  <c:v>-0.34921663729119956</c:v>
                </c:pt>
                <c:pt idx="1">
                  <c:v>2.7923002733034004</c:v>
                </c:pt>
                <c:pt idx="2">
                  <c:v>-1.2113417042925505</c:v>
                </c:pt>
                <c:pt idx="3">
                  <c:v>3.5037328566727997</c:v>
                </c:pt>
                <c:pt idx="4">
                  <c:v>-0.84987407402283921</c:v>
                </c:pt>
                <c:pt idx="5">
                  <c:v>2.2506502819482996</c:v>
                </c:pt>
                <c:pt idx="6">
                  <c:v>-1.0639192142842706</c:v>
                </c:pt>
                <c:pt idx="7">
                  <c:v>0.44636734599090033</c:v>
                </c:pt>
                <c:pt idx="8">
                  <c:v>0.92696761176049947</c:v>
                </c:pt>
                <c:pt idx="9">
                  <c:v>-0.51080074323400027</c:v>
                </c:pt>
                <c:pt idx="10">
                  <c:v>2.0886812432677004</c:v>
                </c:pt>
                <c:pt idx="11">
                  <c:v>0.8376093706195995</c:v>
                </c:pt>
                <c:pt idx="12">
                  <c:v>0.78363452558079949</c:v>
                </c:pt>
                <c:pt idx="13">
                  <c:v>1.9769449484660999</c:v>
                </c:pt>
                <c:pt idx="14">
                  <c:v>-0.46873898383580936</c:v>
                </c:pt>
                <c:pt idx="15">
                  <c:v>0.80718254443389981</c:v>
                </c:pt>
                <c:pt idx="16">
                  <c:v>1.742542381162</c:v>
                </c:pt>
                <c:pt idx="17">
                  <c:v>0.95087044667580045</c:v>
                </c:pt>
                <c:pt idx="18">
                  <c:v>1.1840040917498005</c:v>
                </c:pt>
                <c:pt idx="19">
                  <c:v>0.17701532183520108</c:v>
                </c:pt>
                <c:pt idx="20">
                  <c:v>-0.72933230049200048</c:v>
                </c:pt>
                <c:pt idx="21">
                  <c:v>1.8662689582140004</c:v>
                </c:pt>
                <c:pt idx="22">
                  <c:v>1.4463748872449003</c:v>
                </c:pt>
                <c:pt idx="23">
                  <c:v>0.52818951148829996</c:v>
                </c:pt>
                <c:pt idx="24">
                  <c:v>2.1983817160569004</c:v>
                </c:pt>
                <c:pt idx="25">
                  <c:v>0.45796747238500046</c:v>
                </c:pt>
                <c:pt idx="26">
                  <c:v>1.6257809319603993</c:v>
                </c:pt>
                <c:pt idx="27">
                  <c:v>1.9201512099317011</c:v>
                </c:pt>
                <c:pt idx="28">
                  <c:v>1.0242458720141006</c:v>
                </c:pt>
                <c:pt idx="29">
                  <c:v>0.27978684162959944</c:v>
                </c:pt>
                <c:pt idx="30">
                  <c:v>1.0283062442588999</c:v>
                </c:pt>
                <c:pt idx="31">
                  <c:v>1.3887455437488008</c:v>
                </c:pt>
                <c:pt idx="32">
                  <c:v>1.2425836294722004</c:v>
                </c:pt>
                <c:pt idx="33">
                  <c:v>2.3830692420429997</c:v>
                </c:pt>
                <c:pt idx="34">
                  <c:v>-0.28406996323250056</c:v>
                </c:pt>
                <c:pt idx="35">
                  <c:v>-0.9979314529268315</c:v>
                </c:pt>
                <c:pt idx="36">
                  <c:v>-1.3433119823269504</c:v>
                </c:pt>
                <c:pt idx="37">
                  <c:v>1.9350742186787002</c:v>
                </c:pt>
                <c:pt idx="38">
                  <c:v>6.9236311108499038E-2</c:v>
                </c:pt>
                <c:pt idx="39">
                  <c:v>-0.47000966135789923</c:v>
                </c:pt>
                <c:pt idx="40">
                  <c:v>1.3924718213636993</c:v>
                </c:pt>
                <c:pt idx="41">
                  <c:v>0.27104161873839949</c:v>
                </c:pt>
                <c:pt idx="42">
                  <c:v>1.4614311299788003</c:v>
                </c:pt>
                <c:pt idx="43">
                  <c:v>2.2716995915115987</c:v>
                </c:pt>
                <c:pt idx="44">
                  <c:v>-0.36708340773589931</c:v>
                </c:pt>
                <c:pt idx="45">
                  <c:v>1.2096828548266014</c:v>
                </c:pt>
                <c:pt idx="46">
                  <c:v>1.9322217998468005</c:v>
                </c:pt>
                <c:pt idx="47">
                  <c:v>2.2273618969295992</c:v>
                </c:pt>
                <c:pt idx="48">
                  <c:v>2.3880519343214992</c:v>
                </c:pt>
                <c:pt idx="49">
                  <c:v>-0.21697603462689941</c:v>
                </c:pt>
                <c:pt idx="50">
                  <c:v>1.2524699499792007</c:v>
                </c:pt>
                <c:pt idx="51">
                  <c:v>1.2872500263753004</c:v>
                </c:pt>
                <c:pt idx="52">
                  <c:v>-4.9492321018599128E-2</c:v>
                </c:pt>
                <c:pt idx="53">
                  <c:v>-2.2302698559752301</c:v>
                </c:pt>
                <c:pt idx="54">
                  <c:v>0.99738783848409973</c:v>
                </c:pt>
                <c:pt idx="55">
                  <c:v>0.56974282348680028</c:v>
                </c:pt>
                <c:pt idx="56">
                  <c:v>-0.63582853783853999</c:v>
                </c:pt>
                <c:pt idx="57">
                  <c:v>-1.1467278640381604</c:v>
                </c:pt>
                <c:pt idx="58">
                  <c:v>2.7281844295772011</c:v>
                </c:pt>
                <c:pt idx="59">
                  <c:v>-0.59427930907741988</c:v>
                </c:pt>
                <c:pt idx="60">
                  <c:v>1.4908471604341997</c:v>
                </c:pt>
                <c:pt idx="61">
                  <c:v>-1.0044519283899014</c:v>
                </c:pt>
                <c:pt idx="62">
                  <c:v>3.0829303677392002</c:v>
                </c:pt>
                <c:pt idx="63">
                  <c:v>0.61362211328059857</c:v>
                </c:pt>
                <c:pt idx="64">
                  <c:v>2.1373462106976007</c:v>
                </c:pt>
                <c:pt idx="65">
                  <c:v>0.86417058712840067</c:v>
                </c:pt>
                <c:pt idx="66">
                  <c:v>0.90407626259720075</c:v>
                </c:pt>
                <c:pt idx="67">
                  <c:v>-1.0403150792563007</c:v>
                </c:pt>
                <c:pt idx="68">
                  <c:v>0.30800671228300125</c:v>
                </c:pt>
                <c:pt idx="69">
                  <c:v>-1.7923705806642989</c:v>
                </c:pt>
                <c:pt idx="70">
                  <c:v>2.0169563911655999</c:v>
                </c:pt>
                <c:pt idx="71">
                  <c:v>1.0032998098006001</c:v>
                </c:pt>
                <c:pt idx="72">
                  <c:v>0.53693756343700016</c:v>
                </c:pt>
                <c:pt idx="73">
                  <c:v>2.1286988871613008</c:v>
                </c:pt>
                <c:pt idx="74">
                  <c:v>0.49727450346099999</c:v>
                </c:pt>
                <c:pt idx="75">
                  <c:v>-1.4663462752076999</c:v>
                </c:pt>
                <c:pt idx="76">
                  <c:v>4.008940899120006E-2</c:v>
                </c:pt>
                <c:pt idx="77">
                  <c:v>1.6078411937512005</c:v>
                </c:pt>
                <c:pt idx="78">
                  <c:v>1.7903628635394995</c:v>
                </c:pt>
                <c:pt idx="79">
                  <c:v>1.5649858979449007</c:v>
                </c:pt>
              </c:numCache>
            </c:numRef>
          </c:yVal>
          <c:smooth val="0"/>
          <c:extLst>
            <c:ext xmlns:c16="http://schemas.microsoft.com/office/drawing/2014/chart" uri="{C3380CC4-5D6E-409C-BE32-E72D297353CC}">
              <c16:uniqueId val="{00000001-8025-4786-8D0F-9F24C5C4EABA}"/>
            </c:ext>
          </c:extLst>
        </c:ser>
        <c:dLbls>
          <c:showLegendKey val="0"/>
          <c:showVal val="0"/>
          <c:showCatName val="0"/>
          <c:showSerName val="0"/>
          <c:showPercent val="0"/>
          <c:showBubbleSize val="0"/>
        </c:dLbls>
        <c:axId val="251667584"/>
        <c:axId val="251669504"/>
      </c:scatterChart>
      <c:valAx>
        <c:axId val="251667584"/>
        <c:scaling>
          <c:orientation val="minMax"/>
        </c:scaling>
        <c:delete val="0"/>
        <c:axPos val="b"/>
        <c:title>
          <c:tx>
            <c:rich>
              <a:bodyPr/>
              <a:lstStyle/>
              <a:p>
                <a:pPr>
                  <a:defRPr/>
                </a:pPr>
                <a:r>
                  <a:rPr lang="en-US"/>
                  <a:t>PREDICTED NIRS</a:t>
                </a:r>
              </a:p>
            </c:rich>
          </c:tx>
          <c:overlay val="0"/>
        </c:title>
        <c:numFmt formatCode="0.0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251669504"/>
        <c:crosses val="autoZero"/>
        <c:crossBetween val="midCat"/>
      </c:valAx>
      <c:valAx>
        <c:axId val="251669504"/>
        <c:scaling>
          <c:orientation val="minMax"/>
        </c:scaling>
        <c:delete val="0"/>
        <c:axPos val="l"/>
        <c:majorGridlines/>
        <c:numFmt formatCode="0.00" sourceLinked="1"/>
        <c:majorTickMark val="out"/>
        <c:minorTickMark val="none"/>
        <c:tickLblPos val="nextTo"/>
        <c:crossAx val="251667584"/>
        <c:crosses val="autoZero"/>
        <c:crossBetween val="midCat"/>
      </c:valAx>
    </c:plotArea>
    <c:plotVisOnly val="1"/>
    <c:dispBlanksAs val="gap"/>
    <c:showDLblsOverMax val="0"/>
  </c:chart>
  <c:printSettings>
    <c:headerFooter/>
    <c:pageMargins b="0.75000000000000422" l="0.70000000000000062" r="0.70000000000000062" t="0.75000000000000422" header="0.30000000000000032" footer="0.3000000000000003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400" baseline="0"/>
              <a:t>Residuals vs position</a:t>
            </a:r>
          </a:p>
        </c:rich>
      </c:tx>
      <c:layout>
        <c:manualLayout>
          <c:xMode val="edge"/>
          <c:yMode val="edge"/>
          <c:x val="0.61770845220434401"/>
          <c:y val="9.2592592592592587E-3"/>
        </c:manualLayout>
      </c:layout>
      <c:overlay val="1"/>
    </c:title>
    <c:autoTitleDeleted val="0"/>
    <c:plotArea>
      <c:layout>
        <c:manualLayout>
          <c:layoutTarget val="inner"/>
          <c:xMode val="edge"/>
          <c:yMode val="edge"/>
          <c:x val="9.7295231451277789E-2"/>
          <c:y val="4.1365688184682434E-2"/>
          <c:w val="0.8505582003234009"/>
          <c:h val="0.89909093674129181"/>
        </c:manualLayout>
      </c:layout>
      <c:scatterChart>
        <c:scatterStyle val="lineMarker"/>
        <c:varyColors val="0"/>
        <c:ser>
          <c:idx val="0"/>
          <c:order val="0"/>
          <c:spPr>
            <a:ln w="28575">
              <a:noFill/>
            </a:ln>
          </c:spPr>
          <c:xVal>
            <c:numRef>
              <c:f>'Loudiyi '!$B$63:$B$156</c:f>
              <c:numCache>
                <c:formatCode>General</c:formatCode>
                <c:ptCount val="9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numCache>
            </c:numRef>
          </c:xVal>
          <c:yVal>
            <c:numRef>
              <c:f>'Loudiyi '!$G$63:$G$156</c:f>
              <c:numCache>
                <c:formatCode>0.00</c:formatCode>
                <c:ptCount val="94"/>
                <c:pt idx="0">
                  <c:v>-0.34921663729119956</c:v>
                </c:pt>
                <c:pt idx="1">
                  <c:v>2.7923002733034004</c:v>
                </c:pt>
                <c:pt idx="2">
                  <c:v>-1.2113417042925505</c:v>
                </c:pt>
                <c:pt idx="3">
                  <c:v>3.5037328566727997</c:v>
                </c:pt>
                <c:pt idx="4">
                  <c:v>-0.84987407402283921</c:v>
                </c:pt>
                <c:pt idx="5">
                  <c:v>2.2506502819482996</c:v>
                </c:pt>
                <c:pt idx="6">
                  <c:v>-1.0639192142842706</c:v>
                </c:pt>
                <c:pt idx="7">
                  <c:v>0.44636734599090033</c:v>
                </c:pt>
                <c:pt idx="8">
                  <c:v>0.92696761176049947</c:v>
                </c:pt>
                <c:pt idx="9">
                  <c:v>-0.51080074323400027</c:v>
                </c:pt>
                <c:pt idx="10">
                  <c:v>2.0886812432677004</c:v>
                </c:pt>
                <c:pt idx="11">
                  <c:v>0.8376093706195995</c:v>
                </c:pt>
                <c:pt idx="12">
                  <c:v>0.78363452558079949</c:v>
                </c:pt>
                <c:pt idx="13">
                  <c:v>1.9769449484660999</c:v>
                </c:pt>
                <c:pt idx="14">
                  <c:v>-0.46873898383580936</c:v>
                </c:pt>
                <c:pt idx="15">
                  <c:v>0.80718254443389981</c:v>
                </c:pt>
                <c:pt idx="16">
                  <c:v>1.742542381162</c:v>
                </c:pt>
                <c:pt idx="17">
                  <c:v>0.95087044667580045</c:v>
                </c:pt>
                <c:pt idx="18">
                  <c:v>1.1840040917498005</c:v>
                </c:pt>
                <c:pt idx="19">
                  <c:v>0.17701532183520108</c:v>
                </c:pt>
                <c:pt idx="20">
                  <c:v>-0.72933230049200048</c:v>
                </c:pt>
                <c:pt idx="21">
                  <c:v>1.8662689582140004</c:v>
                </c:pt>
                <c:pt idx="22">
                  <c:v>1.4463748872449003</c:v>
                </c:pt>
                <c:pt idx="23">
                  <c:v>0.52818951148829996</c:v>
                </c:pt>
                <c:pt idx="24">
                  <c:v>2.1983817160569004</c:v>
                </c:pt>
                <c:pt idx="25">
                  <c:v>0.45796747238500046</c:v>
                </c:pt>
                <c:pt idx="26">
                  <c:v>1.6257809319603993</c:v>
                </c:pt>
                <c:pt idx="27">
                  <c:v>1.9201512099317011</c:v>
                </c:pt>
                <c:pt idx="28">
                  <c:v>1.0242458720141006</c:v>
                </c:pt>
                <c:pt idx="29">
                  <c:v>0.27978684162959944</c:v>
                </c:pt>
                <c:pt idx="30">
                  <c:v>1.0283062442588999</c:v>
                </c:pt>
                <c:pt idx="31">
                  <c:v>1.3887455437488008</c:v>
                </c:pt>
                <c:pt idx="32">
                  <c:v>1.2425836294722004</c:v>
                </c:pt>
                <c:pt idx="33">
                  <c:v>2.3830692420429997</c:v>
                </c:pt>
                <c:pt idx="34">
                  <c:v>-0.28406996323250056</c:v>
                </c:pt>
                <c:pt idx="35">
                  <c:v>-0.9979314529268315</c:v>
                </c:pt>
                <c:pt idx="36">
                  <c:v>-1.3433119823269504</c:v>
                </c:pt>
                <c:pt idx="37">
                  <c:v>1.9350742186787002</c:v>
                </c:pt>
                <c:pt idx="38">
                  <c:v>6.9236311108499038E-2</c:v>
                </c:pt>
                <c:pt idx="39">
                  <c:v>-0.47000966135789923</c:v>
                </c:pt>
                <c:pt idx="40">
                  <c:v>1.3924718213636993</c:v>
                </c:pt>
                <c:pt idx="41">
                  <c:v>0.27104161873839949</c:v>
                </c:pt>
                <c:pt idx="42">
                  <c:v>1.4614311299788003</c:v>
                </c:pt>
                <c:pt idx="43">
                  <c:v>2.2716995915115987</c:v>
                </c:pt>
                <c:pt idx="44">
                  <c:v>-0.36708340773589931</c:v>
                </c:pt>
                <c:pt idx="45">
                  <c:v>1.2096828548266014</c:v>
                </c:pt>
                <c:pt idx="46">
                  <c:v>1.9322217998468005</c:v>
                </c:pt>
                <c:pt idx="47">
                  <c:v>2.2273618969295992</c:v>
                </c:pt>
                <c:pt idx="48">
                  <c:v>2.3880519343214992</c:v>
                </c:pt>
                <c:pt idx="49">
                  <c:v>-0.21697603462689941</c:v>
                </c:pt>
                <c:pt idx="50">
                  <c:v>1.2524699499792007</c:v>
                </c:pt>
                <c:pt idx="51">
                  <c:v>1.2872500263753004</c:v>
                </c:pt>
                <c:pt idx="52">
                  <c:v>-4.9492321018599128E-2</c:v>
                </c:pt>
                <c:pt idx="53">
                  <c:v>-2.2302698559752301</c:v>
                </c:pt>
                <c:pt idx="54">
                  <c:v>0.99738783848409973</c:v>
                </c:pt>
                <c:pt idx="55">
                  <c:v>0.56974282348680028</c:v>
                </c:pt>
                <c:pt idx="56">
                  <c:v>-0.63582853783853999</c:v>
                </c:pt>
                <c:pt idx="57">
                  <c:v>-1.1467278640381604</c:v>
                </c:pt>
                <c:pt idx="58">
                  <c:v>2.7281844295772011</c:v>
                </c:pt>
                <c:pt idx="59">
                  <c:v>-0.59427930907741988</c:v>
                </c:pt>
                <c:pt idx="60">
                  <c:v>1.4908471604341997</c:v>
                </c:pt>
                <c:pt idx="61">
                  <c:v>-1.0044519283899014</c:v>
                </c:pt>
                <c:pt idx="62">
                  <c:v>3.0829303677392002</c:v>
                </c:pt>
                <c:pt idx="63">
                  <c:v>0.61362211328059857</c:v>
                </c:pt>
                <c:pt idx="64">
                  <c:v>2.1373462106976007</c:v>
                </c:pt>
                <c:pt idx="65">
                  <c:v>0.86417058712840067</c:v>
                </c:pt>
                <c:pt idx="66">
                  <c:v>0.90407626259720075</c:v>
                </c:pt>
                <c:pt idx="67">
                  <c:v>-1.0403150792563007</c:v>
                </c:pt>
                <c:pt idx="68">
                  <c:v>0.30800671228300125</c:v>
                </c:pt>
                <c:pt idx="69">
                  <c:v>-1.7923705806642989</c:v>
                </c:pt>
                <c:pt idx="70">
                  <c:v>2.0169563911655999</c:v>
                </c:pt>
                <c:pt idx="71">
                  <c:v>1.0032998098006001</c:v>
                </c:pt>
                <c:pt idx="72">
                  <c:v>0.53693756343700016</c:v>
                </c:pt>
                <c:pt idx="73">
                  <c:v>2.1286988871613008</c:v>
                </c:pt>
                <c:pt idx="74">
                  <c:v>0.49727450346099999</c:v>
                </c:pt>
                <c:pt idx="75">
                  <c:v>-1.4663462752076999</c:v>
                </c:pt>
                <c:pt idx="76">
                  <c:v>4.008940899120006E-2</c:v>
                </c:pt>
                <c:pt idx="77">
                  <c:v>1.6078411937512005</c:v>
                </c:pt>
                <c:pt idx="78">
                  <c:v>1.7903628635394995</c:v>
                </c:pt>
                <c:pt idx="79">
                  <c:v>1.5649858979449007</c:v>
                </c:pt>
              </c:numCache>
            </c:numRef>
          </c:yVal>
          <c:smooth val="0"/>
          <c:extLst>
            <c:ext xmlns:c16="http://schemas.microsoft.com/office/drawing/2014/chart" uri="{C3380CC4-5D6E-409C-BE32-E72D297353CC}">
              <c16:uniqueId val="{00000000-26C0-4287-B3F8-9C20C51D6B0C}"/>
            </c:ext>
          </c:extLst>
        </c:ser>
        <c:dLbls>
          <c:showLegendKey val="0"/>
          <c:showVal val="0"/>
          <c:showCatName val="0"/>
          <c:showSerName val="0"/>
          <c:showPercent val="0"/>
          <c:showBubbleSize val="0"/>
        </c:dLbls>
        <c:axId val="274780160"/>
        <c:axId val="274781696"/>
      </c:scatterChart>
      <c:valAx>
        <c:axId val="274780160"/>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274781696"/>
        <c:crosses val="autoZero"/>
        <c:crossBetween val="midCat"/>
      </c:valAx>
      <c:valAx>
        <c:axId val="274781696"/>
        <c:scaling>
          <c:orientation val="minMax"/>
        </c:scaling>
        <c:delete val="0"/>
        <c:axPos val="l"/>
        <c:majorGridlines/>
        <c:numFmt formatCode="0.00" sourceLinked="1"/>
        <c:majorTickMark val="out"/>
        <c:minorTickMark val="none"/>
        <c:tickLblPos val="nextTo"/>
        <c:crossAx val="274780160"/>
        <c:crosses val="autoZero"/>
        <c:crossBetween val="midCat"/>
      </c:valAx>
    </c:plotArea>
    <c:plotVisOnly val="1"/>
    <c:dispBlanksAs val="gap"/>
    <c:showDLblsOverMax val="0"/>
  </c:chart>
  <c:printSettings>
    <c:headerFooter/>
    <c:pageMargins b="0.75000000000000211" l="0.70000000000000062" r="0.70000000000000062" t="0.75000000000000211" header="0.30000000000000032" footer="0.3000000000000003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3834418474441655E-2"/>
          <c:y val="0.13250935178105364"/>
          <c:w val="0.6729182365583003"/>
          <c:h val="0.71284029659820869"/>
        </c:manualLayout>
      </c:layout>
      <c:scatterChart>
        <c:scatterStyle val="lineMarker"/>
        <c:varyColors val="0"/>
        <c:ser>
          <c:idx val="0"/>
          <c:order val="0"/>
          <c:tx>
            <c:v> </c:v>
          </c:tx>
          <c:spPr>
            <a:ln w="28575">
              <a:noFill/>
            </a:ln>
          </c:spPr>
          <c:marker>
            <c:symbol val="circle"/>
            <c:size val="8"/>
            <c:spPr>
              <a:solidFill>
                <a:srgbClr val="000080"/>
              </a:solidFill>
              <a:ln>
                <a:solidFill>
                  <a:srgbClr val="000080"/>
                </a:solidFill>
                <a:prstDash val="solid"/>
              </a:ln>
            </c:spPr>
          </c:marker>
          <c:dLbls>
            <c:dLbl>
              <c:idx val="0"/>
              <c:tx>
                <c:rich>
                  <a:bodyPr/>
                  <a:lstStyle/>
                  <a:p>
                    <a:fld id="{7BBB495B-FF79-4F0C-B18C-97E8B88B16BC}" type="CELLRANGE">
                      <a:rPr lang="en-US"/>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721E-4786-823C-82EAD8FD985F}"/>
                </c:ext>
              </c:extLst>
            </c:dLbl>
            <c:dLbl>
              <c:idx val="1"/>
              <c:tx>
                <c:rich>
                  <a:bodyPr/>
                  <a:lstStyle/>
                  <a:p>
                    <a:fld id="{2B16D583-DB4D-489D-AB73-9EBADA3B7780}"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721E-4786-823C-82EAD8FD985F}"/>
                </c:ext>
              </c:extLst>
            </c:dLbl>
            <c:dLbl>
              <c:idx val="2"/>
              <c:tx>
                <c:rich>
                  <a:bodyPr/>
                  <a:lstStyle/>
                  <a:p>
                    <a:fld id="{1DFB855F-7818-4AC7-87D1-7704336A1C21}"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721E-4786-823C-82EAD8FD985F}"/>
                </c:ext>
              </c:extLst>
            </c:dLbl>
            <c:dLbl>
              <c:idx val="3"/>
              <c:tx>
                <c:rich>
                  <a:bodyPr/>
                  <a:lstStyle/>
                  <a:p>
                    <a:fld id="{44A2151B-E975-4539-9C9C-CC069A044A10}"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21E-4786-823C-82EAD8FD985F}"/>
                </c:ext>
              </c:extLst>
            </c:dLbl>
            <c:dLbl>
              <c:idx val="4"/>
              <c:tx>
                <c:rich>
                  <a:bodyPr/>
                  <a:lstStyle/>
                  <a:p>
                    <a:fld id="{35A847F1-D89B-4C0E-AF26-F614C2C635B0}"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721E-4786-823C-82EAD8FD985F}"/>
                </c:ext>
              </c:extLst>
            </c:dLbl>
            <c:dLbl>
              <c:idx val="5"/>
              <c:tx>
                <c:rich>
                  <a:bodyPr/>
                  <a:lstStyle/>
                  <a:p>
                    <a:fld id="{5FE1D570-1DA6-459D-AA77-E015338AE8BE}"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721E-4786-823C-82EAD8FD985F}"/>
                </c:ext>
              </c:extLst>
            </c:dLbl>
            <c:dLbl>
              <c:idx val="6"/>
              <c:tx>
                <c:rich>
                  <a:bodyPr/>
                  <a:lstStyle/>
                  <a:p>
                    <a:fld id="{BAF39B04-25F5-418B-84B5-486B4D3BF734}"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721E-4786-823C-82EAD8FD985F}"/>
                </c:ext>
              </c:extLst>
            </c:dLbl>
            <c:dLbl>
              <c:idx val="7"/>
              <c:tx>
                <c:rich>
                  <a:bodyPr/>
                  <a:lstStyle/>
                  <a:p>
                    <a:fld id="{10DA00E3-4A39-44F3-9AA4-D7D651028D39}"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721E-4786-823C-82EAD8FD985F}"/>
                </c:ext>
              </c:extLst>
            </c:dLbl>
            <c:dLbl>
              <c:idx val="8"/>
              <c:tx>
                <c:rich>
                  <a:bodyPr/>
                  <a:lstStyle/>
                  <a:p>
                    <a:fld id="{9F185C50-A8E8-4D9B-9D9F-02E4EA741F7E}"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721E-4786-823C-82EAD8FD985F}"/>
                </c:ext>
              </c:extLst>
            </c:dLbl>
            <c:dLbl>
              <c:idx val="9"/>
              <c:tx>
                <c:rich>
                  <a:bodyPr/>
                  <a:lstStyle/>
                  <a:p>
                    <a:fld id="{7030A570-10D6-409A-B6DD-D55F3250FC55}"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721E-4786-823C-82EAD8FD985F}"/>
                </c:ext>
              </c:extLst>
            </c:dLbl>
            <c:dLbl>
              <c:idx val="10"/>
              <c:tx>
                <c:rich>
                  <a:bodyPr/>
                  <a:lstStyle/>
                  <a:p>
                    <a:fld id="{22F04A46-96BD-499C-9B4A-14D646F4AE09}"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721E-4786-823C-82EAD8FD985F}"/>
                </c:ext>
              </c:extLst>
            </c:dLbl>
            <c:dLbl>
              <c:idx val="11"/>
              <c:tx>
                <c:rich>
                  <a:bodyPr/>
                  <a:lstStyle/>
                  <a:p>
                    <a:fld id="{23FC172C-75DC-4434-87F3-DE7C1E31D242}"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721E-4786-823C-82EAD8FD985F}"/>
                </c:ext>
              </c:extLst>
            </c:dLbl>
            <c:dLbl>
              <c:idx val="12"/>
              <c:tx>
                <c:rich>
                  <a:bodyPr/>
                  <a:lstStyle/>
                  <a:p>
                    <a:fld id="{52663A8D-83EB-4754-BFD5-9277684E5206}"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721E-4786-823C-82EAD8FD985F}"/>
                </c:ext>
              </c:extLst>
            </c:dLbl>
            <c:dLbl>
              <c:idx val="13"/>
              <c:tx>
                <c:rich>
                  <a:bodyPr/>
                  <a:lstStyle/>
                  <a:p>
                    <a:fld id="{C4E06F4D-199A-4432-B95F-786BD5659ABE}"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721E-4786-823C-82EAD8FD985F}"/>
                </c:ext>
              </c:extLst>
            </c:dLbl>
            <c:dLbl>
              <c:idx val="14"/>
              <c:tx>
                <c:rich>
                  <a:bodyPr/>
                  <a:lstStyle/>
                  <a:p>
                    <a:fld id="{67497DF5-9ACA-4F2E-A48C-14782957C248}"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721E-4786-823C-82EAD8FD985F}"/>
                </c:ext>
              </c:extLst>
            </c:dLbl>
            <c:dLbl>
              <c:idx val="15"/>
              <c:tx>
                <c:rich>
                  <a:bodyPr/>
                  <a:lstStyle/>
                  <a:p>
                    <a:fld id="{72B02D91-E54B-49BC-881F-C6DBFAB79F14}"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721E-4786-823C-82EAD8FD985F}"/>
                </c:ext>
              </c:extLst>
            </c:dLbl>
            <c:dLbl>
              <c:idx val="16"/>
              <c:tx>
                <c:rich>
                  <a:bodyPr/>
                  <a:lstStyle/>
                  <a:p>
                    <a:fld id="{F5EB35F4-2376-4978-BB4F-51C1B4F7EE14}"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721E-4786-823C-82EAD8FD985F}"/>
                </c:ext>
              </c:extLst>
            </c:dLbl>
            <c:dLbl>
              <c:idx val="17"/>
              <c:tx>
                <c:rich>
                  <a:bodyPr/>
                  <a:lstStyle/>
                  <a:p>
                    <a:fld id="{00495CFF-9ED7-4688-B554-8F31260D85E8}"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721E-4786-823C-82EAD8FD985F}"/>
                </c:ext>
              </c:extLst>
            </c:dLbl>
            <c:dLbl>
              <c:idx val="18"/>
              <c:tx>
                <c:rich>
                  <a:bodyPr/>
                  <a:lstStyle/>
                  <a:p>
                    <a:fld id="{445E60EC-C93F-45F6-AC71-F559DACA44BF}"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721E-4786-823C-82EAD8FD985F}"/>
                </c:ext>
              </c:extLst>
            </c:dLbl>
            <c:dLbl>
              <c:idx val="19"/>
              <c:tx>
                <c:rich>
                  <a:bodyPr/>
                  <a:lstStyle/>
                  <a:p>
                    <a:fld id="{8870FA59-7644-458F-9ED7-C144C730543F}"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721E-4786-823C-82EAD8FD985F}"/>
                </c:ext>
              </c:extLst>
            </c:dLbl>
            <c:dLbl>
              <c:idx val="20"/>
              <c:tx>
                <c:rich>
                  <a:bodyPr/>
                  <a:lstStyle/>
                  <a:p>
                    <a:fld id="{D21B8431-7169-47F7-BE6F-32D51C027EFC}"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721E-4786-823C-82EAD8FD985F}"/>
                </c:ext>
              </c:extLst>
            </c:dLbl>
            <c:dLbl>
              <c:idx val="21"/>
              <c:tx>
                <c:rich>
                  <a:bodyPr/>
                  <a:lstStyle/>
                  <a:p>
                    <a:fld id="{73014E68-082C-4CD5-B71F-E05B64AC8791}"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721E-4786-823C-82EAD8FD985F}"/>
                </c:ext>
              </c:extLst>
            </c:dLbl>
            <c:dLbl>
              <c:idx val="22"/>
              <c:tx>
                <c:rich>
                  <a:bodyPr/>
                  <a:lstStyle/>
                  <a:p>
                    <a:fld id="{6A7A262E-C8B9-4FDA-9177-A66C46FF82C8}"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721E-4786-823C-82EAD8FD985F}"/>
                </c:ext>
              </c:extLst>
            </c:dLbl>
            <c:dLbl>
              <c:idx val="23"/>
              <c:tx>
                <c:rich>
                  <a:bodyPr/>
                  <a:lstStyle/>
                  <a:p>
                    <a:fld id="{DFA77E04-C166-4A2D-8155-CB4B4B1BCEC7}"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721E-4786-823C-82EAD8FD985F}"/>
                </c:ext>
              </c:extLst>
            </c:dLbl>
            <c:dLbl>
              <c:idx val="24"/>
              <c:tx>
                <c:rich>
                  <a:bodyPr/>
                  <a:lstStyle/>
                  <a:p>
                    <a:fld id="{50DD4DD3-215C-47F3-93D6-2CD63968D97B}"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721E-4786-823C-82EAD8FD985F}"/>
                </c:ext>
              </c:extLst>
            </c:dLbl>
            <c:dLbl>
              <c:idx val="25"/>
              <c:tx>
                <c:rich>
                  <a:bodyPr/>
                  <a:lstStyle/>
                  <a:p>
                    <a:fld id="{D108FF58-17CE-4003-B502-74A73D2A8404}"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721E-4786-823C-82EAD8FD985F}"/>
                </c:ext>
              </c:extLst>
            </c:dLbl>
            <c:dLbl>
              <c:idx val="26"/>
              <c:tx>
                <c:rich>
                  <a:bodyPr/>
                  <a:lstStyle/>
                  <a:p>
                    <a:fld id="{22BA572A-3558-4060-AEB2-1F08967B6CD3}"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721E-4786-823C-82EAD8FD985F}"/>
                </c:ext>
              </c:extLst>
            </c:dLbl>
            <c:dLbl>
              <c:idx val="27"/>
              <c:tx>
                <c:rich>
                  <a:bodyPr/>
                  <a:lstStyle/>
                  <a:p>
                    <a:fld id="{9A771DB2-F748-4479-9D64-CF756CD23F49}"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721E-4786-823C-82EAD8FD985F}"/>
                </c:ext>
              </c:extLst>
            </c:dLbl>
            <c:dLbl>
              <c:idx val="28"/>
              <c:tx>
                <c:rich>
                  <a:bodyPr/>
                  <a:lstStyle/>
                  <a:p>
                    <a:fld id="{EC8AEF5C-676B-44A0-A4FB-05C9744B3C93}"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721E-4786-823C-82EAD8FD985F}"/>
                </c:ext>
              </c:extLst>
            </c:dLbl>
            <c:dLbl>
              <c:idx val="29"/>
              <c:tx>
                <c:rich>
                  <a:bodyPr/>
                  <a:lstStyle/>
                  <a:p>
                    <a:fld id="{BC3BC94F-44CB-4EA0-9FBD-D6AAE49C3964}"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721E-4786-823C-82EAD8FD985F}"/>
                </c:ext>
              </c:extLst>
            </c:dLbl>
            <c:dLbl>
              <c:idx val="30"/>
              <c:tx>
                <c:rich>
                  <a:bodyPr/>
                  <a:lstStyle/>
                  <a:p>
                    <a:fld id="{1E3340F0-CF3A-4260-8762-77E4908860E8}"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721E-4786-823C-82EAD8FD985F}"/>
                </c:ext>
              </c:extLst>
            </c:dLbl>
            <c:dLbl>
              <c:idx val="31"/>
              <c:tx>
                <c:rich>
                  <a:bodyPr/>
                  <a:lstStyle/>
                  <a:p>
                    <a:fld id="{CA59AE20-FEDB-4A7E-B120-2BAA6E95E37D}"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721E-4786-823C-82EAD8FD985F}"/>
                </c:ext>
              </c:extLst>
            </c:dLbl>
            <c:dLbl>
              <c:idx val="32"/>
              <c:tx>
                <c:rich>
                  <a:bodyPr/>
                  <a:lstStyle/>
                  <a:p>
                    <a:fld id="{7C706355-92F5-4BAA-9299-422B6623380A}"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721E-4786-823C-82EAD8FD985F}"/>
                </c:ext>
              </c:extLst>
            </c:dLbl>
            <c:dLbl>
              <c:idx val="33"/>
              <c:tx>
                <c:rich>
                  <a:bodyPr/>
                  <a:lstStyle/>
                  <a:p>
                    <a:fld id="{48E5F247-A2CF-4E49-B1F1-73FB9CA8C69A}"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721E-4786-823C-82EAD8FD985F}"/>
                </c:ext>
              </c:extLst>
            </c:dLbl>
            <c:dLbl>
              <c:idx val="34"/>
              <c:tx>
                <c:rich>
                  <a:bodyPr/>
                  <a:lstStyle/>
                  <a:p>
                    <a:fld id="{673E3089-64FF-4A65-9A13-096250AEC7A7}"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721E-4786-823C-82EAD8FD985F}"/>
                </c:ext>
              </c:extLst>
            </c:dLbl>
            <c:dLbl>
              <c:idx val="35"/>
              <c:tx>
                <c:rich>
                  <a:bodyPr/>
                  <a:lstStyle/>
                  <a:p>
                    <a:fld id="{46276BC5-FCA0-49FE-9B26-E102725A5939}"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721E-4786-823C-82EAD8FD985F}"/>
                </c:ext>
              </c:extLst>
            </c:dLbl>
            <c:dLbl>
              <c:idx val="36"/>
              <c:tx>
                <c:rich>
                  <a:bodyPr/>
                  <a:lstStyle/>
                  <a:p>
                    <a:fld id="{6FB021DE-F9DB-4F94-BC16-3AE429CEA634}"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721E-4786-823C-82EAD8FD985F}"/>
                </c:ext>
              </c:extLst>
            </c:dLbl>
            <c:dLbl>
              <c:idx val="37"/>
              <c:tx>
                <c:rich>
                  <a:bodyPr/>
                  <a:lstStyle/>
                  <a:p>
                    <a:fld id="{7D90EB8F-A4B2-4AAB-8041-EB61A8608D4F}"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721E-4786-823C-82EAD8FD985F}"/>
                </c:ext>
              </c:extLst>
            </c:dLbl>
            <c:dLbl>
              <c:idx val="38"/>
              <c:tx>
                <c:rich>
                  <a:bodyPr/>
                  <a:lstStyle/>
                  <a:p>
                    <a:fld id="{ABC39B90-13A5-4FC9-B7C4-423F3AF4F2A9}"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721E-4786-823C-82EAD8FD985F}"/>
                </c:ext>
              </c:extLst>
            </c:dLbl>
            <c:dLbl>
              <c:idx val="39"/>
              <c:tx>
                <c:rich>
                  <a:bodyPr/>
                  <a:lstStyle/>
                  <a:p>
                    <a:fld id="{7100DE69-7910-4B85-974A-A96A2E56B108}"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721E-4786-823C-82EAD8FD985F}"/>
                </c:ext>
              </c:extLst>
            </c:dLbl>
            <c:dLbl>
              <c:idx val="40"/>
              <c:tx>
                <c:rich>
                  <a:bodyPr/>
                  <a:lstStyle/>
                  <a:p>
                    <a:fld id="{B9E37C22-549F-48E5-9BAD-7B4578EA020E}"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721E-4786-823C-82EAD8FD985F}"/>
                </c:ext>
              </c:extLst>
            </c:dLbl>
            <c:dLbl>
              <c:idx val="41"/>
              <c:tx>
                <c:rich>
                  <a:bodyPr/>
                  <a:lstStyle/>
                  <a:p>
                    <a:fld id="{4065A69E-0F52-43FE-9C90-DEA608A038B7}"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721E-4786-823C-82EAD8FD985F}"/>
                </c:ext>
              </c:extLst>
            </c:dLbl>
            <c:dLbl>
              <c:idx val="42"/>
              <c:tx>
                <c:rich>
                  <a:bodyPr/>
                  <a:lstStyle/>
                  <a:p>
                    <a:fld id="{8B099B66-6267-41DD-96C7-5F0A707EB488}"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721E-4786-823C-82EAD8FD985F}"/>
                </c:ext>
              </c:extLst>
            </c:dLbl>
            <c:dLbl>
              <c:idx val="43"/>
              <c:tx>
                <c:rich>
                  <a:bodyPr/>
                  <a:lstStyle/>
                  <a:p>
                    <a:fld id="{567062B6-9C42-4011-8C42-AF2333626EDF}"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721E-4786-823C-82EAD8FD985F}"/>
                </c:ext>
              </c:extLst>
            </c:dLbl>
            <c:dLbl>
              <c:idx val="44"/>
              <c:tx>
                <c:rich>
                  <a:bodyPr/>
                  <a:lstStyle/>
                  <a:p>
                    <a:fld id="{29C18CD4-717D-4500-8DFA-7AB3FBFD2091}"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721E-4786-823C-82EAD8FD985F}"/>
                </c:ext>
              </c:extLst>
            </c:dLbl>
            <c:dLbl>
              <c:idx val="45"/>
              <c:tx>
                <c:rich>
                  <a:bodyPr/>
                  <a:lstStyle/>
                  <a:p>
                    <a:fld id="{9B38EE67-821C-47EE-B93B-473F9B68569B}"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721E-4786-823C-82EAD8FD985F}"/>
                </c:ext>
              </c:extLst>
            </c:dLbl>
            <c:dLbl>
              <c:idx val="46"/>
              <c:tx>
                <c:rich>
                  <a:bodyPr/>
                  <a:lstStyle/>
                  <a:p>
                    <a:fld id="{F5F7BC89-2E02-451A-BDE1-4676F8CF0073}"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721E-4786-823C-82EAD8FD985F}"/>
                </c:ext>
              </c:extLst>
            </c:dLbl>
            <c:dLbl>
              <c:idx val="47"/>
              <c:tx>
                <c:rich>
                  <a:bodyPr/>
                  <a:lstStyle/>
                  <a:p>
                    <a:fld id="{D060AD79-4743-498C-ABA9-2D365F424C70}"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721E-4786-823C-82EAD8FD985F}"/>
                </c:ext>
              </c:extLst>
            </c:dLbl>
            <c:dLbl>
              <c:idx val="48"/>
              <c:tx>
                <c:rich>
                  <a:bodyPr/>
                  <a:lstStyle/>
                  <a:p>
                    <a:fld id="{90EDDAB3-C052-4B04-96BE-BB2809D160A8}"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721E-4786-823C-82EAD8FD985F}"/>
                </c:ext>
              </c:extLst>
            </c:dLbl>
            <c:dLbl>
              <c:idx val="49"/>
              <c:tx>
                <c:rich>
                  <a:bodyPr/>
                  <a:lstStyle/>
                  <a:p>
                    <a:fld id="{5EE8165E-C89F-4908-AA22-F26CDE4879B3}"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721E-4786-823C-82EAD8FD985F}"/>
                </c:ext>
              </c:extLst>
            </c:dLbl>
            <c:dLbl>
              <c:idx val="50"/>
              <c:tx>
                <c:rich>
                  <a:bodyPr/>
                  <a:lstStyle/>
                  <a:p>
                    <a:fld id="{D1131D2E-4A0B-479B-8C65-36A3C1BA009C}"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721E-4786-823C-82EAD8FD985F}"/>
                </c:ext>
              </c:extLst>
            </c:dLbl>
            <c:dLbl>
              <c:idx val="51"/>
              <c:tx>
                <c:rich>
                  <a:bodyPr/>
                  <a:lstStyle/>
                  <a:p>
                    <a:fld id="{820D2D20-B978-4395-B4F6-C69E742C8FE4}"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721E-4786-823C-82EAD8FD985F}"/>
                </c:ext>
              </c:extLst>
            </c:dLbl>
            <c:dLbl>
              <c:idx val="52"/>
              <c:tx>
                <c:rich>
                  <a:bodyPr/>
                  <a:lstStyle/>
                  <a:p>
                    <a:fld id="{25FDE0E6-0777-4841-94E9-713DCE782DC3}"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721E-4786-823C-82EAD8FD985F}"/>
                </c:ext>
              </c:extLst>
            </c:dLbl>
            <c:dLbl>
              <c:idx val="53"/>
              <c:tx>
                <c:rich>
                  <a:bodyPr/>
                  <a:lstStyle/>
                  <a:p>
                    <a:fld id="{FF245010-1D2E-4FDD-BCE2-82DA1D820E4E}"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721E-4786-823C-82EAD8FD985F}"/>
                </c:ext>
              </c:extLst>
            </c:dLbl>
            <c:dLbl>
              <c:idx val="54"/>
              <c:tx>
                <c:rich>
                  <a:bodyPr/>
                  <a:lstStyle/>
                  <a:p>
                    <a:fld id="{E27213FA-BE1E-4294-AED0-9E6C16830C4C}"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721E-4786-823C-82EAD8FD985F}"/>
                </c:ext>
              </c:extLst>
            </c:dLbl>
            <c:dLbl>
              <c:idx val="55"/>
              <c:tx>
                <c:rich>
                  <a:bodyPr/>
                  <a:lstStyle/>
                  <a:p>
                    <a:fld id="{FC2DD024-0866-4835-B2D7-5A920EAF60AE}"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721E-4786-823C-82EAD8FD985F}"/>
                </c:ext>
              </c:extLst>
            </c:dLbl>
            <c:dLbl>
              <c:idx val="56"/>
              <c:tx>
                <c:rich>
                  <a:bodyPr/>
                  <a:lstStyle/>
                  <a:p>
                    <a:fld id="{59EDAD41-7805-4913-9844-6F5A7E0BA51C}"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721E-4786-823C-82EAD8FD985F}"/>
                </c:ext>
              </c:extLst>
            </c:dLbl>
            <c:dLbl>
              <c:idx val="57"/>
              <c:tx>
                <c:rich>
                  <a:bodyPr/>
                  <a:lstStyle/>
                  <a:p>
                    <a:fld id="{DE3456DC-BC24-4B00-90B9-6CE03751AB08}"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721E-4786-823C-82EAD8FD985F}"/>
                </c:ext>
              </c:extLst>
            </c:dLbl>
            <c:dLbl>
              <c:idx val="58"/>
              <c:tx>
                <c:rich>
                  <a:bodyPr/>
                  <a:lstStyle/>
                  <a:p>
                    <a:fld id="{EB98EBA4-AC0F-448E-8C16-2B97E9A600E4}"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A-721E-4786-823C-82EAD8FD985F}"/>
                </c:ext>
              </c:extLst>
            </c:dLbl>
            <c:dLbl>
              <c:idx val="59"/>
              <c:tx>
                <c:rich>
                  <a:bodyPr/>
                  <a:lstStyle/>
                  <a:p>
                    <a:fld id="{CD5C5C66-42A5-4353-AFA4-0CC8C8F25F2E}"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721E-4786-823C-82EAD8FD985F}"/>
                </c:ext>
              </c:extLst>
            </c:dLbl>
            <c:dLbl>
              <c:idx val="60"/>
              <c:tx>
                <c:rich>
                  <a:bodyPr/>
                  <a:lstStyle/>
                  <a:p>
                    <a:fld id="{DCAE8251-D5AB-4174-97F0-DFE708149441}"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721E-4786-823C-82EAD8FD985F}"/>
                </c:ext>
              </c:extLst>
            </c:dLbl>
            <c:dLbl>
              <c:idx val="61"/>
              <c:tx>
                <c:rich>
                  <a:bodyPr/>
                  <a:lstStyle/>
                  <a:p>
                    <a:fld id="{44F5B8C5-5931-40D7-B484-DC96219B6A61}"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721E-4786-823C-82EAD8FD985F}"/>
                </c:ext>
              </c:extLst>
            </c:dLbl>
            <c:dLbl>
              <c:idx val="62"/>
              <c:tx>
                <c:rich>
                  <a:bodyPr/>
                  <a:lstStyle/>
                  <a:p>
                    <a:fld id="{E9AEEE5E-74E5-4D1D-B24C-289342726D47}"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721E-4786-823C-82EAD8FD985F}"/>
                </c:ext>
              </c:extLst>
            </c:dLbl>
            <c:dLbl>
              <c:idx val="63"/>
              <c:tx>
                <c:rich>
                  <a:bodyPr/>
                  <a:lstStyle/>
                  <a:p>
                    <a:fld id="{6EF7216F-355C-4067-A12A-F0F2708D6EC7}"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721E-4786-823C-82EAD8FD985F}"/>
                </c:ext>
              </c:extLst>
            </c:dLbl>
            <c:dLbl>
              <c:idx val="64"/>
              <c:tx>
                <c:rich>
                  <a:bodyPr/>
                  <a:lstStyle/>
                  <a:p>
                    <a:fld id="{D3570C4D-A056-4B7C-9172-7EBF46EA9CC7}"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0-721E-4786-823C-82EAD8FD985F}"/>
                </c:ext>
              </c:extLst>
            </c:dLbl>
            <c:dLbl>
              <c:idx val="65"/>
              <c:tx>
                <c:rich>
                  <a:bodyPr/>
                  <a:lstStyle/>
                  <a:p>
                    <a:fld id="{DC1CFFF9-2FDB-492B-8020-EC7E0A0E58E0}"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1-721E-4786-823C-82EAD8FD985F}"/>
                </c:ext>
              </c:extLst>
            </c:dLbl>
            <c:dLbl>
              <c:idx val="66"/>
              <c:tx>
                <c:rich>
                  <a:bodyPr/>
                  <a:lstStyle/>
                  <a:p>
                    <a:fld id="{3B77DE05-93E5-4A09-B65E-1E0D88200FE0}"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721E-4786-823C-82EAD8FD985F}"/>
                </c:ext>
              </c:extLst>
            </c:dLbl>
            <c:dLbl>
              <c:idx val="67"/>
              <c:tx>
                <c:rich>
                  <a:bodyPr/>
                  <a:lstStyle/>
                  <a:p>
                    <a:fld id="{E7E16491-28C3-4F9A-A88E-D02C067691DE}"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3-721E-4786-823C-82EAD8FD985F}"/>
                </c:ext>
              </c:extLst>
            </c:dLbl>
            <c:dLbl>
              <c:idx val="68"/>
              <c:tx>
                <c:rich>
                  <a:bodyPr/>
                  <a:lstStyle/>
                  <a:p>
                    <a:fld id="{5CC29FF6-437B-4CFC-B0C5-987BBB9051B2}"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4-721E-4786-823C-82EAD8FD985F}"/>
                </c:ext>
              </c:extLst>
            </c:dLbl>
            <c:dLbl>
              <c:idx val="69"/>
              <c:tx>
                <c:rich>
                  <a:bodyPr/>
                  <a:lstStyle/>
                  <a:p>
                    <a:fld id="{186F79A6-4E29-485D-8D5B-6E865B2B485A}"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5-721E-4786-823C-82EAD8FD985F}"/>
                </c:ext>
              </c:extLst>
            </c:dLbl>
            <c:dLbl>
              <c:idx val="70"/>
              <c:tx>
                <c:rich>
                  <a:bodyPr/>
                  <a:lstStyle/>
                  <a:p>
                    <a:fld id="{116F0E22-1B63-45A8-96AA-491095DC6B98}"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6-721E-4786-823C-82EAD8FD985F}"/>
                </c:ext>
              </c:extLst>
            </c:dLbl>
            <c:dLbl>
              <c:idx val="71"/>
              <c:tx>
                <c:rich>
                  <a:bodyPr/>
                  <a:lstStyle/>
                  <a:p>
                    <a:fld id="{7D4FF8A1-7669-44DE-854F-0CA851EEF932}"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7-721E-4786-823C-82EAD8FD985F}"/>
                </c:ext>
              </c:extLst>
            </c:dLbl>
            <c:dLbl>
              <c:idx val="72"/>
              <c:tx>
                <c:rich>
                  <a:bodyPr/>
                  <a:lstStyle/>
                  <a:p>
                    <a:fld id="{5B8E7C06-4454-40BC-AB1C-FDE08DC928AF}"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8-721E-4786-823C-82EAD8FD985F}"/>
                </c:ext>
              </c:extLst>
            </c:dLbl>
            <c:dLbl>
              <c:idx val="73"/>
              <c:tx>
                <c:rich>
                  <a:bodyPr/>
                  <a:lstStyle/>
                  <a:p>
                    <a:fld id="{AC840782-52D1-4E4B-8E42-28A71420AE3D}"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9-721E-4786-823C-82EAD8FD985F}"/>
                </c:ext>
              </c:extLst>
            </c:dLbl>
            <c:dLbl>
              <c:idx val="74"/>
              <c:tx>
                <c:rich>
                  <a:bodyPr/>
                  <a:lstStyle/>
                  <a:p>
                    <a:fld id="{302DAE15-C5F4-4C92-8D3A-730B717C73F3}"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A-721E-4786-823C-82EAD8FD985F}"/>
                </c:ext>
              </c:extLst>
            </c:dLbl>
            <c:dLbl>
              <c:idx val="75"/>
              <c:tx>
                <c:rich>
                  <a:bodyPr/>
                  <a:lstStyle/>
                  <a:p>
                    <a:fld id="{D1D12DD6-CDBB-4B9E-8CCD-731B81EC043B}"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B-721E-4786-823C-82EAD8FD985F}"/>
                </c:ext>
              </c:extLst>
            </c:dLbl>
            <c:dLbl>
              <c:idx val="76"/>
              <c:tx>
                <c:rich>
                  <a:bodyPr/>
                  <a:lstStyle/>
                  <a:p>
                    <a:fld id="{F7A8B87E-B152-4DCD-B127-C7C2C549AABA}"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C-721E-4786-823C-82EAD8FD985F}"/>
                </c:ext>
              </c:extLst>
            </c:dLbl>
            <c:dLbl>
              <c:idx val="77"/>
              <c:tx>
                <c:rich>
                  <a:bodyPr/>
                  <a:lstStyle/>
                  <a:p>
                    <a:fld id="{5A385FD6-B6C4-48CF-B8DB-1B673B7929E9}"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D-721E-4786-823C-82EAD8FD985F}"/>
                </c:ext>
              </c:extLst>
            </c:dLbl>
            <c:dLbl>
              <c:idx val="78"/>
              <c:tx>
                <c:rich>
                  <a:bodyPr/>
                  <a:lstStyle/>
                  <a:p>
                    <a:fld id="{069A2C86-0829-4BC7-9B16-038425666019}"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E-721E-4786-823C-82EAD8FD985F}"/>
                </c:ext>
              </c:extLst>
            </c:dLbl>
            <c:dLbl>
              <c:idx val="79"/>
              <c:tx>
                <c:rich>
                  <a:bodyPr/>
                  <a:lstStyle/>
                  <a:p>
                    <a:fld id="{E9BA7D9D-CF88-45EA-B6C2-59FE8027FB48}"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F-721E-4786-823C-82EAD8FD985F}"/>
                </c:ext>
              </c:extLst>
            </c:dLbl>
            <c:dLbl>
              <c:idx val="80"/>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0-721E-4786-823C-82EAD8FD985F}"/>
                </c:ext>
              </c:extLst>
            </c:dLbl>
            <c:dLbl>
              <c:idx val="81"/>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1-721E-4786-823C-82EAD8FD985F}"/>
                </c:ext>
              </c:extLst>
            </c:dLbl>
            <c:dLbl>
              <c:idx val="82"/>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2-721E-4786-823C-82EAD8FD985F}"/>
                </c:ext>
              </c:extLst>
            </c:dLbl>
            <c:dLbl>
              <c:idx val="83"/>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3-721E-4786-823C-82EAD8FD985F}"/>
                </c:ext>
              </c:extLst>
            </c:dLbl>
            <c:dLbl>
              <c:idx val="84"/>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4-721E-4786-823C-82EAD8FD985F}"/>
                </c:ext>
              </c:extLst>
            </c:dLbl>
            <c:dLbl>
              <c:idx val="85"/>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5-721E-4786-823C-82EAD8FD985F}"/>
                </c:ext>
              </c:extLst>
            </c:dLbl>
            <c:dLbl>
              <c:idx val="86"/>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6-721E-4786-823C-82EAD8FD985F}"/>
                </c:ext>
              </c:extLst>
            </c:dLbl>
            <c:dLbl>
              <c:idx val="87"/>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7-721E-4786-823C-82EAD8FD985F}"/>
                </c:ext>
              </c:extLst>
            </c:dLbl>
            <c:dLbl>
              <c:idx val="88"/>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8-721E-4786-823C-82EAD8FD985F}"/>
                </c:ext>
              </c:extLst>
            </c:dLbl>
            <c:dLbl>
              <c:idx val="89"/>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9-721E-4786-823C-82EAD8FD985F}"/>
                </c:ext>
              </c:extLst>
            </c:dLbl>
            <c:dLbl>
              <c:idx val="90"/>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A-721E-4786-823C-82EAD8FD985F}"/>
                </c:ext>
              </c:extLst>
            </c:dLbl>
            <c:dLbl>
              <c:idx val="91"/>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B-721E-4786-823C-82EAD8FD985F}"/>
                </c:ext>
              </c:extLst>
            </c:dLbl>
            <c:dLbl>
              <c:idx val="92"/>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C-721E-4786-823C-82EAD8FD985F}"/>
                </c:ext>
              </c:extLst>
            </c:dLbl>
            <c:dLbl>
              <c:idx val="93"/>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D-721E-4786-823C-82EAD8FD985F}"/>
                </c:ext>
              </c:extLst>
            </c:dLbl>
            <c:spPr>
              <a:noFill/>
              <a:ln>
                <a:noFill/>
              </a:ln>
              <a:effectLst/>
            </c:spPr>
            <c:txPr>
              <a:bodyPr wrap="square" lIns="38100" tIns="19050" rIns="38100" bIns="19050" anchor="ctr">
                <a:spAutoFit/>
              </a:bodyPr>
              <a:lstStyle/>
              <a:p>
                <a:pPr>
                  <a:defRPr sz="1000" baseline="0">
                    <a:solidFill>
                      <a:schemeClr val="bg1">
                        <a:lumMod val="75000"/>
                      </a:schemeClr>
                    </a:solidFill>
                  </a:defRPr>
                </a:pPr>
                <a:endParaRPr lang="fr-FR"/>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trendline>
            <c:spPr>
              <a:ln w="38100">
                <a:solidFill>
                  <a:srgbClr val="000000"/>
                </a:solidFill>
                <a:prstDash val="sysDash"/>
              </a:ln>
            </c:spPr>
            <c:trendlineType val="linear"/>
            <c:dispRSqr val="0"/>
            <c:dispEq val="0"/>
          </c:trendline>
          <c:trendline>
            <c:trendlineType val="linear"/>
            <c:dispRSqr val="0"/>
            <c:dispEq val="0"/>
          </c:trendline>
          <c:xVal>
            <c:numRef>
              <c:f>Lesnoff!$F$63:$F$156</c:f>
              <c:numCache>
                <c:formatCode>General</c:formatCode>
                <c:ptCount val="94"/>
                <c:pt idx="0">
                  <c:v>10.766816524653301</c:v>
                </c:pt>
                <c:pt idx="1">
                  <c:v>11.7600797827312</c:v>
                </c:pt>
                <c:pt idx="2">
                  <c:v>10.7474127874613</c:v>
                </c:pt>
                <c:pt idx="3">
                  <c:v>12.2063949158906</c:v>
                </c:pt>
                <c:pt idx="4">
                  <c:v>10.7276693179342</c:v>
                </c:pt>
                <c:pt idx="5">
                  <c:v>11.0745621</c:v>
                </c:pt>
                <c:pt idx="6">
                  <c:v>10.1964318871626</c:v>
                </c:pt>
                <c:pt idx="7">
                  <c:v>11.150519571023599</c:v>
                </c:pt>
                <c:pt idx="8">
                  <c:v>11.840267121108001</c:v>
                </c:pt>
                <c:pt idx="9">
                  <c:v>11.6844151436791</c:v>
                </c:pt>
                <c:pt idx="10">
                  <c:v>12.1791036732452</c:v>
                </c:pt>
                <c:pt idx="11">
                  <c:v>12.6014555013529</c:v>
                </c:pt>
                <c:pt idx="12">
                  <c:v>10.979530869224201</c:v>
                </c:pt>
                <c:pt idx="13">
                  <c:v>10.7427853100862</c:v>
                </c:pt>
                <c:pt idx="14">
                  <c:v>10.8185318677245</c:v>
                </c:pt>
                <c:pt idx="15">
                  <c:v>10.8584687278515</c:v>
                </c:pt>
                <c:pt idx="16">
                  <c:v>11.1596818097377</c:v>
                </c:pt>
                <c:pt idx="17">
                  <c:v>10.752639890955599</c:v>
                </c:pt>
                <c:pt idx="18">
                  <c:v>10.872578035879499</c:v>
                </c:pt>
                <c:pt idx="19">
                  <c:v>11.694926556624999</c:v>
                </c:pt>
                <c:pt idx="20">
                  <c:v>11.930179993080399</c:v>
                </c:pt>
                <c:pt idx="21">
                  <c:v>12.349700876091401</c:v>
                </c:pt>
                <c:pt idx="22">
                  <c:v>12.434211700000001</c:v>
                </c:pt>
                <c:pt idx="23">
                  <c:v>10.0502806766837</c:v>
                </c:pt>
                <c:pt idx="24">
                  <c:v>12.197554862815499</c:v>
                </c:pt>
                <c:pt idx="25">
                  <c:v>11.182453382752</c:v>
                </c:pt>
                <c:pt idx="26">
                  <c:v>12.1706525316977</c:v>
                </c:pt>
                <c:pt idx="27">
                  <c:v>12.3595988139247</c:v>
                </c:pt>
                <c:pt idx="28">
                  <c:v>10.6712284102633</c:v>
                </c:pt>
                <c:pt idx="29">
                  <c:v>13.8224049</c:v>
                </c:pt>
                <c:pt idx="30">
                  <c:v>12.5328959999999</c:v>
                </c:pt>
                <c:pt idx="31">
                  <c:v>10.596063707557599</c:v>
                </c:pt>
                <c:pt idx="32">
                  <c:v>10.4438704713054</c:v>
                </c:pt>
                <c:pt idx="33">
                  <c:v>11.2287384812455</c:v>
                </c:pt>
                <c:pt idx="34">
                  <c:v>12.034393313000001</c:v>
                </c:pt>
                <c:pt idx="35">
                  <c:v>10.6625820346312</c:v>
                </c:pt>
                <c:pt idx="36">
                  <c:v>12.5</c:v>
                </c:pt>
                <c:pt idx="37">
                  <c:v>11.282774690760601</c:v>
                </c:pt>
                <c:pt idx="38">
                  <c:v>11.388748083968601</c:v>
                </c:pt>
                <c:pt idx="39">
                  <c:v>11.001231964068801</c:v>
                </c:pt>
                <c:pt idx="40">
                  <c:v>11.394301649325</c:v>
                </c:pt>
                <c:pt idx="41">
                  <c:v>11.2176524376447</c:v>
                </c:pt>
                <c:pt idx="42">
                  <c:v>12.9249881218498</c:v>
                </c:pt>
                <c:pt idx="43">
                  <c:v>11.037172857405899</c:v>
                </c:pt>
                <c:pt idx="44">
                  <c:v>11.214790672563399</c:v>
                </c:pt>
                <c:pt idx="45">
                  <c:v>10.693365367487999</c:v>
                </c:pt>
                <c:pt idx="46">
                  <c:v>11.910913904821699</c:v>
                </c:pt>
                <c:pt idx="47">
                  <c:v>10.9162378330621</c:v>
                </c:pt>
                <c:pt idx="48">
                  <c:v>11.0607987818802</c:v>
                </c:pt>
                <c:pt idx="49">
                  <c:v>11.097746896402001</c:v>
                </c:pt>
                <c:pt idx="50">
                  <c:v>9.48316716733585</c:v>
                </c:pt>
                <c:pt idx="51">
                  <c:v>12.2355693573928</c:v>
                </c:pt>
                <c:pt idx="52">
                  <c:v>12.2580122237392</c:v>
                </c:pt>
                <c:pt idx="53">
                  <c:v>13.3442984</c:v>
                </c:pt>
                <c:pt idx="54">
                  <c:v>13.646267104922099</c:v>
                </c:pt>
                <c:pt idx="55">
                  <c:v>10.9147186611638</c:v>
                </c:pt>
                <c:pt idx="56">
                  <c:v>11.3375906241465</c:v>
                </c:pt>
                <c:pt idx="57">
                  <c:v>11.2317508460102</c:v>
                </c:pt>
                <c:pt idx="58">
                  <c:v>11.885965299999899</c:v>
                </c:pt>
                <c:pt idx="59">
                  <c:v>11.4538101734432</c:v>
                </c:pt>
                <c:pt idx="60">
                  <c:v>13.686542132590301</c:v>
                </c:pt>
                <c:pt idx="61">
                  <c:v>11.848934376106101</c:v>
                </c:pt>
                <c:pt idx="62">
                  <c:v>11.2194746692986</c:v>
                </c:pt>
                <c:pt idx="63">
                  <c:v>13.3339665338122</c:v>
                </c:pt>
                <c:pt idx="64">
                  <c:v>12.5637619145266</c:v>
                </c:pt>
                <c:pt idx="65">
                  <c:v>13.1615643082185</c:v>
                </c:pt>
                <c:pt idx="66">
                  <c:v>12.996030362984101</c:v>
                </c:pt>
                <c:pt idx="67">
                  <c:v>12.9664444154084</c:v>
                </c:pt>
                <c:pt idx="68">
                  <c:v>14.093422591397101</c:v>
                </c:pt>
                <c:pt idx="69">
                  <c:v>12.9454528059049</c:v>
                </c:pt>
                <c:pt idx="70">
                  <c:v>12.1066941805448</c:v>
                </c:pt>
                <c:pt idx="71">
                  <c:v>13.4027162360748</c:v>
                </c:pt>
                <c:pt idx="72">
                  <c:v>14.166667</c:v>
                </c:pt>
                <c:pt idx="73">
                  <c:v>13.0270948801682</c:v>
                </c:pt>
                <c:pt idx="74">
                  <c:v>13.1533395845592</c:v>
                </c:pt>
                <c:pt idx="75">
                  <c:v>13.028466545156</c:v>
                </c:pt>
                <c:pt idx="76">
                  <c:v>13.5463269566891</c:v>
                </c:pt>
                <c:pt idx="77">
                  <c:v>13.5328669993691</c:v>
                </c:pt>
                <c:pt idx="78">
                  <c:v>12.2642652498413</c:v>
                </c:pt>
                <c:pt idx="79">
                  <c:v>15.822368600000001</c:v>
                </c:pt>
              </c:numCache>
            </c:numRef>
          </c:xVal>
          <c:yVal>
            <c:numRef>
              <c:f>Lesnoff!$D$63:$D$156</c:f>
              <c:numCache>
                <c:formatCode>General</c:formatCode>
                <c:ptCount val="94"/>
                <c:pt idx="0">
                  <c:v>9.9399996000000002</c:v>
                </c:pt>
                <c:pt idx="1">
                  <c:v>10.0200005</c:v>
                </c:pt>
                <c:pt idx="2">
                  <c:v>10</c:v>
                </c:pt>
                <c:pt idx="3">
                  <c:v>10.5</c:v>
                </c:pt>
                <c:pt idx="4">
                  <c:v>10.779999699999999</c:v>
                </c:pt>
                <c:pt idx="5">
                  <c:v>10.449999800000001</c:v>
                </c:pt>
                <c:pt idx="6">
                  <c:v>11.0200005</c:v>
                </c:pt>
                <c:pt idx="7">
                  <c:v>10.800000199999999</c:v>
                </c:pt>
                <c:pt idx="8">
                  <c:v>10.8800001</c:v>
                </c:pt>
                <c:pt idx="9">
                  <c:v>11.0600004</c:v>
                </c:pt>
                <c:pt idx="10">
                  <c:v>11.0900002</c:v>
                </c:pt>
                <c:pt idx="11">
                  <c:v>11.6199999</c:v>
                </c:pt>
                <c:pt idx="12">
                  <c:v>9.9600000000000009</c:v>
                </c:pt>
                <c:pt idx="13">
                  <c:v>9.5</c:v>
                </c:pt>
                <c:pt idx="14">
                  <c:v>9.9899997999999997</c:v>
                </c:pt>
                <c:pt idx="15">
                  <c:v>10.0100002</c:v>
                </c:pt>
                <c:pt idx="16">
                  <c:v>9.8299999000000007</c:v>
                </c:pt>
                <c:pt idx="17">
                  <c:v>9.5699997000000003</c:v>
                </c:pt>
                <c:pt idx="18">
                  <c:v>9.9200000999999993</c:v>
                </c:pt>
                <c:pt idx="19">
                  <c:v>11.670000099999999</c:v>
                </c:pt>
                <c:pt idx="20">
                  <c:v>11.5</c:v>
                </c:pt>
                <c:pt idx="21">
                  <c:v>11.3699999</c:v>
                </c:pt>
                <c:pt idx="22">
                  <c:v>11.5900002</c:v>
                </c:pt>
                <c:pt idx="23">
                  <c:v>9.8800001000000002</c:v>
                </c:pt>
                <c:pt idx="24">
                  <c:v>11.8400002</c:v>
                </c:pt>
                <c:pt idx="25">
                  <c:v>10</c:v>
                </c:pt>
                <c:pt idx="26">
                  <c:v>10.100000400000001</c:v>
                </c:pt>
                <c:pt idx="27">
                  <c:v>11.399999599999999</c:v>
                </c:pt>
                <c:pt idx="28">
                  <c:v>10.279999699999999</c:v>
                </c:pt>
                <c:pt idx="29">
                  <c:v>12.21</c:v>
                </c:pt>
                <c:pt idx="30">
                  <c:v>11.9399996</c:v>
                </c:pt>
                <c:pt idx="31">
                  <c:v>10.3699999</c:v>
                </c:pt>
                <c:pt idx="32">
                  <c:v>10.3800001</c:v>
                </c:pt>
                <c:pt idx="33">
                  <c:v>9.8800001000000002</c:v>
                </c:pt>
                <c:pt idx="34">
                  <c:v>12.079999900000001</c:v>
                </c:pt>
                <c:pt idx="35">
                  <c:v>9.0799999000000007</c:v>
                </c:pt>
                <c:pt idx="36">
                  <c:v>10.800000199999999</c:v>
                </c:pt>
                <c:pt idx="37">
                  <c:v>9.3599996999999995</c:v>
                </c:pt>
                <c:pt idx="38">
                  <c:v>12.449999800000001</c:v>
                </c:pt>
                <c:pt idx="39">
                  <c:v>10.920000099999999</c:v>
                </c:pt>
                <c:pt idx="40">
                  <c:v>10.949999800000001</c:v>
                </c:pt>
                <c:pt idx="41">
                  <c:v>10.9899998</c:v>
                </c:pt>
                <c:pt idx="42">
                  <c:v>11</c:v>
                </c:pt>
                <c:pt idx="43">
                  <c:v>9.9700003000000006</c:v>
                </c:pt>
                <c:pt idx="44">
                  <c:v>12.899999599999999</c:v>
                </c:pt>
                <c:pt idx="45">
                  <c:v>10.529999699999999</c:v>
                </c:pt>
                <c:pt idx="46">
                  <c:v>11.0600004</c:v>
                </c:pt>
                <c:pt idx="47">
                  <c:v>9.1000004000000008</c:v>
                </c:pt>
                <c:pt idx="48">
                  <c:v>8.9700003000000006</c:v>
                </c:pt>
                <c:pt idx="49">
                  <c:v>11.1199999</c:v>
                </c:pt>
                <c:pt idx="50">
                  <c:v>9.2299994999999999</c:v>
                </c:pt>
                <c:pt idx="51">
                  <c:v>11.2299995</c:v>
                </c:pt>
                <c:pt idx="52">
                  <c:v>11.2299995</c:v>
                </c:pt>
                <c:pt idx="53">
                  <c:v>11.2399998</c:v>
                </c:pt>
                <c:pt idx="54">
                  <c:v>12.5600004</c:v>
                </c:pt>
                <c:pt idx="55">
                  <c:v>10.0699997</c:v>
                </c:pt>
                <c:pt idx="56">
                  <c:v>9.9399996000000002</c:v>
                </c:pt>
                <c:pt idx="57">
                  <c:v>10.2399998</c:v>
                </c:pt>
                <c:pt idx="58">
                  <c:v>11.420000099999999</c:v>
                </c:pt>
                <c:pt idx="59">
                  <c:v>10.5</c:v>
                </c:pt>
                <c:pt idx="60">
                  <c:v>13.140000300000001</c:v>
                </c:pt>
                <c:pt idx="61">
                  <c:v>11.699999800000001</c:v>
                </c:pt>
                <c:pt idx="62">
                  <c:v>10.3800001</c:v>
                </c:pt>
                <c:pt idx="63">
                  <c:v>13.350000400000001</c:v>
                </c:pt>
                <c:pt idx="64">
                  <c:v>12.6599998</c:v>
                </c:pt>
                <c:pt idx="65">
                  <c:v>11.9899998</c:v>
                </c:pt>
                <c:pt idx="66">
                  <c:v>12</c:v>
                </c:pt>
                <c:pt idx="67">
                  <c:v>12</c:v>
                </c:pt>
                <c:pt idx="68">
                  <c:v>13.1599998</c:v>
                </c:pt>
                <c:pt idx="69">
                  <c:v>12.170000099999999</c:v>
                </c:pt>
                <c:pt idx="70">
                  <c:v>10.970000300000001</c:v>
                </c:pt>
                <c:pt idx="71">
                  <c:v>12.2600002</c:v>
                </c:pt>
                <c:pt idx="72">
                  <c:v>13.029999699999999</c:v>
                </c:pt>
                <c:pt idx="73">
                  <c:v>12.359999699999999</c:v>
                </c:pt>
                <c:pt idx="74">
                  <c:v>12.399999599999999</c:v>
                </c:pt>
                <c:pt idx="75">
                  <c:v>12.5</c:v>
                </c:pt>
                <c:pt idx="76">
                  <c:v>12.600000400000001</c:v>
                </c:pt>
                <c:pt idx="77">
                  <c:v>12.670000099999999</c:v>
                </c:pt>
                <c:pt idx="78">
                  <c:v>12.699999800000001</c:v>
                </c:pt>
                <c:pt idx="79">
                  <c:v>14.4300003</c:v>
                </c:pt>
              </c:numCache>
            </c:numRef>
          </c:yVal>
          <c:smooth val="0"/>
          <c:extLst>
            <c:ext xmlns:c15="http://schemas.microsoft.com/office/drawing/2012/chart" uri="{02D57815-91ED-43cb-92C2-25804820EDAC}">
              <c15:datalabelsRange>
                <c15:f>Lesnoff!$B$63:$B$142</c15:f>
                <c15:dlblRangeCache>
                  <c:ptCount val="8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15:dlblRangeCache>
              </c15:datalabelsRange>
            </c:ext>
            <c:ext xmlns:c16="http://schemas.microsoft.com/office/drawing/2014/chart" uri="{C3380CC4-5D6E-409C-BE32-E72D297353CC}">
              <c16:uniqueId val="{00000060-721E-4786-823C-82EAD8FD985F}"/>
            </c:ext>
          </c:extLst>
        </c:ser>
        <c:ser>
          <c:idx val="1"/>
          <c:order val="1"/>
          <c:tx>
            <c:v>45°</c:v>
          </c:tx>
          <c:spPr>
            <a:ln w="25400">
              <a:solidFill>
                <a:srgbClr val="FF0000"/>
              </a:solidFill>
              <a:prstDash val="solid"/>
            </a:ln>
          </c:spPr>
          <c:marker>
            <c:symbol val="none"/>
          </c:marker>
          <c:xVal>
            <c:numRef>
              <c:f>Lesnoff!$E$10:$E$11</c:f>
              <c:numCache>
                <c:formatCode>0.00</c:formatCode>
                <c:ptCount val="2"/>
                <c:pt idx="0">
                  <c:v>8</c:v>
                </c:pt>
                <c:pt idx="1">
                  <c:v>17</c:v>
                </c:pt>
              </c:numCache>
            </c:numRef>
          </c:xVal>
          <c:yVal>
            <c:numRef>
              <c:f>Lesnoff!$E$10:$E$11</c:f>
              <c:numCache>
                <c:formatCode>0.00</c:formatCode>
                <c:ptCount val="2"/>
                <c:pt idx="0">
                  <c:v>8</c:v>
                </c:pt>
                <c:pt idx="1">
                  <c:v>17</c:v>
                </c:pt>
              </c:numCache>
            </c:numRef>
          </c:yVal>
          <c:smooth val="0"/>
          <c:extLst>
            <c:ext xmlns:c16="http://schemas.microsoft.com/office/drawing/2014/chart" uri="{C3380CC4-5D6E-409C-BE32-E72D297353CC}">
              <c16:uniqueId val="{00000061-721E-4786-823C-82EAD8FD985F}"/>
            </c:ext>
          </c:extLst>
        </c:ser>
        <c:ser>
          <c:idx val="2"/>
          <c:order val="2"/>
          <c:tx>
            <c:v>45°-Bias</c:v>
          </c:tx>
          <c:spPr>
            <a:ln w="38100">
              <a:solidFill>
                <a:srgbClr val="0000FF"/>
              </a:solidFill>
              <a:prstDash val="lgDashDotDot"/>
            </a:ln>
          </c:spPr>
          <c:marker>
            <c:symbol val="none"/>
          </c:marker>
          <c:xVal>
            <c:numRef>
              <c:f>Lesnoff!$W$10:$W$11</c:f>
              <c:numCache>
                <c:formatCode>0.00</c:formatCode>
                <c:ptCount val="2"/>
                <c:pt idx="0">
                  <c:v>8.7877419576427211</c:v>
                </c:pt>
                <c:pt idx="1">
                  <c:v>17.787741957642723</c:v>
                </c:pt>
              </c:numCache>
            </c:numRef>
          </c:xVal>
          <c:yVal>
            <c:numRef>
              <c:f>Lesnoff!$E$10:$E$11</c:f>
              <c:numCache>
                <c:formatCode>0.00</c:formatCode>
                <c:ptCount val="2"/>
                <c:pt idx="0">
                  <c:v>8</c:v>
                </c:pt>
                <c:pt idx="1">
                  <c:v>17</c:v>
                </c:pt>
              </c:numCache>
            </c:numRef>
          </c:yVal>
          <c:smooth val="0"/>
          <c:extLst>
            <c:ext xmlns:c16="http://schemas.microsoft.com/office/drawing/2014/chart" uri="{C3380CC4-5D6E-409C-BE32-E72D297353CC}">
              <c16:uniqueId val="{00000062-721E-4786-823C-82EAD8FD985F}"/>
            </c:ext>
          </c:extLst>
        </c:ser>
        <c:ser>
          <c:idx val="3"/>
          <c:order val="3"/>
          <c:tx>
            <c:v>Least Rec </c:v>
          </c:tx>
          <c:spPr>
            <a:ln w="25400">
              <a:solidFill>
                <a:srgbClr val="FF9900"/>
              </a:solidFill>
              <a:prstDash val="sysDash"/>
            </a:ln>
          </c:spPr>
          <c:marker>
            <c:symbol val="none"/>
          </c:marker>
          <c:xVal>
            <c:numRef>
              <c:f>Lesnoff!$Y$19:$Y$20</c:f>
              <c:numCache>
                <c:formatCode>General</c:formatCode>
                <c:ptCount val="2"/>
                <c:pt idx="0">
                  <c:v>8</c:v>
                </c:pt>
                <c:pt idx="1">
                  <c:v>17</c:v>
                </c:pt>
              </c:numCache>
            </c:numRef>
          </c:xVal>
          <c:yVal>
            <c:numRef>
              <c:f>Lesnoff!$X$19:$X$20</c:f>
              <c:numCache>
                <c:formatCode>0.000</c:formatCode>
                <c:ptCount val="2"/>
                <c:pt idx="0">
                  <c:v>7.0993381984247641</c:v>
                </c:pt>
                <c:pt idx="1">
                  <c:v>16.36010686807716</c:v>
                </c:pt>
              </c:numCache>
            </c:numRef>
          </c:yVal>
          <c:smooth val="0"/>
          <c:extLst>
            <c:ext xmlns:c16="http://schemas.microsoft.com/office/drawing/2014/chart" uri="{C3380CC4-5D6E-409C-BE32-E72D297353CC}">
              <c16:uniqueId val="{00000063-721E-4786-823C-82EAD8FD985F}"/>
            </c:ext>
          </c:extLst>
        </c:ser>
        <c:dLbls>
          <c:showLegendKey val="0"/>
          <c:showVal val="0"/>
          <c:showCatName val="0"/>
          <c:showSerName val="0"/>
          <c:showPercent val="0"/>
          <c:showBubbleSize val="0"/>
        </c:dLbls>
        <c:axId val="159636864"/>
        <c:axId val="201328128"/>
      </c:scatterChart>
      <c:valAx>
        <c:axId val="159636864"/>
        <c:scaling>
          <c:orientation val="minMax"/>
          <c:max val="18"/>
          <c:min val="8"/>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775" b="0" i="0" u="none" strike="noStrike" baseline="0">
                <a:solidFill>
                  <a:srgbClr val="000000"/>
                </a:solidFill>
                <a:latin typeface="Arial"/>
                <a:ea typeface="Arial"/>
                <a:cs typeface="Arial"/>
              </a:defRPr>
            </a:pPr>
            <a:endParaRPr lang="fr-FR"/>
          </a:p>
        </c:txPr>
        <c:crossAx val="201328128"/>
        <c:crosses val="autoZero"/>
        <c:crossBetween val="midCat"/>
      </c:valAx>
      <c:valAx>
        <c:axId val="201328128"/>
        <c:scaling>
          <c:orientation val="minMax"/>
          <c:min val="8"/>
        </c:scaling>
        <c:delete val="0"/>
        <c:axPos val="l"/>
        <c:numFmt formatCode="General" sourceLinked="1"/>
        <c:majorTickMark val="out"/>
        <c:minorTickMark val="none"/>
        <c:tickLblPos val="nextTo"/>
        <c:spPr>
          <a:ln w="3175">
            <a:solidFill>
              <a:srgbClr val="000000"/>
            </a:solidFill>
            <a:prstDash val="solid"/>
          </a:ln>
        </c:spPr>
        <c:txPr>
          <a:bodyPr rot="0" vert="horz"/>
          <a:lstStyle/>
          <a:p>
            <a:pPr>
              <a:defRPr sz="1775" b="0" i="0" u="none" strike="noStrike" baseline="0">
                <a:solidFill>
                  <a:srgbClr val="000000"/>
                </a:solidFill>
                <a:latin typeface="Arial"/>
                <a:ea typeface="Arial"/>
                <a:cs typeface="Arial"/>
              </a:defRPr>
            </a:pPr>
            <a:endParaRPr lang="fr-FR"/>
          </a:p>
        </c:txPr>
        <c:crossAx val="159636864"/>
        <c:crosses val="autoZero"/>
        <c:crossBetween val="midCat"/>
      </c:valAx>
      <c:spPr>
        <a:noFill/>
        <a:ln w="12700">
          <a:solidFill>
            <a:srgbClr val="808080"/>
          </a:solidFill>
          <a:prstDash val="solid"/>
        </a:ln>
      </c:spPr>
    </c:plotArea>
    <c:legend>
      <c:legendPos val="r"/>
      <c:legendEntry>
        <c:idx val="5"/>
        <c:delete val="1"/>
      </c:legendEntry>
      <c:layout>
        <c:manualLayout>
          <c:xMode val="edge"/>
          <c:yMode val="edge"/>
          <c:x val="0.79767434134024384"/>
          <c:y val="0.33862478127734036"/>
          <c:w val="0.15397255752001976"/>
          <c:h val="0.2372110830586843"/>
        </c:manualLayout>
      </c:layout>
      <c:overlay val="0"/>
      <c:spPr>
        <a:solidFill>
          <a:srgbClr val="FFFFFF"/>
        </a:solidFill>
        <a:ln w="3175">
          <a:solidFill>
            <a:srgbClr val="000000"/>
          </a:solidFill>
          <a:prstDash val="solid"/>
        </a:ln>
      </c:spPr>
      <c:txPr>
        <a:bodyPr/>
        <a:lstStyle/>
        <a:p>
          <a:pPr>
            <a:defRPr sz="1350" b="1" i="0" u="none" strike="noStrike" baseline="0">
              <a:solidFill>
                <a:srgbClr val="000000"/>
              </a:solidFill>
              <a:latin typeface="Arial"/>
              <a:ea typeface="Arial"/>
              <a:cs typeface="Arial"/>
            </a:defRPr>
          </a:pPr>
          <a:endParaRPr lang="fr-FR"/>
        </a:p>
      </c:txPr>
    </c:legend>
    <c:plotVisOnly val="1"/>
    <c:dispBlanksAs val="gap"/>
    <c:showDLblsOverMax val="0"/>
  </c:chart>
  <c:spPr>
    <a:solidFill>
      <a:srgbClr val="FFFFFF"/>
    </a:solidFill>
    <a:ln w="25400">
      <a:solidFill>
        <a:srgbClr val="000000"/>
      </a:solidFill>
      <a:prstDash val="solid"/>
    </a:ln>
  </c:spPr>
  <c:txPr>
    <a:bodyPr/>
    <a:lstStyle/>
    <a:p>
      <a:pPr>
        <a:defRPr sz="1775" b="0" i="0" u="none" strike="noStrike" baseline="0">
          <a:solidFill>
            <a:srgbClr val="000000"/>
          </a:solidFill>
          <a:latin typeface="Arial"/>
          <a:ea typeface="Arial"/>
          <a:cs typeface="Arial"/>
        </a:defRPr>
      </a:pPr>
      <a:endParaRPr lang="fr-FR"/>
    </a:p>
  </c:txPr>
  <c:printSettings>
    <c:headerFooter alignWithMargins="0"/>
    <c:pageMargins b="1" l="0.75000000000000377" r="0.75000000000000377" t="1" header="0.5" footer="0.5"/>
    <c:pageSetup paperSize="9" orientation="landscape"/>
  </c:printSettings>
  <c:userShapes r:id="rId1"/>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400" baseline="0"/>
              <a:t>Residuals vs References</a:t>
            </a:r>
          </a:p>
        </c:rich>
      </c:tx>
      <c:layout>
        <c:manualLayout>
          <c:xMode val="edge"/>
          <c:yMode val="edge"/>
          <c:x val="0.56681818181818189"/>
          <c:y val="3.53109202638453E-3"/>
        </c:manualLayout>
      </c:layout>
      <c:overlay val="1"/>
    </c:title>
    <c:autoTitleDeleted val="0"/>
    <c:plotArea>
      <c:layout/>
      <c:scatterChart>
        <c:scatterStyle val="lineMarker"/>
        <c:varyColors val="0"/>
        <c:ser>
          <c:idx val="0"/>
          <c:order val="0"/>
          <c:spPr>
            <a:ln>
              <a:noFill/>
            </a:ln>
          </c:spPr>
          <c:trendline>
            <c:trendlineType val="linear"/>
            <c:dispRSqr val="0"/>
            <c:dispEq val="1"/>
            <c:trendlineLbl>
              <c:layout>
                <c:manualLayout>
                  <c:x val="5.4747515059074582E-2"/>
                  <c:y val="0.43633237847491585"/>
                </c:manualLayout>
              </c:layout>
              <c:numFmt formatCode="General" sourceLinked="0"/>
            </c:trendlineLbl>
          </c:trendline>
          <c:xVal>
            <c:numRef>
              <c:f>Lesnoff!$D$63:$D$156</c:f>
              <c:numCache>
                <c:formatCode>General</c:formatCode>
                <c:ptCount val="94"/>
                <c:pt idx="0">
                  <c:v>9.9399996000000002</c:v>
                </c:pt>
                <c:pt idx="1">
                  <c:v>10.0200005</c:v>
                </c:pt>
                <c:pt idx="2">
                  <c:v>10</c:v>
                </c:pt>
                <c:pt idx="3">
                  <c:v>10.5</c:v>
                </c:pt>
                <c:pt idx="4">
                  <c:v>10.779999699999999</c:v>
                </c:pt>
                <c:pt idx="5">
                  <c:v>10.449999800000001</c:v>
                </c:pt>
                <c:pt idx="6">
                  <c:v>11.0200005</c:v>
                </c:pt>
                <c:pt idx="7">
                  <c:v>10.800000199999999</c:v>
                </c:pt>
                <c:pt idx="8">
                  <c:v>10.8800001</c:v>
                </c:pt>
                <c:pt idx="9">
                  <c:v>11.0600004</c:v>
                </c:pt>
                <c:pt idx="10">
                  <c:v>11.0900002</c:v>
                </c:pt>
                <c:pt idx="11">
                  <c:v>11.6199999</c:v>
                </c:pt>
                <c:pt idx="12">
                  <c:v>9.9600000000000009</c:v>
                </c:pt>
                <c:pt idx="13">
                  <c:v>9.5</c:v>
                </c:pt>
                <c:pt idx="14">
                  <c:v>9.9899997999999997</c:v>
                </c:pt>
                <c:pt idx="15">
                  <c:v>10.0100002</c:v>
                </c:pt>
                <c:pt idx="16">
                  <c:v>9.8299999000000007</c:v>
                </c:pt>
                <c:pt idx="17">
                  <c:v>9.5699997000000003</c:v>
                </c:pt>
                <c:pt idx="18">
                  <c:v>9.9200000999999993</c:v>
                </c:pt>
                <c:pt idx="19">
                  <c:v>11.670000099999999</c:v>
                </c:pt>
                <c:pt idx="20">
                  <c:v>11.5</c:v>
                </c:pt>
                <c:pt idx="21">
                  <c:v>11.3699999</c:v>
                </c:pt>
                <c:pt idx="22">
                  <c:v>11.5900002</c:v>
                </c:pt>
                <c:pt idx="23">
                  <c:v>9.8800001000000002</c:v>
                </c:pt>
                <c:pt idx="24">
                  <c:v>11.8400002</c:v>
                </c:pt>
                <c:pt idx="25">
                  <c:v>10</c:v>
                </c:pt>
                <c:pt idx="26">
                  <c:v>10.100000400000001</c:v>
                </c:pt>
                <c:pt idx="27">
                  <c:v>11.399999599999999</c:v>
                </c:pt>
                <c:pt idx="28">
                  <c:v>10.279999699999999</c:v>
                </c:pt>
                <c:pt idx="29">
                  <c:v>12.21</c:v>
                </c:pt>
                <c:pt idx="30">
                  <c:v>11.9399996</c:v>
                </c:pt>
                <c:pt idx="31">
                  <c:v>10.3699999</c:v>
                </c:pt>
                <c:pt idx="32">
                  <c:v>10.3800001</c:v>
                </c:pt>
                <c:pt idx="33">
                  <c:v>9.8800001000000002</c:v>
                </c:pt>
                <c:pt idx="34">
                  <c:v>12.079999900000001</c:v>
                </c:pt>
                <c:pt idx="35">
                  <c:v>9.0799999000000007</c:v>
                </c:pt>
                <c:pt idx="36">
                  <c:v>10.800000199999999</c:v>
                </c:pt>
                <c:pt idx="37">
                  <c:v>9.3599996999999995</c:v>
                </c:pt>
                <c:pt idx="38">
                  <c:v>12.449999800000001</c:v>
                </c:pt>
                <c:pt idx="39">
                  <c:v>10.920000099999999</c:v>
                </c:pt>
                <c:pt idx="40">
                  <c:v>10.949999800000001</c:v>
                </c:pt>
                <c:pt idx="41">
                  <c:v>10.9899998</c:v>
                </c:pt>
                <c:pt idx="42">
                  <c:v>11</c:v>
                </c:pt>
                <c:pt idx="43">
                  <c:v>9.9700003000000006</c:v>
                </c:pt>
                <c:pt idx="44">
                  <c:v>12.899999599999999</c:v>
                </c:pt>
                <c:pt idx="45">
                  <c:v>10.529999699999999</c:v>
                </c:pt>
                <c:pt idx="46">
                  <c:v>11.0600004</c:v>
                </c:pt>
                <c:pt idx="47">
                  <c:v>9.1000004000000008</c:v>
                </c:pt>
                <c:pt idx="48">
                  <c:v>8.9700003000000006</c:v>
                </c:pt>
                <c:pt idx="49">
                  <c:v>11.1199999</c:v>
                </c:pt>
                <c:pt idx="50">
                  <c:v>9.2299994999999999</c:v>
                </c:pt>
                <c:pt idx="51">
                  <c:v>11.2299995</c:v>
                </c:pt>
                <c:pt idx="52">
                  <c:v>11.2299995</c:v>
                </c:pt>
                <c:pt idx="53">
                  <c:v>11.2399998</c:v>
                </c:pt>
                <c:pt idx="54">
                  <c:v>12.5600004</c:v>
                </c:pt>
                <c:pt idx="55">
                  <c:v>10.0699997</c:v>
                </c:pt>
                <c:pt idx="56">
                  <c:v>9.9399996000000002</c:v>
                </c:pt>
                <c:pt idx="57">
                  <c:v>10.2399998</c:v>
                </c:pt>
                <c:pt idx="58">
                  <c:v>11.420000099999999</c:v>
                </c:pt>
                <c:pt idx="59">
                  <c:v>10.5</c:v>
                </c:pt>
                <c:pt idx="60">
                  <c:v>13.140000300000001</c:v>
                </c:pt>
                <c:pt idx="61">
                  <c:v>11.699999800000001</c:v>
                </c:pt>
                <c:pt idx="62">
                  <c:v>10.3800001</c:v>
                </c:pt>
                <c:pt idx="63">
                  <c:v>13.350000400000001</c:v>
                </c:pt>
                <c:pt idx="64">
                  <c:v>12.6599998</c:v>
                </c:pt>
                <c:pt idx="65">
                  <c:v>11.9899998</c:v>
                </c:pt>
                <c:pt idx="66">
                  <c:v>12</c:v>
                </c:pt>
                <c:pt idx="67">
                  <c:v>12</c:v>
                </c:pt>
                <c:pt idx="68">
                  <c:v>13.1599998</c:v>
                </c:pt>
                <c:pt idx="69">
                  <c:v>12.170000099999999</c:v>
                </c:pt>
                <c:pt idx="70">
                  <c:v>10.970000300000001</c:v>
                </c:pt>
                <c:pt idx="71">
                  <c:v>12.2600002</c:v>
                </c:pt>
                <c:pt idx="72">
                  <c:v>13.029999699999999</c:v>
                </c:pt>
                <c:pt idx="73">
                  <c:v>12.359999699999999</c:v>
                </c:pt>
                <c:pt idx="74">
                  <c:v>12.399999599999999</c:v>
                </c:pt>
                <c:pt idx="75">
                  <c:v>12.5</c:v>
                </c:pt>
                <c:pt idx="76">
                  <c:v>12.600000400000001</c:v>
                </c:pt>
                <c:pt idx="77">
                  <c:v>12.670000099999999</c:v>
                </c:pt>
                <c:pt idx="78">
                  <c:v>12.699999800000001</c:v>
                </c:pt>
                <c:pt idx="79">
                  <c:v>14.4300003</c:v>
                </c:pt>
              </c:numCache>
            </c:numRef>
          </c:xVal>
          <c:yVal>
            <c:numRef>
              <c:f>Lesnoff!$G$63:$G$156</c:f>
              <c:numCache>
                <c:formatCode>0.00</c:formatCode>
                <c:ptCount val="94"/>
                <c:pt idx="0">
                  <c:v>0.82681692465330059</c:v>
                </c:pt>
                <c:pt idx="1">
                  <c:v>1.7400792827311999</c:v>
                </c:pt>
                <c:pt idx="2">
                  <c:v>0.74741278746130035</c:v>
                </c:pt>
                <c:pt idx="3">
                  <c:v>1.7063949158906002</c:v>
                </c:pt>
                <c:pt idx="4">
                  <c:v>-5.2330382065798986E-2</c:v>
                </c:pt>
                <c:pt idx="5">
                  <c:v>0.62456229999999913</c:v>
                </c:pt>
                <c:pt idx="6">
                  <c:v>-0.82356861283740024</c:v>
                </c:pt>
                <c:pt idx="7">
                  <c:v>0.35051937102359965</c:v>
                </c:pt>
                <c:pt idx="8">
                  <c:v>0.96026702110800066</c:v>
                </c:pt>
                <c:pt idx="9">
                  <c:v>0.62441474367910033</c:v>
                </c:pt>
                <c:pt idx="10">
                  <c:v>1.0891034732451992</c:v>
                </c:pt>
                <c:pt idx="11">
                  <c:v>0.98145560135290033</c:v>
                </c:pt>
                <c:pt idx="12">
                  <c:v>1.0195308692241998</c:v>
                </c:pt>
                <c:pt idx="13">
                  <c:v>1.2427853100861999</c:v>
                </c:pt>
                <c:pt idx="14">
                  <c:v>0.82853206772450072</c:v>
                </c:pt>
                <c:pt idx="15">
                  <c:v>0.84846852785149984</c:v>
                </c:pt>
                <c:pt idx="16">
                  <c:v>1.3296819097376993</c:v>
                </c:pt>
                <c:pt idx="17">
                  <c:v>1.182640190955599</c:v>
                </c:pt>
                <c:pt idx="18">
                  <c:v>0.9525779358794999</c:v>
                </c:pt>
                <c:pt idx="19">
                  <c:v>2.4926456624999815E-2</c:v>
                </c:pt>
                <c:pt idx="20">
                  <c:v>0.43017999308039911</c:v>
                </c:pt>
                <c:pt idx="21">
                  <c:v>0.97970097609140083</c:v>
                </c:pt>
                <c:pt idx="22">
                  <c:v>0.84421150000000011</c:v>
                </c:pt>
                <c:pt idx="23">
                  <c:v>0.17028057668369989</c:v>
                </c:pt>
                <c:pt idx="24">
                  <c:v>0.35755466281549886</c:v>
                </c:pt>
                <c:pt idx="25">
                  <c:v>1.1824533827519996</c:v>
                </c:pt>
                <c:pt idx="26">
                  <c:v>2.0706521316976989</c:v>
                </c:pt>
                <c:pt idx="27">
                  <c:v>0.95959921392470093</c:v>
                </c:pt>
                <c:pt idx="28">
                  <c:v>0.39122871026330053</c:v>
                </c:pt>
                <c:pt idx="29">
                  <c:v>1.6124048999999996</c:v>
                </c:pt>
                <c:pt idx="30">
                  <c:v>0.59289639999989951</c:v>
                </c:pt>
                <c:pt idx="31">
                  <c:v>0.22606380755759936</c:v>
                </c:pt>
                <c:pt idx="32">
                  <c:v>6.3870371305400298E-2</c:v>
                </c:pt>
                <c:pt idx="33">
                  <c:v>1.3487383812455001</c:v>
                </c:pt>
                <c:pt idx="34">
                  <c:v>-4.5606586999999976E-2</c:v>
                </c:pt>
                <c:pt idx="35">
                  <c:v>1.582582134631199</c:v>
                </c:pt>
                <c:pt idx="36">
                  <c:v>1.6999998000000005</c:v>
                </c:pt>
                <c:pt idx="37">
                  <c:v>1.9227749907606011</c:v>
                </c:pt>
                <c:pt idx="38">
                  <c:v>-1.0612517160313999</c:v>
                </c:pt>
                <c:pt idx="39">
                  <c:v>8.1231864068801229E-2</c:v>
                </c:pt>
                <c:pt idx="40">
                  <c:v>0.44430184932499905</c:v>
                </c:pt>
                <c:pt idx="41">
                  <c:v>0.22765263764470056</c:v>
                </c:pt>
                <c:pt idx="42">
                  <c:v>1.9249881218498004</c:v>
                </c:pt>
                <c:pt idx="43">
                  <c:v>1.0671725574058986</c:v>
                </c:pt>
                <c:pt idx="44">
                  <c:v>-1.6852089274365998</c:v>
                </c:pt>
                <c:pt idx="45">
                  <c:v>0.16336566748799974</c:v>
                </c:pt>
                <c:pt idx="46">
                  <c:v>0.85091350482169936</c:v>
                </c:pt>
                <c:pt idx="47">
                  <c:v>1.8162374330620992</c:v>
                </c:pt>
                <c:pt idx="48">
                  <c:v>2.0907984818801992</c:v>
                </c:pt>
                <c:pt idx="49">
                  <c:v>-2.225300359799931E-2</c:v>
                </c:pt>
                <c:pt idx="50">
                  <c:v>0.25316766733585006</c:v>
                </c:pt>
                <c:pt idx="51">
                  <c:v>1.0055698573927998</c:v>
                </c:pt>
                <c:pt idx="52">
                  <c:v>1.0280127237392005</c:v>
                </c:pt>
                <c:pt idx="53">
                  <c:v>2.1042985999999999</c:v>
                </c:pt>
                <c:pt idx="54">
                  <c:v>1.0862667049220995</c:v>
                </c:pt>
                <c:pt idx="55">
                  <c:v>0.84471896116379952</c:v>
                </c:pt>
                <c:pt idx="56">
                  <c:v>1.3975910241465002</c:v>
                </c:pt>
                <c:pt idx="57">
                  <c:v>0.99175104601020081</c:v>
                </c:pt>
                <c:pt idx="58">
                  <c:v>0.46596519999989994</c:v>
                </c:pt>
                <c:pt idx="59">
                  <c:v>0.95381017344320007</c:v>
                </c:pt>
                <c:pt idx="60">
                  <c:v>0.5465418325903002</c:v>
                </c:pt>
                <c:pt idx="61">
                  <c:v>0.14893457610610028</c:v>
                </c:pt>
                <c:pt idx="62">
                  <c:v>0.83947456929860031</c:v>
                </c:pt>
                <c:pt idx="63">
                  <c:v>-1.6033866187800783E-2</c:v>
                </c:pt>
                <c:pt idx="64">
                  <c:v>-9.6237885473399842E-2</c:v>
                </c:pt>
                <c:pt idx="65">
                  <c:v>1.1715645082185002</c:v>
                </c:pt>
                <c:pt idx="66">
                  <c:v>0.99603036298410075</c:v>
                </c:pt>
                <c:pt idx="67">
                  <c:v>0.9664444154084002</c:v>
                </c:pt>
                <c:pt idx="68">
                  <c:v>0.93342279139710094</c:v>
                </c:pt>
                <c:pt idx="69">
                  <c:v>0.77545270590490034</c:v>
                </c:pt>
                <c:pt idx="70">
                  <c:v>1.136693880544799</c:v>
                </c:pt>
                <c:pt idx="71">
                  <c:v>1.1427160360748001</c:v>
                </c:pt>
                <c:pt idx="72">
                  <c:v>1.1366673000000009</c:v>
                </c:pt>
                <c:pt idx="73">
                  <c:v>0.66709518016820013</c:v>
                </c:pt>
                <c:pt idx="74">
                  <c:v>0.75333998455920081</c:v>
                </c:pt>
                <c:pt idx="75">
                  <c:v>0.52846654515600022</c:v>
                </c:pt>
                <c:pt idx="76">
                  <c:v>0.94632655668909926</c:v>
                </c:pt>
                <c:pt idx="77">
                  <c:v>0.86286689936910044</c:v>
                </c:pt>
                <c:pt idx="78">
                  <c:v>-0.43573455015870088</c:v>
                </c:pt>
                <c:pt idx="79">
                  <c:v>1.3923683000000011</c:v>
                </c:pt>
              </c:numCache>
            </c:numRef>
          </c:yVal>
          <c:smooth val="0"/>
          <c:extLst>
            <c:ext xmlns:c16="http://schemas.microsoft.com/office/drawing/2014/chart" uri="{C3380CC4-5D6E-409C-BE32-E72D297353CC}">
              <c16:uniqueId val="{00000001-A793-435F-952B-70E95CDDE8E1}"/>
            </c:ext>
          </c:extLst>
        </c:ser>
        <c:dLbls>
          <c:showLegendKey val="0"/>
          <c:showVal val="0"/>
          <c:showCatName val="0"/>
          <c:showSerName val="0"/>
          <c:showPercent val="0"/>
          <c:showBubbleSize val="0"/>
        </c:dLbls>
        <c:axId val="244482048"/>
        <c:axId val="244483968"/>
      </c:scatterChart>
      <c:valAx>
        <c:axId val="244482048"/>
        <c:scaling>
          <c:orientation val="minMax"/>
        </c:scaling>
        <c:delete val="0"/>
        <c:axPos val="b"/>
        <c:title>
          <c:tx>
            <c:rich>
              <a:bodyPr/>
              <a:lstStyle/>
              <a:p>
                <a:pPr>
                  <a:defRPr/>
                </a:pPr>
                <a:r>
                  <a:rPr lang="en-US"/>
                  <a:t>REFERENCE VALUES</a:t>
                </a:r>
              </a:p>
            </c:rich>
          </c:tx>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244483968"/>
        <c:crosses val="autoZero"/>
        <c:crossBetween val="midCat"/>
      </c:valAx>
      <c:valAx>
        <c:axId val="244483968"/>
        <c:scaling>
          <c:orientation val="minMax"/>
        </c:scaling>
        <c:delete val="0"/>
        <c:axPos val="l"/>
        <c:majorGridlines/>
        <c:numFmt formatCode="0.00" sourceLinked="1"/>
        <c:majorTickMark val="out"/>
        <c:minorTickMark val="none"/>
        <c:tickLblPos val="nextTo"/>
        <c:crossAx val="244482048"/>
        <c:crosses val="autoZero"/>
        <c:crossBetween val="midCat"/>
      </c:valAx>
    </c:plotArea>
    <c:plotVisOnly val="1"/>
    <c:dispBlanksAs val="gap"/>
    <c:showDLblsOverMax val="0"/>
  </c:chart>
  <c:printSettings>
    <c:headerFooter/>
    <c:pageMargins b="0.750000000000004" l="0.70000000000000062" r="0.70000000000000062" t="0.750000000000004" header="0.30000000000000032" footer="0.3000000000000003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400" baseline="0"/>
              <a:t>Residuals vs predicted</a:t>
            </a:r>
          </a:p>
        </c:rich>
      </c:tx>
      <c:layout>
        <c:manualLayout>
          <c:xMode val="edge"/>
          <c:yMode val="edge"/>
          <c:x val="0.59043500709952246"/>
          <c:y val="0"/>
        </c:manualLayout>
      </c:layout>
      <c:overlay val="1"/>
    </c:title>
    <c:autoTitleDeleted val="0"/>
    <c:plotArea>
      <c:layout/>
      <c:scatterChart>
        <c:scatterStyle val="lineMarker"/>
        <c:varyColors val="0"/>
        <c:ser>
          <c:idx val="0"/>
          <c:order val="0"/>
          <c:spPr>
            <a:ln>
              <a:noFill/>
            </a:ln>
          </c:spPr>
          <c:trendline>
            <c:trendlineType val="linear"/>
            <c:dispRSqr val="0"/>
            <c:dispEq val="1"/>
            <c:trendlineLbl>
              <c:layout>
                <c:manualLayout>
                  <c:x val="8.6646154745701892E-3"/>
                  <c:y val="0.32626926854701888"/>
                </c:manualLayout>
              </c:layout>
              <c:numFmt formatCode="General" sourceLinked="0"/>
            </c:trendlineLbl>
          </c:trendline>
          <c:xVal>
            <c:numRef>
              <c:f>Lesnoff!$F$63:$F$156</c:f>
              <c:numCache>
                <c:formatCode>General</c:formatCode>
                <c:ptCount val="94"/>
                <c:pt idx="0">
                  <c:v>10.766816524653301</c:v>
                </c:pt>
                <c:pt idx="1">
                  <c:v>11.7600797827312</c:v>
                </c:pt>
                <c:pt idx="2">
                  <c:v>10.7474127874613</c:v>
                </c:pt>
                <c:pt idx="3">
                  <c:v>12.2063949158906</c:v>
                </c:pt>
                <c:pt idx="4">
                  <c:v>10.7276693179342</c:v>
                </c:pt>
                <c:pt idx="5">
                  <c:v>11.0745621</c:v>
                </c:pt>
                <c:pt idx="6">
                  <c:v>10.1964318871626</c:v>
                </c:pt>
                <c:pt idx="7">
                  <c:v>11.150519571023599</c:v>
                </c:pt>
                <c:pt idx="8">
                  <c:v>11.840267121108001</c:v>
                </c:pt>
                <c:pt idx="9">
                  <c:v>11.6844151436791</c:v>
                </c:pt>
                <c:pt idx="10">
                  <c:v>12.1791036732452</c:v>
                </c:pt>
                <c:pt idx="11">
                  <c:v>12.6014555013529</c:v>
                </c:pt>
                <c:pt idx="12">
                  <c:v>10.979530869224201</c:v>
                </c:pt>
                <c:pt idx="13">
                  <c:v>10.7427853100862</c:v>
                </c:pt>
                <c:pt idx="14">
                  <c:v>10.8185318677245</c:v>
                </c:pt>
                <c:pt idx="15">
                  <c:v>10.8584687278515</c:v>
                </c:pt>
                <c:pt idx="16">
                  <c:v>11.1596818097377</c:v>
                </c:pt>
                <c:pt idx="17">
                  <c:v>10.752639890955599</c:v>
                </c:pt>
                <c:pt idx="18">
                  <c:v>10.872578035879499</c:v>
                </c:pt>
                <c:pt idx="19">
                  <c:v>11.694926556624999</c:v>
                </c:pt>
                <c:pt idx="20">
                  <c:v>11.930179993080399</c:v>
                </c:pt>
                <c:pt idx="21">
                  <c:v>12.349700876091401</c:v>
                </c:pt>
                <c:pt idx="22">
                  <c:v>12.434211700000001</c:v>
                </c:pt>
                <c:pt idx="23">
                  <c:v>10.0502806766837</c:v>
                </c:pt>
                <c:pt idx="24">
                  <c:v>12.197554862815499</c:v>
                </c:pt>
                <c:pt idx="25">
                  <c:v>11.182453382752</c:v>
                </c:pt>
                <c:pt idx="26">
                  <c:v>12.1706525316977</c:v>
                </c:pt>
                <c:pt idx="27">
                  <c:v>12.3595988139247</c:v>
                </c:pt>
                <c:pt idx="28">
                  <c:v>10.6712284102633</c:v>
                </c:pt>
                <c:pt idx="29">
                  <c:v>13.8224049</c:v>
                </c:pt>
                <c:pt idx="30">
                  <c:v>12.5328959999999</c:v>
                </c:pt>
                <c:pt idx="31">
                  <c:v>10.596063707557599</c:v>
                </c:pt>
                <c:pt idx="32">
                  <c:v>10.4438704713054</c:v>
                </c:pt>
                <c:pt idx="33">
                  <c:v>11.2287384812455</c:v>
                </c:pt>
                <c:pt idx="34">
                  <c:v>12.034393313000001</c:v>
                </c:pt>
                <c:pt idx="35">
                  <c:v>10.6625820346312</c:v>
                </c:pt>
                <c:pt idx="36">
                  <c:v>12.5</c:v>
                </c:pt>
                <c:pt idx="37">
                  <c:v>11.282774690760601</c:v>
                </c:pt>
                <c:pt idx="38">
                  <c:v>11.388748083968601</c:v>
                </c:pt>
                <c:pt idx="39">
                  <c:v>11.001231964068801</c:v>
                </c:pt>
                <c:pt idx="40">
                  <c:v>11.394301649325</c:v>
                </c:pt>
                <c:pt idx="41">
                  <c:v>11.2176524376447</c:v>
                </c:pt>
                <c:pt idx="42">
                  <c:v>12.9249881218498</c:v>
                </c:pt>
                <c:pt idx="43">
                  <c:v>11.037172857405899</c:v>
                </c:pt>
                <c:pt idx="44">
                  <c:v>11.214790672563399</c:v>
                </c:pt>
                <c:pt idx="45">
                  <c:v>10.693365367487999</c:v>
                </c:pt>
                <c:pt idx="46">
                  <c:v>11.910913904821699</c:v>
                </c:pt>
                <c:pt idx="47">
                  <c:v>10.9162378330621</c:v>
                </c:pt>
                <c:pt idx="48">
                  <c:v>11.0607987818802</c:v>
                </c:pt>
                <c:pt idx="49">
                  <c:v>11.097746896402001</c:v>
                </c:pt>
                <c:pt idx="50">
                  <c:v>9.48316716733585</c:v>
                </c:pt>
                <c:pt idx="51">
                  <c:v>12.2355693573928</c:v>
                </c:pt>
                <c:pt idx="52">
                  <c:v>12.2580122237392</c:v>
                </c:pt>
                <c:pt idx="53">
                  <c:v>13.3442984</c:v>
                </c:pt>
                <c:pt idx="54">
                  <c:v>13.646267104922099</c:v>
                </c:pt>
                <c:pt idx="55">
                  <c:v>10.9147186611638</c:v>
                </c:pt>
                <c:pt idx="56">
                  <c:v>11.3375906241465</c:v>
                </c:pt>
                <c:pt idx="57">
                  <c:v>11.2317508460102</c:v>
                </c:pt>
                <c:pt idx="58">
                  <c:v>11.885965299999899</c:v>
                </c:pt>
                <c:pt idx="59">
                  <c:v>11.4538101734432</c:v>
                </c:pt>
                <c:pt idx="60">
                  <c:v>13.686542132590301</c:v>
                </c:pt>
                <c:pt idx="61">
                  <c:v>11.848934376106101</c:v>
                </c:pt>
                <c:pt idx="62">
                  <c:v>11.2194746692986</c:v>
                </c:pt>
                <c:pt idx="63">
                  <c:v>13.3339665338122</c:v>
                </c:pt>
                <c:pt idx="64">
                  <c:v>12.5637619145266</c:v>
                </c:pt>
                <c:pt idx="65">
                  <c:v>13.1615643082185</c:v>
                </c:pt>
                <c:pt idx="66">
                  <c:v>12.996030362984101</c:v>
                </c:pt>
                <c:pt idx="67">
                  <c:v>12.9664444154084</c:v>
                </c:pt>
                <c:pt idx="68">
                  <c:v>14.093422591397101</c:v>
                </c:pt>
                <c:pt idx="69">
                  <c:v>12.9454528059049</c:v>
                </c:pt>
                <c:pt idx="70">
                  <c:v>12.1066941805448</c:v>
                </c:pt>
                <c:pt idx="71">
                  <c:v>13.4027162360748</c:v>
                </c:pt>
                <c:pt idx="72">
                  <c:v>14.166667</c:v>
                </c:pt>
                <c:pt idx="73">
                  <c:v>13.0270948801682</c:v>
                </c:pt>
                <c:pt idx="74">
                  <c:v>13.1533395845592</c:v>
                </c:pt>
                <c:pt idx="75">
                  <c:v>13.028466545156</c:v>
                </c:pt>
                <c:pt idx="76">
                  <c:v>13.5463269566891</c:v>
                </c:pt>
                <c:pt idx="77">
                  <c:v>13.5328669993691</c:v>
                </c:pt>
                <c:pt idx="78">
                  <c:v>12.2642652498413</c:v>
                </c:pt>
                <c:pt idx="79">
                  <c:v>15.822368600000001</c:v>
                </c:pt>
              </c:numCache>
            </c:numRef>
          </c:xVal>
          <c:yVal>
            <c:numRef>
              <c:f>Lesnoff!$G$63:$G$156</c:f>
              <c:numCache>
                <c:formatCode>0.00</c:formatCode>
                <c:ptCount val="94"/>
                <c:pt idx="0">
                  <c:v>0.82681692465330059</c:v>
                </c:pt>
                <c:pt idx="1">
                  <c:v>1.7400792827311999</c:v>
                </c:pt>
                <c:pt idx="2">
                  <c:v>0.74741278746130035</c:v>
                </c:pt>
                <c:pt idx="3">
                  <c:v>1.7063949158906002</c:v>
                </c:pt>
                <c:pt idx="4">
                  <c:v>-5.2330382065798986E-2</c:v>
                </c:pt>
                <c:pt idx="5">
                  <c:v>0.62456229999999913</c:v>
                </c:pt>
                <c:pt idx="6">
                  <c:v>-0.82356861283740024</c:v>
                </c:pt>
                <c:pt idx="7">
                  <c:v>0.35051937102359965</c:v>
                </c:pt>
                <c:pt idx="8">
                  <c:v>0.96026702110800066</c:v>
                </c:pt>
                <c:pt idx="9">
                  <c:v>0.62441474367910033</c:v>
                </c:pt>
                <c:pt idx="10">
                  <c:v>1.0891034732451992</c:v>
                </c:pt>
                <c:pt idx="11">
                  <c:v>0.98145560135290033</c:v>
                </c:pt>
                <c:pt idx="12">
                  <c:v>1.0195308692241998</c:v>
                </c:pt>
                <c:pt idx="13">
                  <c:v>1.2427853100861999</c:v>
                </c:pt>
                <c:pt idx="14">
                  <c:v>0.82853206772450072</c:v>
                </c:pt>
                <c:pt idx="15">
                  <c:v>0.84846852785149984</c:v>
                </c:pt>
                <c:pt idx="16">
                  <c:v>1.3296819097376993</c:v>
                </c:pt>
                <c:pt idx="17">
                  <c:v>1.182640190955599</c:v>
                </c:pt>
                <c:pt idx="18">
                  <c:v>0.9525779358794999</c:v>
                </c:pt>
                <c:pt idx="19">
                  <c:v>2.4926456624999815E-2</c:v>
                </c:pt>
                <c:pt idx="20">
                  <c:v>0.43017999308039911</c:v>
                </c:pt>
                <c:pt idx="21">
                  <c:v>0.97970097609140083</c:v>
                </c:pt>
                <c:pt idx="22">
                  <c:v>0.84421150000000011</c:v>
                </c:pt>
                <c:pt idx="23">
                  <c:v>0.17028057668369989</c:v>
                </c:pt>
                <c:pt idx="24">
                  <c:v>0.35755466281549886</c:v>
                </c:pt>
                <c:pt idx="25">
                  <c:v>1.1824533827519996</c:v>
                </c:pt>
                <c:pt idx="26">
                  <c:v>2.0706521316976989</c:v>
                </c:pt>
                <c:pt idx="27">
                  <c:v>0.95959921392470093</c:v>
                </c:pt>
                <c:pt idx="28">
                  <c:v>0.39122871026330053</c:v>
                </c:pt>
                <c:pt idx="29">
                  <c:v>1.6124048999999996</c:v>
                </c:pt>
                <c:pt idx="30">
                  <c:v>0.59289639999989951</c:v>
                </c:pt>
                <c:pt idx="31">
                  <c:v>0.22606380755759936</c:v>
                </c:pt>
                <c:pt idx="32">
                  <c:v>6.3870371305400298E-2</c:v>
                </c:pt>
                <c:pt idx="33">
                  <c:v>1.3487383812455001</c:v>
                </c:pt>
                <c:pt idx="34">
                  <c:v>-4.5606586999999976E-2</c:v>
                </c:pt>
                <c:pt idx="35">
                  <c:v>1.582582134631199</c:v>
                </c:pt>
                <c:pt idx="36">
                  <c:v>1.6999998000000005</c:v>
                </c:pt>
                <c:pt idx="37">
                  <c:v>1.9227749907606011</c:v>
                </c:pt>
                <c:pt idx="38">
                  <c:v>-1.0612517160313999</c:v>
                </c:pt>
                <c:pt idx="39">
                  <c:v>8.1231864068801229E-2</c:v>
                </c:pt>
                <c:pt idx="40">
                  <c:v>0.44430184932499905</c:v>
                </c:pt>
                <c:pt idx="41">
                  <c:v>0.22765263764470056</c:v>
                </c:pt>
                <c:pt idx="42">
                  <c:v>1.9249881218498004</c:v>
                </c:pt>
                <c:pt idx="43">
                  <c:v>1.0671725574058986</c:v>
                </c:pt>
                <c:pt idx="44">
                  <c:v>-1.6852089274365998</c:v>
                </c:pt>
                <c:pt idx="45">
                  <c:v>0.16336566748799974</c:v>
                </c:pt>
                <c:pt idx="46">
                  <c:v>0.85091350482169936</c:v>
                </c:pt>
                <c:pt idx="47">
                  <c:v>1.8162374330620992</c:v>
                </c:pt>
                <c:pt idx="48">
                  <c:v>2.0907984818801992</c:v>
                </c:pt>
                <c:pt idx="49">
                  <c:v>-2.225300359799931E-2</c:v>
                </c:pt>
                <c:pt idx="50">
                  <c:v>0.25316766733585006</c:v>
                </c:pt>
                <c:pt idx="51">
                  <c:v>1.0055698573927998</c:v>
                </c:pt>
                <c:pt idx="52">
                  <c:v>1.0280127237392005</c:v>
                </c:pt>
                <c:pt idx="53">
                  <c:v>2.1042985999999999</c:v>
                </c:pt>
                <c:pt idx="54">
                  <c:v>1.0862667049220995</c:v>
                </c:pt>
                <c:pt idx="55">
                  <c:v>0.84471896116379952</c:v>
                </c:pt>
                <c:pt idx="56">
                  <c:v>1.3975910241465002</c:v>
                </c:pt>
                <c:pt idx="57">
                  <c:v>0.99175104601020081</c:v>
                </c:pt>
                <c:pt idx="58">
                  <c:v>0.46596519999989994</c:v>
                </c:pt>
                <c:pt idx="59">
                  <c:v>0.95381017344320007</c:v>
                </c:pt>
                <c:pt idx="60">
                  <c:v>0.5465418325903002</c:v>
                </c:pt>
                <c:pt idx="61">
                  <c:v>0.14893457610610028</c:v>
                </c:pt>
                <c:pt idx="62">
                  <c:v>0.83947456929860031</c:v>
                </c:pt>
                <c:pt idx="63">
                  <c:v>-1.6033866187800783E-2</c:v>
                </c:pt>
                <c:pt idx="64">
                  <c:v>-9.6237885473399842E-2</c:v>
                </c:pt>
                <c:pt idx="65">
                  <c:v>1.1715645082185002</c:v>
                </c:pt>
                <c:pt idx="66">
                  <c:v>0.99603036298410075</c:v>
                </c:pt>
                <c:pt idx="67">
                  <c:v>0.9664444154084002</c:v>
                </c:pt>
                <c:pt idx="68">
                  <c:v>0.93342279139710094</c:v>
                </c:pt>
                <c:pt idx="69">
                  <c:v>0.77545270590490034</c:v>
                </c:pt>
                <c:pt idx="70">
                  <c:v>1.136693880544799</c:v>
                </c:pt>
                <c:pt idx="71">
                  <c:v>1.1427160360748001</c:v>
                </c:pt>
                <c:pt idx="72">
                  <c:v>1.1366673000000009</c:v>
                </c:pt>
                <c:pt idx="73">
                  <c:v>0.66709518016820013</c:v>
                </c:pt>
                <c:pt idx="74">
                  <c:v>0.75333998455920081</c:v>
                </c:pt>
                <c:pt idx="75">
                  <c:v>0.52846654515600022</c:v>
                </c:pt>
                <c:pt idx="76">
                  <c:v>0.94632655668909926</c:v>
                </c:pt>
                <c:pt idx="77">
                  <c:v>0.86286689936910044</c:v>
                </c:pt>
                <c:pt idx="78">
                  <c:v>-0.43573455015870088</c:v>
                </c:pt>
                <c:pt idx="79">
                  <c:v>1.3923683000000011</c:v>
                </c:pt>
              </c:numCache>
            </c:numRef>
          </c:yVal>
          <c:smooth val="0"/>
          <c:extLst>
            <c:ext xmlns:c16="http://schemas.microsoft.com/office/drawing/2014/chart" uri="{C3380CC4-5D6E-409C-BE32-E72D297353CC}">
              <c16:uniqueId val="{00000001-2147-4C09-963D-9A313ECF095A}"/>
            </c:ext>
          </c:extLst>
        </c:ser>
        <c:dLbls>
          <c:showLegendKey val="0"/>
          <c:showVal val="0"/>
          <c:showCatName val="0"/>
          <c:showSerName val="0"/>
          <c:showPercent val="0"/>
          <c:showBubbleSize val="0"/>
        </c:dLbls>
        <c:axId val="251667584"/>
        <c:axId val="251669504"/>
      </c:scatterChart>
      <c:valAx>
        <c:axId val="251667584"/>
        <c:scaling>
          <c:orientation val="minMax"/>
        </c:scaling>
        <c:delete val="0"/>
        <c:axPos val="b"/>
        <c:title>
          <c:tx>
            <c:rich>
              <a:bodyPr/>
              <a:lstStyle/>
              <a:p>
                <a:pPr>
                  <a:defRPr/>
                </a:pPr>
                <a:r>
                  <a:rPr lang="en-US"/>
                  <a:t>PREDICTED NIRS</a:t>
                </a:r>
              </a:p>
            </c:rich>
          </c:tx>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251669504"/>
        <c:crosses val="autoZero"/>
        <c:crossBetween val="midCat"/>
      </c:valAx>
      <c:valAx>
        <c:axId val="251669504"/>
        <c:scaling>
          <c:orientation val="minMax"/>
        </c:scaling>
        <c:delete val="0"/>
        <c:axPos val="l"/>
        <c:majorGridlines/>
        <c:numFmt formatCode="0.00" sourceLinked="1"/>
        <c:majorTickMark val="out"/>
        <c:minorTickMark val="none"/>
        <c:tickLblPos val="nextTo"/>
        <c:crossAx val="251667584"/>
        <c:crosses val="autoZero"/>
        <c:crossBetween val="midCat"/>
      </c:valAx>
    </c:plotArea>
    <c:plotVisOnly val="1"/>
    <c:dispBlanksAs val="gap"/>
    <c:showDLblsOverMax val="0"/>
  </c:chart>
  <c:printSettings>
    <c:headerFooter/>
    <c:pageMargins b="0.75000000000000422" l="0.70000000000000062" r="0.70000000000000062" t="0.75000000000000422" header="0.30000000000000032" footer="0.3000000000000003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400" baseline="0"/>
              <a:t>Residuals vs position</a:t>
            </a:r>
          </a:p>
        </c:rich>
      </c:tx>
      <c:layout>
        <c:manualLayout>
          <c:xMode val="edge"/>
          <c:yMode val="edge"/>
          <c:x val="0.61770845220434401"/>
          <c:y val="9.2592592592592587E-3"/>
        </c:manualLayout>
      </c:layout>
      <c:overlay val="1"/>
    </c:title>
    <c:autoTitleDeleted val="0"/>
    <c:plotArea>
      <c:layout>
        <c:manualLayout>
          <c:layoutTarget val="inner"/>
          <c:xMode val="edge"/>
          <c:yMode val="edge"/>
          <c:x val="9.7295231451277789E-2"/>
          <c:y val="4.1365688184682434E-2"/>
          <c:w val="0.8505582003234009"/>
          <c:h val="0.89909093674129181"/>
        </c:manualLayout>
      </c:layout>
      <c:scatterChart>
        <c:scatterStyle val="lineMarker"/>
        <c:varyColors val="0"/>
        <c:ser>
          <c:idx val="0"/>
          <c:order val="0"/>
          <c:spPr>
            <a:ln w="28575">
              <a:noFill/>
            </a:ln>
          </c:spPr>
          <c:xVal>
            <c:numRef>
              <c:f>Lesnoff!$B$63:$B$156</c:f>
              <c:numCache>
                <c:formatCode>General</c:formatCode>
                <c:ptCount val="9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numCache>
            </c:numRef>
          </c:xVal>
          <c:yVal>
            <c:numRef>
              <c:f>Lesnoff!$G$63:$G$156</c:f>
              <c:numCache>
                <c:formatCode>0.00</c:formatCode>
                <c:ptCount val="94"/>
                <c:pt idx="0">
                  <c:v>0.82681692465330059</c:v>
                </c:pt>
                <c:pt idx="1">
                  <c:v>1.7400792827311999</c:v>
                </c:pt>
                <c:pt idx="2">
                  <c:v>0.74741278746130035</c:v>
                </c:pt>
                <c:pt idx="3">
                  <c:v>1.7063949158906002</c:v>
                </c:pt>
                <c:pt idx="4">
                  <c:v>-5.2330382065798986E-2</c:v>
                </c:pt>
                <c:pt idx="5">
                  <c:v>0.62456229999999913</c:v>
                </c:pt>
                <c:pt idx="6">
                  <c:v>-0.82356861283740024</c:v>
                </c:pt>
                <c:pt idx="7">
                  <c:v>0.35051937102359965</c:v>
                </c:pt>
                <c:pt idx="8">
                  <c:v>0.96026702110800066</c:v>
                </c:pt>
                <c:pt idx="9">
                  <c:v>0.62441474367910033</c:v>
                </c:pt>
                <c:pt idx="10">
                  <c:v>1.0891034732451992</c:v>
                </c:pt>
                <c:pt idx="11">
                  <c:v>0.98145560135290033</c:v>
                </c:pt>
                <c:pt idx="12">
                  <c:v>1.0195308692241998</c:v>
                </c:pt>
                <c:pt idx="13">
                  <c:v>1.2427853100861999</c:v>
                </c:pt>
                <c:pt idx="14">
                  <c:v>0.82853206772450072</c:v>
                </c:pt>
                <c:pt idx="15">
                  <c:v>0.84846852785149984</c:v>
                </c:pt>
                <c:pt idx="16">
                  <c:v>1.3296819097376993</c:v>
                </c:pt>
                <c:pt idx="17">
                  <c:v>1.182640190955599</c:v>
                </c:pt>
                <c:pt idx="18">
                  <c:v>0.9525779358794999</c:v>
                </c:pt>
                <c:pt idx="19">
                  <c:v>2.4926456624999815E-2</c:v>
                </c:pt>
                <c:pt idx="20">
                  <c:v>0.43017999308039911</c:v>
                </c:pt>
                <c:pt idx="21">
                  <c:v>0.97970097609140083</c:v>
                </c:pt>
                <c:pt idx="22">
                  <c:v>0.84421150000000011</c:v>
                </c:pt>
                <c:pt idx="23">
                  <c:v>0.17028057668369989</c:v>
                </c:pt>
                <c:pt idx="24">
                  <c:v>0.35755466281549886</c:v>
                </c:pt>
                <c:pt idx="25">
                  <c:v>1.1824533827519996</c:v>
                </c:pt>
                <c:pt idx="26">
                  <c:v>2.0706521316976989</c:v>
                </c:pt>
                <c:pt idx="27">
                  <c:v>0.95959921392470093</c:v>
                </c:pt>
                <c:pt idx="28">
                  <c:v>0.39122871026330053</c:v>
                </c:pt>
                <c:pt idx="29">
                  <c:v>1.6124048999999996</c:v>
                </c:pt>
                <c:pt idx="30">
                  <c:v>0.59289639999989951</c:v>
                </c:pt>
                <c:pt idx="31">
                  <c:v>0.22606380755759936</c:v>
                </c:pt>
                <c:pt idx="32">
                  <c:v>6.3870371305400298E-2</c:v>
                </c:pt>
                <c:pt idx="33">
                  <c:v>1.3487383812455001</c:v>
                </c:pt>
                <c:pt idx="34">
                  <c:v>-4.5606586999999976E-2</c:v>
                </c:pt>
                <c:pt idx="35">
                  <c:v>1.582582134631199</c:v>
                </c:pt>
                <c:pt idx="36">
                  <c:v>1.6999998000000005</c:v>
                </c:pt>
                <c:pt idx="37">
                  <c:v>1.9227749907606011</c:v>
                </c:pt>
                <c:pt idx="38">
                  <c:v>-1.0612517160313999</c:v>
                </c:pt>
                <c:pt idx="39">
                  <c:v>8.1231864068801229E-2</c:v>
                </c:pt>
                <c:pt idx="40">
                  <c:v>0.44430184932499905</c:v>
                </c:pt>
                <c:pt idx="41">
                  <c:v>0.22765263764470056</c:v>
                </c:pt>
                <c:pt idx="42">
                  <c:v>1.9249881218498004</c:v>
                </c:pt>
                <c:pt idx="43">
                  <c:v>1.0671725574058986</c:v>
                </c:pt>
                <c:pt idx="44">
                  <c:v>-1.6852089274365998</c:v>
                </c:pt>
                <c:pt idx="45">
                  <c:v>0.16336566748799974</c:v>
                </c:pt>
                <c:pt idx="46">
                  <c:v>0.85091350482169936</c:v>
                </c:pt>
                <c:pt idx="47">
                  <c:v>1.8162374330620992</c:v>
                </c:pt>
                <c:pt idx="48">
                  <c:v>2.0907984818801992</c:v>
                </c:pt>
                <c:pt idx="49">
                  <c:v>-2.225300359799931E-2</c:v>
                </c:pt>
                <c:pt idx="50">
                  <c:v>0.25316766733585006</c:v>
                </c:pt>
                <c:pt idx="51">
                  <c:v>1.0055698573927998</c:v>
                </c:pt>
                <c:pt idx="52">
                  <c:v>1.0280127237392005</c:v>
                </c:pt>
                <c:pt idx="53">
                  <c:v>2.1042985999999999</c:v>
                </c:pt>
                <c:pt idx="54">
                  <c:v>1.0862667049220995</c:v>
                </c:pt>
                <c:pt idx="55">
                  <c:v>0.84471896116379952</c:v>
                </c:pt>
                <c:pt idx="56">
                  <c:v>1.3975910241465002</c:v>
                </c:pt>
                <c:pt idx="57">
                  <c:v>0.99175104601020081</c:v>
                </c:pt>
                <c:pt idx="58">
                  <c:v>0.46596519999989994</c:v>
                </c:pt>
                <c:pt idx="59">
                  <c:v>0.95381017344320007</c:v>
                </c:pt>
                <c:pt idx="60">
                  <c:v>0.5465418325903002</c:v>
                </c:pt>
                <c:pt idx="61">
                  <c:v>0.14893457610610028</c:v>
                </c:pt>
                <c:pt idx="62">
                  <c:v>0.83947456929860031</c:v>
                </c:pt>
                <c:pt idx="63">
                  <c:v>-1.6033866187800783E-2</c:v>
                </c:pt>
                <c:pt idx="64">
                  <c:v>-9.6237885473399842E-2</c:v>
                </c:pt>
                <c:pt idx="65">
                  <c:v>1.1715645082185002</c:v>
                </c:pt>
                <c:pt idx="66">
                  <c:v>0.99603036298410075</c:v>
                </c:pt>
                <c:pt idx="67">
                  <c:v>0.9664444154084002</c:v>
                </c:pt>
                <c:pt idx="68">
                  <c:v>0.93342279139710094</c:v>
                </c:pt>
                <c:pt idx="69">
                  <c:v>0.77545270590490034</c:v>
                </c:pt>
                <c:pt idx="70">
                  <c:v>1.136693880544799</c:v>
                </c:pt>
                <c:pt idx="71">
                  <c:v>1.1427160360748001</c:v>
                </c:pt>
                <c:pt idx="72">
                  <c:v>1.1366673000000009</c:v>
                </c:pt>
                <c:pt idx="73">
                  <c:v>0.66709518016820013</c:v>
                </c:pt>
                <c:pt idx="74">
                  <c:v>0.75333998455920081</c:v>
                </c:pt>
                <c:pt idx="75">
                  <c:v>0.52846654515600022</c:v>
                </c:pt>
                <c:pt idx="76">
                  <c:v>0.94632655668909926</c:v>
                </c:pt>
                <c:pt idx="77">
                  <c:v>0.86286689936910044</c:v>
                </c:pt>
                <c:pt idx="78">
                  <c:v>-0.43573455015870088</c:v>
                </c:pt>
                <c:pt idx="79">
                  <c:v>1.3923683000000011</c:v>
                </c:pt>
              </c:numCache>
            </c:numRef>
          </c:yVal>
          <c:smooth val="0"/>
          <c:extLst>
            <c:ext xmlns:c16="http://schemas.microsoft.com/office/drawing/2014/chart" uri="{C3380CC4-5D6E-409C-BE32-E72D297353CC}">
              <c16:uniqueId val="{00000000-84CC-4CA8-88E6-8AD57553774C}"/>
            </c:ext>
          </c:extLst>
        </c:ser>
        <c:dLbls>
          <c:showLegendKey val="0"/>
          <c:showVal val="0"/>
          <c:showCatName val="0"/>
          <c:showSerName val="0"/>
          <c:showPercent val="0"/>
          <c:showBubbleSize val="0"/>
        </c:dLbls>
        <c:axId val="274780160"/>
        <c:axId val="274781696"/>
      </c:scatterChart>
      <c:valAx>
        <c:axId val="274780160"/>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274781696"/>
        <c:crosses val="autoZero"/>
        <c:crossBetween val="midCat"/>
      </c:valAx>
      <c:valAx>
        <c:axId val="274781696"/>
        <c:scaling>
          <c:orientation val="minMax"/>
        </c:scaling>
        <c:delete val="0"/>
        <c:axPos val="l"/>
        <c:majorGridlines/>
        <c:numFmt formatCode="0.00" sourceLinked="1"/>
        <c:majorTickMark val="out"/>
        <c:minorTickMark val="none"/>
        <c:tickLblPos val="nextTo"/>
        <c:crossAx val="274780160"/>
        <c:crosses val="autoZero"/>
        <c:crossBetween val="midCat"/>
      </c:valAx>
    </c:plotArea>
    <c:plotVisOnly val="1"/>
    <c:dispBlanksAs val="gap"/>
    <c:showDLblsOverMax val="0"/>
  </c:chart>
  <c:printSettings>
    <c:headerFooter/>
    <c:pageMargins b="0.75000000000000211" l="0.70000000000000062" r="0.70000000000000062" t="0.75000000000000211" header="0.30000000000000032" footer="0.3000000000000003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3834418474441655E-2"/>
          <c:y val="0.13250935178105364"/>
          <c:w val="0.6729182365583003"/>
          <c:h val="0.71284029659820869"/>
        </c:manualLayout>
      </c:layout>
      <c:scatterChart>
        <c:scatterStyle val="lineMarker"/>
        <c:varyColors val="0"/>
        <c:ser>
          <c:idx val="0"/>
          <c:order val="0"/>
          <c:tx>
            <c:v> </c:v>
          </c:tx>
          <c:spPr>
            <a:ln w="28575">
              <a:noFill/>
            </a:ln>
          </c:spPr>
          <c:marker>
            <c:symbol val="circle"/>
            <c:size val="8"/>
            <c:spPr>
              <a:solidFill>
                <a:srgbClr val="000080"/>
              </a:solidFill>
              <a:ln>
                <a:solidFill>
                  <a:srgbClr val="000080"/>
                </a:solidFill>
                <a:prstDash val="solid"/>
              </a:ln>
            </c:spPr>
          </c:marker>
          <c:dLbls>
            <c:dLbl>
              <c:idx val="0"/>
              <c:tx>
                <c:rich>
                  <a:bodyPr/>
                  <a:lstStyle/>
                  <a:p>
                    <a:fld id="{A2DE19DC-16D7-4FDB-A581-044E9A0D833F}" type="CELLRANGE">
                      <a:rPr lang="en-US"/>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3828-48B1-8668-461D273473CA}"/>
                </c:ext>
              </c:extLst>
            </c:dLbl>
            <c:dLbl>
              <c:idx val="1"/>
              <c:tx>
                <c:rich>
                  <a:bodyPr/>
                  <a:lstStyle/>
                  <a:p>
                    <a:fld id="{2C07E54C-AA9D-4628-8AD9-EFE928B9703B}"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3828-48B1-8668-461D273473CA}"/>
                </c:ext>
              </c:extLst>
            </c:dLbl>
            <c:dLbl>
              <c:idx val="2"/>
              <c:tx>
                <c:rich>
                  <a:bodyPr/>
                  <a:lstStyle/>
                  <a:p>
                    <a:fld id="{4A6AFDD3-73D5-4F29-8479-8BF589643F86}"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3828-48B1-8668-461D273473CA}"/>
                </c:ext>
              </c:extLst>
            </c:dLbl>
            <c:dLbl>
              <c:idx val="3"/>
              <c:tx>
                <c:rich>
                  <a:bodyPr/>
                  <a:lstStyle/>
                  <a:p>
                    <a:fld id="{C50FE630-8879-44E8-BA0B-14D350C0A730}"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3828-48B1-8668-461D273473CA}"/>
                </c:ext>
              </c:extLst>
            </c:dLbl>
            <c:dLbl>
              <c:idx val="4"/>
              <c:tx>
                <c:rich>
                  <a:bodyPr/>
                  <a:lstStyle/>
                  <a:p>
                    <a:fld id="{3C783AA6-CAD9-4B1E-9D52-53F7C41ABEA7}"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3828-48B1-8668-461D273473CA}"/>
                </c:ext>
              </c:extLst>
            </c:dLbl>
            <c:dLbl>
              <c:idx val="5"/>
              <c:tx>
                <c:rich>
                  <a:bodyPr/>
                  <a:lstStyle/>
                  <a:p>
                    <a:fld id="{7E080D18-F5AB-4102-A646-1E20AE55A0D0}"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3828-48B1-8668-461D273473CA}"/>
                </c:ext>
              </c:extLst>
            </c:dLbl>
            <c:dLbl>
              <c:idx val="6"/>
              <c:tx>
                <c:rich>
                  <a:bodyPr/>
                  <a:lstStyle/>
                  <a:p>
                    <a:fld id="{AC08DCEE-7544-4C1A-A574-6379519B1179}"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3828-48B1-8668-461D273473CA}"/>
                </c:ext>
              </c:extLst>
            </c:dLbl>
            <c:dLbl>
              <c:idx val="7"/>
              <c:tx>
                <c:rich>
                  <a:bodyPr/>
                  <a:lstStyle/>
                  <a:p>
                    <a:fld id="{5547377C-7CE6-4BC2-837A-7524B3235B55}"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3828-48B1-8668-461D273473CA}"/>
                </c:ext>
              </c:extLst>
            </c:dLbl>
            <c:dLbl>
              <c:idx val="8"/>
              <c:tx>
                <c:rich>
                  <a:bodyPr/>
                  <a:lstStyle/>
                  <a:p>
                    <a:fld id="{EEE61FDB-FD00-40F2-9179-E54B9058268A}"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3828-48B1-8668-461D273473CA}"/>
                </c:ext>
              </c:extLst>
            </c:dLbl>
            <c:dLbl>
              <c:idx val="9"/>
              <c:tx>
                <c:rich>
                  <a:bodyPr/>
                  <a:lstStyle/>
                  <a:p>
                    <a:fld id="{6905BCE1-91FE-4F6A-8330-7748121F6305}"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3828-48B1-8668-461D273473CA}"/>
                </c:ext>
              </c:extLst>
            </c:dLbl>
            <c:dLbl>
              <c:idx val="10"/>
              <c:tx>
                <c:rich>
                  <a:bodyPr/>
                  <a:lstStyle/>
                  <a:p>
                    <a:fld id="{0A49BF64-8745-4020-9A6B-A2E993DFF798}"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3828-48B1-8668-461D273473CA}"/>
                </c:ext>
              </c:extLst>
            </c:dLbl>
            <c:dLbl>
              <c:idx val="11"/>
              <c:tx>
                <c:rich>
                  <a:bodyPr/>
                  <a:lstStyle/>
                  <a:p>
                    <a:fld id="{B32806AB-88BA-440F-86E9-3AA1AE03A338}"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3828-48B1-8668-461D273473CA}"/>
                </c:ext>
              </c:extLst>
            </c:dLbl>
            <c:dLbl>
              <c:idx val="12"/>
              <c:tx>
                <c:rich>
                  <a:bodyPr/>
                  <a:lstStyle/>
                  <a:p>
                    <a:fld id="{7BFB2A34-930B-4578-9D1E-3A301BBF9A9D}"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3828-48B1-8668-461D273473CA}"/>
                </c:ext>
              </c:extLst>
            </c:dLbl>
            <c:dLbl>
              <c:idx val="13"/>
              <c:tx>
                <c:rich>
                  <a:bodyPr/>
                  <a:lstStyle/>
                  <a:p>
                    <a:fld id="{A9BF55CB-4C1C-483A-B4F0-7A97D2F70E41}"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3828-48B1-8668-461D273473CA}"/>
                </c:ext>
              </c:extLst>
            </c:dLbl>
            <c:dLbl>
              <c:idx val="14"/>
              <c:tx>
                <c:rich>
                  <a:bodyPr/>
                  <a:lstStyle/>
                  <a:p>
                    <a:fld id="{B99E5D43-B0AB-4321-9B6D-61098E2B883B}"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3828-48B1-8668-461D273473CA}"/>
                </c:ext>
              </c:extLst>
            </c:dLbl>
            <c:dLbl>
              <c:idx val="15"/>
              <c:tx>
                <c:rich>
                  <a:bodyPr/>
                  <a:lstStyle/>
                  <a:p>
                    <a:fld id="{EE2CDDF5-2351-455E-A841-5548D33793EF}"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3828-48B1-8668-461D273473CA}"/>
                </c:ext>
              </c:extLst>
            </c:dLbl>
            <c:dLbl>
              <c:idx val="16"/>
              <c:tx>
                <c:rich>
                  <a:bodyPr/>
                  <a:lstStyle/>
                  <a:p>
                    <a:fld id="{A5001366-88F0-4B64-9B62-59D786E25067}"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3828-48B1-8668-461D273473CA}"/>
                </c:ext>
              </c:extLst>
            </c:dLbl>
            <c:dLbl>
              <c:idx val="17"/>
              <c:tx>
                <c:rich>
                  <a:bodyPr/>
                  <a:lstStyle/>
                  <a:p>
                    <a:fld id="{734DE76D-04E6-462F-A24B-E6DB2CCF6516}"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3828-48B1-8668-461D273473CA}"/>
                </c:ext>
              </c:extLst>
            </c:dLbl>
            <c:dLbl>
              <c:idx val="18"/>
              <c:tx>
                <c:rich>
                  <a:bodyPr/>
                  <a:lstStyle/>
                  <a:p>
                    <a:fld id="{D284B580-6AFC-475C-9ED8-421DB83CEB3A}"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3828-48B1-8668-461D273473CA}"/>
                </c:ext>
              </c:extLst>
            </c:dLbl>
            <c:dLbl>
              <c:idx val="19"/>
              <c:tx>
                <c:rich>
                  <a:bodyPr/>
                  <a:lstStyle/>
                  <a:p>
                    <a:fld id="{34E1D1FA-D27A-47C5-A6C9-92037983C9A2}"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3828-48B1-8668-461D273473CA}"/>
                </c:ext>
              </c:extLst>
            </c:dLbl>
            <c:dLbl>
              <c:idx val="20"/>
              <c:tx>
                <c:rich>
                  <a:bodyPr/>
                  <a:lstStyle/>
                  <a:p>
                    <a:fld id="{826C018D-D518-4A59-AD0B-CBCF63656CEB}"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3828-48B1-8668-461D273473CA}"/>
                </c:ext>
              </c:extLst>
            </c:dLbl>
            <c:dLbl>
              <c:idx val="21"/>
              <c:tx>
                <c:rich>
                  <a:bodyPr/>
                  <a:lstStyle/>
                  <a:p>
                    <a:fld id="{916214D8-A036-4E72-B6F5-2FE7A6105637}"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3828-48B1-8668-461D273473CA}"/>
                </c:ext>
              </c:extLst>
            </c:dLbl>
            <c:dLbl>
              <c:idx val="22"/>
              <c:tx>
                <c:rich>
                  <a:bodyPr/>
                  <a:lstStyle/>
                  <a:p>
                    <a:fld id="{8B1D5CE6-22DE-411F-987E-3A8653E1B985}"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3828-48B1-8668-461D273473CA}"/>
                </c:ext>
              </c:extLst>
            </c:dLbl>
            <c:dLbl>
              <c:idx val="23"/>
              <c:tx>
                <c:rich>
                  <a:bodyPr/>
                  <a:lstStyle/>
                  <a:p>
                    <a:fld id="{A987E33D-FD6D-4CB5-A77F-12686D69508C}"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3828-48B1-8668-461D273473CA}"/>
                </c:ext>
              </c:extLst>
            </c:dLbl>
            <c:dLbl>
              <c:idx val="24"/>
              <c:tx>
                <c:rich>
                  <a:bodyPr/>
                  <a:lstStyle/>
                  <a:p>
                    <a:fld id="{CAB3DAB7-B961-4072-8AFD-DF80EA6411DC}"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3828-48B1-8668-461D273473CA}"/>
                </c:ext>
              </c:extLst>
            </c:dLbl>
            <c:dLbl>
              <c:idx val="25"/>
              <c:tx>
                <c:rich>
                  <a:bodyPr/>
                  <a:lstStyle/>
                  <a:p>
                    <a:fld id="{A8647A9D-82DF-4457-84F7-092C37A3EB4B}"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3828-48B1-8668-461D273473CA}"/>
                </c:ext>
              </c:extLst>
            </c:dLbl>
            <c:dLbl>
              <c:idx val="26"/>
              <c:tx>
                <c:rich>
                  <a:bodyPr/>
                  <a:lstStyle/>
                  <a:p>
                    <a:fld id="{CD2B90B2-7D2C-4B39-8D69-115E2706627C}"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3828-48B1-8668-461D273473CA}"/>
                </c:ext>
              </c:extLst>
            </c:dLbl>
            <c:dLbl>
              <c:idx val="27"/>
              <c:tx>
                <c:rich>
                  <a:bodyPr/>
                  <a:lstStyle/>
                  <a:p>
                    <a:fld id="{FD51F6CA-40F0-4D4B-B246-672E2523B52B}"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3828-48B1-8668-461D273473CA}"/>
                </c:ext>
              </c:extLst>
            </c:dLbl>
            <c:dLbl>
              <c:idx val="28"/>
              <c:tx>
                <c:rich>
                  <a:bodyPr/>
                  <a:lstStyle/>
                  <a:p>
                    <a:fld id="{0B5D6471-A043-49F6-88F1-243F7E06B7A0}"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3828-48B1-8668-461D273473CA}"/>
                </c:ext>
              </c:extLst>
            </c:dLbl>
            <c:dLbl>
              <c:idx val="29"/>
              <c:tx>
                <c:rich>
                  <a:bodyPr/>
                  <a:lstStyle/>
                  <a:p>
                    <a:fld id="{F5567775-ECBD-44A6-9706-BD8076712F4E}"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3828-48B1-8668-461D273473CA}"/>
                </c:ext>
              </c:extLst>
            </c:dLbl>
            <c:dLbl>
              <c:idx val="30"/>
              <c:tx>
                <c:rich>
                  <a:bodyPr/>
                  <a:lstStyle/>
                  <a:p>
                    <a:fld id="{D26FEB4E-1D59-495B-9FBD-4B3F90E574BE}"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3828-48B1-8668-461D273473CA}"/>
                </c:ext>
              </c:extLst>
            </c:dLbl>
            <c:dLbl>
              <c:idx val="31"/>
              <c:tx>
                <c:rich>
                  <a:bodyPr/>
                  <a:lstStyle/>
                  <a:p>
                    <a:fld id="{0F28F547-B6AC-41DD-9DE4-991F43BF6140}"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3828-48B1-8668-461D273473CA}"/>
                </c:ext>
              </c:extLst>
            </c:dLbl>
            <c:dLbl>
              <c:idx val="32"/>
              <c:tx>
                <c:rich>
                  <a:bodyPr/>
                  <a:lstStyle/>
                  <a:p>
                    <a:fld id="{4F52A4D3-AEB8-4E52-84A2-F1B6ACB25600}"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3828-48B1-8668-461D273473CA}"/>
                </c:ext>
              </c:extLst>
            </c:dLbl>
            <c:dLbl>
              <c:idx val="33"/>
              <c:tx>
                <c:rich>
                  <a:bodyPr/>
                  <a:lstStyle/>
                  <a:p>
                    <a:fld id="{EDF1658B-EE14-4007-9DFA-4DC7CE0D1B87}"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3828-48B1-8668-461D273473CA}"/>
                </c:ext>
              </c:extLst>
            </c:dLbl>
            <c:dLbl>
              <c:idx val="34"/>
              <c:tx>
                <c:rich>
                  <a:bodyPr/>
                  <a:lstStyle/>
                  <a:p>
                    <a:fld id="{C80B89D0-3E57-4FC5-B059-6280033F54E0}"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3828-48B1-8668-461D273473CA}"/>
                </c:ext>
              </c:extLst>
            </c:dLbl>
            <c:dLbl>
              <c:idx val="35"/>
              <c:tx>
                <c:rich>
                  <a:bodyPr/>
                  <a:lstStyle/>
                  <a:p>
                    <a:fld id="{417EBD75-A531-4FB9-B400-F6198B3D4D1E}"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3828-48B1-8668-461D273473CA}"/>
                </c:ext>
              </c:extLst>
            </c:dLbl>
            <c:dLbl>
              <c:idx val="36"/>
              <c:tx>
                <c:rich>
                  <a:bodyPr/>
                  <a:lstStyle/>
                  <a:p>
                    <a:fld id="{8238FE14-A004-4031-BE98-7E4031F9FA7F}"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3828-48B1-8668-461D273473CA}"/>
                </c:ext>
              </c:extLst>
            </c:dLbl>
            <c:dLbl>
              <c:idx val="37"/>
              <c:tx>
                <c:rich>
                  <a:bodyPr/>
                  <a:lstStyle/>
                  <a:p>
                    <a:fld id="{B2514C92-AAE0-404F-8F62-CF55019D32E5}"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3828-48B1-8668-461D273473CA}"/>
                </c:ext>
              </c:extLst>
            </c:dLbl>
            <c:dLbl>
              <c:idx val="38"/>
              <c:tx>
                <c:rich>
                  <a:bodyPr/>
                  <a:lstStyle/>
                  <a:p>
                    <a:fld id="{B8B6E719-A86F-47E3-B883-94142B45B2DD}"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3828-48B1-8668-461D273473CA}"/>
                </c:ext>
              </c:extLst>
            </c:dLbl>
            <c:dLbl>
              <c:idx val="39"/>
              <c:tx>
                <c:rich>
                  <a:bodyPr/>
                  <a:lstStyle/>
                  <a:p>
                    <a:fld id="{6E7EB84F-5D94-4A84-B3DF-9C60ED2915EB}"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3828-48B1-8668-461D273473CA}"/>
                </c:ext>
              </c:extLst>
            </c:dLbl>
            <c:dLbl>
              <c:idx val="40"/>
              <c:tx>
                <c:rich>
                  <a:bodyPr/>
                  <a:lstStyle/>
                  <a:p>
                    <a:fld id="{4BE11A1A-FADA-4639-B1FD-DB3F689EEEA7}"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3828-48B1-8668-461D273473CA}"/>
                </c:ext>
              </c:extLst>
            </c:dLbl>
            <c:dLbl>
              <c:idx val="41"/>
              <c:tx>
                <c:rich>
                  <a:bodyPr/>
                  <a:lstStyle/>
                  <a:p>
                    <a:fld id="{87EA3DD7-676A-4A0B-8D27-312277848270}"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3828-48B1-8668-461D273473CA}"/>
                </c:ext>
              </c:extLst>
            </c:dLbl>
            <c:dLbl>
              <c:idx val="42"/>
              <c:tx>
                <c:rich>
                  <a:bodyPr/>
                  <a:lstStyle/>
                  <a:p>
                    <a:fld id="{CD5A3941-5414-4692-B44C-E73262DE79E4}"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3828-48B1-8668-461D273473CA}"/>
                </c:ext>
              </c:extLst>
            </c:dLbl>
            <c:dLbl>
              <c:idx val="43"/>
              <c:tx>
                <c:rich>
                  <a:bodyPr/>
                  <a:lstStyle/>
                  <a:p>
                    <a:fld id="{A1C28745-5243-4A74-AEFB-38CF75FD9B71}"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3828-48B1-8668-461D273473CA}"/>
                </c:ext>
              </c:extLst>
            </c:dLbl>
            <c:dLbl>
              <c:idx val="44"/>
              <c:tx>
                <c:rich>
                  <a:bodyPr/>
                  <a:lstStyle/>
                  <a:p>
                    <a:fld id="{880FA355-4C65-42FD-8216-97B0E1CAE39A}"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3828-48B1-8668-461D273473CA}"/>
                </c:ext>
              </c:extLst>
            </c:dLbl>
            <c:dLbl>
              <c:idx val="45"/>
              <c:tx>
                <c:rich>
                  <a:bodyPr/>
                  <a:lstStyle/>
                  <a:p>
                    <a:fld id="{02AAF97E-1A73-4BA8-9B17-9A0BEC670D7E}"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3828-48B1-8668-461D273473CA}"/>
                </c:ext>
              </c:extLst>
            </c:dLbl>
            <c:dLbl>
              <c:idx val="46"/>
              <c:tx>
                <c:rich>
                  <a:bodyPr/>
                  <a:lstStyle/>
                  <a:p>
                    <a:fld id="{BE15C4A9-8052-458D-A793-5C885E4E6502}"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3828-48B1-8668-461D273473CA}"/>
                </c:ext>
              </c:extLst>
            </c:dLbl>
            <c:dLbl>
              <c:idx val="47"/>
              <c:tx>
                <c:rich>
                  <a:bodyPr/>
                  <a:lstStyle/>
                  <a:p>
                    <a:fld id="{10440370-3FC7-43CC-A9E8-3CF8E4246B2C}"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3828-48B1-8668-461D273473CA}"/>
                </c:ext>
              </c:extLst>
            </c:dLbl>
            <c:dLbl>
              <c:idx val="48"/>
              <c:tx>
                <c:rich>
                  <a:bodyPr/>
                  <a:lstStyle/>
                  <a:p>
                    <a:fld id="{4E514EEF-8EC1-4605-B623-B7BB4FDFE807}"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3828-48B1-8668-461D273473CA}"/>
                </c:ext>
              </c:extLst>
            </c:dLbl>
            <c:dLbl>
              <c:idx val="49"/>
              <c:tx>
                <c:rich>
                  <a:bodyPr/>
                  <a:lstStyle/>
                  <a:p>
                    <a:fld id="{56EF207D-096B-47B2-B971-52446DD8D708}"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3828-48B1-8668-461D273473CA}"/>
                </c:ext>
              </c:extLst>
            </c:dLbl>
            <c:dLbl>
              <c:idx val="50"/>
              <c:tx>
                <c:rich>
                  <a:bodyPr/>
                  <a:lstStyle/>
                  <a:p>
                    <a:fld id="{30AC6C06-5213-44E7-A4AA-482468FD95F2}"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3828-48B1-8668-461D273473CA}"/>
                </c:ext>
              </c:extLst>
            </c:dLbl>
            <c:dLbl>
              <c:idx val="51"/>
              <c:tx>
                <c:rich>
                  <a:bodyPr/>
                  <a:lstStyle/>
                  <a:p>
                    <a:fld id="{80B69055-8F98-40E6-A40E-81713A77ECCC}"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3828-48B1-8668-461D273473CA}"/>
                </c:ext>
              </c:extLst>
            </c:dLbl>
            <c:dLbl>
              <c:idx val="52"/>
              <c:tx>
                <c:rich>
                  <a:bodyPr/>
                  <a:lstStyle/>
                  <a:p>
                    <a:fld id="{AF49BAD7-20DF-4FBB-BADC-49E066E8A5AF}"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3828-48B1-8668-461D273473CA}"/>
                </c:ext>
              </c:extLst>
            </c:dLbl>
            <c:dLbl>
              <c:idx val="53"/>
              <c:tx>
                <c:rich>
                  <a:bodyPr/>
                  <a:lstStyle/>
                  <a:p>
                    <a:fld id="{477BB113-F3D8-4617-ACF2-78E31C818F69}"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3828-48B1-8668-461D273473CA}"/>
                </c:ext>
              </c:extLst>
            </c:dLbl>
            <c:dLbl>
              <c:idx val="54"/>
              <c:tx>
                <c:rich>
                  <a:bodyPr/>
                  <a:lstStyle/>
                  <a:p>
                    <a:fld id="{0D63C9B7-C727-406F-950D-762F575920DD}"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3828-48B1-8668-461D273473CA}"/>
                </c:ext>
              </c:extLst>
            </c:dLbl>
            <c:dLbl>
              <c:idx val="55"/>
              <c:tx>
                <c:rich>
                  <a:bodyPr/>
                  <a:lstStyle/>
                  <a:p>
                    <a:fld id="{3F3ABB66-B239-41AE-9D80-30921BABA68A}"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3828-48B1-8668-461D273473CA}"/>
                </c:ext>
              </c:extLst>
            </c:dLbl>
            <c:dLbl>
              <c:idx val="56"/>
              <c:tx>
                <c:rich>
                  <a:bodyPr/>
                  <a:lstStyle/>
                  <a:p>
                    <a:fld id="{46A918D4-0FBC-4E90-9CF7-06B1376116A2}"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3828-48B1-8668-461D273473CA}"/>
                </c:ext>
              </c:extLst>
            </c:dLbl>
            <c:dLbl>
              <c:idx val="57"/>
              <c:tx>
                <c:rich>
                  <a:bodyPr/>
                  <a:lstStyle/>
                  <a:p>
                    <a:fld id="{94D0F153-403B-4015-B4CF-A6D737FFFCFA}"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3828-48B1-8668-461D273473CA}"/>
                </c:ext>
              </c:extLst>
            </c:dLbl>
            <c:dLbl>
              <c:idx val="58"/>
              <c:tx>
                <c:rich>
                  <a:bodyPr/>
                  <a:lstStyle/>
                  <a:p>
                    <a:fld id="{0CCE20D0-81C1-4342-A42B-ED4B26BBAAC1}"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A-3828-48B1-8668-461D273473CA}"/>
                </c:ext>
              </c:extLst>
            </c:dLbl>
            <c:dLbl>
              <c:idx val="59"/>
              <c:tx>
                <c:rich>
                  <a:bodyPr/>
                  <a:lstStyle/>
                  <a:p>
                    <a:fld id="{05B830F4-67D6-4C66-817B-4A15B815D538}"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3828-48B1-8668-461D273473CA}"/>
                </c:ext>
              </c:extLst>
            </c:dLbl>
            <c:dLbl>
              <c:idx val="60"/>
              <c:tx>
                <c:rich>
                  <a:bodyPr/>
                  <a:lstStyle/>
                  <a:p>
                    <a:fld id="{D907F46A-ADF6-4717-BCDD-068B5F751C7F}"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3828-48B1-8668-461D273473CA}"/>
                </c:ext>
              </c:extLst>
            </c:dLbl>
            <c:dLbl>
              <c:idx val="61"/>
              <c:tx>
                <c:rich>
                  <a:bodyPr/>
                  <a:lstStyle/>
                  <a:p>
                    <a:fld id="{69266A54-8703-458C-B9F2-9EE22FADFB20}"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3828-48B1-8668-461D273473CA}"/>
                </c:ext>
              </c:extLst>
            </c:dLbl>
            <c:dLbl>
              <c:idx val="62"/>
              <c:tx>
                <c:rich>
                  <a:bodyPr/>
                  <a:lstStyle/>
                  <a:p>
                    <a:fld id="{493FCCF1-621B-4033-BC50-0B964AD3784D}"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3828-48B1-8668-461D273473CA}"/>
                </c:ext>
              </c:extLst>
            </c:dLbl>
            <c:dLbl>
              <c:idx val="63"/>
              <c:tx>
                <c:rich>
                  <a:bodyPr/>
                  <a:lstStyle/>
                  <a:p>
                    <a:fld id="{468201B1-F664-4757-8932-5737D8477CDD}"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3828-48B1-8668-461D273473CA}"/>
                </c:ext>
              </c:extLst>
            </c:dLbl>
            <c:dLbl>
              <c:idx val="64"/>
              <c:tx>
                <c:rich>
                  <a:bodyPr/>
                  <a:lstStyle/>
                  <a:p>
                    <a:fld id="{6EE4B4E8-743E-4B09-B41A-2977DD7F1FBD}"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0-3828-48B1-8668-461D273473CA}"/>
                </c:ext>
              </c:extLst>
            </c:dLbl>
            <c:dLbl>
              <c:idx val="65"/>
              <c:tx>
                <c:rich>
                  <a:bodyPr/>
                  <a:lstStyle/>
                  <a:p>
                    <a:fld id="{4420A96F-BA34-4302-8D8D-2C9C1BAFC50F}"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1-3828-48B1-8668-461D273473CA}"/>
                </c:ext>
              </c:extLst>
            </c:dLbl>
            <c:dLbl>
              <c:idx val="66"/>
              <c:tx>
                <c:rich>
                  <a:bodyPr/>
                  <a:lstStyle/>
                  <a:p>
                    <a:fld id="{E58A16BE-EF7B-43E2-ACC5-CF575C5FC7CB}"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3828-48B1-8668-461D273473CA}"/>
                </c:ext>
              </c:extLst>
            </c:dLbl>
            <c:dLbl>
              <c:idx val="67"/>
              <c:tx>
                <c:rich>
                  <a:bodyPr/>
                  <a:lstStyle/>
                  <a:p>
                    <a:fld id="{1D9F411C-CB7B-4E4F-BC18-F7B4B0359D0B}"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3-3828-48B1-8668-461D273473CA}"/>
                </c:ext>
              </c:extLst>
            </c:dLbl>
            <c:dLbl>
              <c:idx val="68"/>
              <c:tx>
                <c:rich>
                  <a:bodyPr/>
                  <a:lstStyle/>
                  <a:p>
                    <a:fld id="{28E2A9A2-B595-4B02-AE48-B8EC2D78FFF2}"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4-3828-48B1-8668-461D273473CA}"/>
                </c:ext>
              </c:extLst>
            </c:dLbl>
            <c:dLbl>
              <c:idx val="69"/>
              <c:tx>
                <c:rich>
                  <a:bodyPr/>
                  <a:lstStyle/>
                  <a:p>
                    <a:fld id="{A06B479D-09F5-4DF7-BF8D-5181C044C9C4}"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5-3828-48B1-8668-461D273473CA}"/>
                </c:ext>
              </c:extLst>
            </c:dLbl>
            <c:dLbl>
              <c:idx val="70"/>
              <c:tx>
                <c:rich>
                  <a:bodyPr/>
                  <a:lstStyle/>
                  <a:p>
                    <a:fld id="{3ED3EBAC-CFE9-4A12-842D-D39BBDCDA334}"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6-3828-48B1-8668-461D273473CA}"/>
                </c:ext>
              </c:extLst>
            </c:dLbl>
            <c:dLbl>
              <c:idx val="71"/>
              <c:tx>
                <c:rich>
                  <a:bodyPr/>
                  <a:lstStyle/>
                  <a:p>
                    <a:fld id="{D3AD4B9E-B669-4F5E-AE81-8A05E31E3CB9}"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7-3828-48B1-8668-461D273473CA}"/>
                </c:ext>
              </c:extLst>
            </c:dLbl>
            <c:dLbl>
              <c:idx val="72"/>
              <c:tx>
                <c:rich>
                  <a:bodyPr/>
                  <a:lstStyle/>
                  <a:p>
                    <a:fld id="{C6BA0107-51E9-45A9-BC82-DF7068DA9F4F}"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8-3828-48B1-8668-461D273473CA}"/>
                </c:ext>
              </c:extLst>
            </c:dLbl>
            <c:dLbl>
              <c:idx val="73"/>
              <c:tx>
                <c:rich>
                  <a:bodyPr/>
                  <a:lstStyle/>
                  <a:p>
                    <a:fld id="{C20D1DB4-A31F-4382-9825-D8D6972794F3}"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9-3828-48B1-8668-461D273473CA}"/>
                </c:ext>
              </c:extLst>
            </c:dLbl>
            <c:dLbl>
              <c:idx val="74"/>
              <c:tx>
                <c:rich>
                  <a:bodyPr/>
                  <a:lstStyle/>
                  <a:p>
                    <a:fld id="{57CE6CEE-4C3A-467E-87C8-3ECF5E3C731C}"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A-3828-48B1-8668-461D273473CA}"/>
                </c:ext>
              </c:extLst>
            </c:dLbl>
            <c:dLbl>
              <c:idx val="75"/>
              <c:tx>
                <c:rich>
                  <a:bodyPr/>
                  <a:lstStyle/>
                  <a:p>
                    <a:fld id="{C728FF53-D8DF-4917-B029-C4C66CB0AE9D}"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B-3828-48B1-8668-461D273473CA}"/>
                </c:ext>
              </c:extLst>
            </c:dLbl>
            <c:dLbl>
              <c:idx val="76"/>
              <c:tx>
                <c:rich>
                  <a:bodyPr/>
                  <a:lstStyle/>
                  <a:p>
                    <a:fld id="{7D6B93D1-1785-4F9F-9FFB-4E8257AA3790}"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C-3828-48B1-8668-461D273473CA}"/>
                </c:ext>
              </c:extLst>
            </c:dLbl>
            <c:dLbl>
              <c:idx val="77"/>
              <c:tx>
                <c:rich>
                  <a:bodyPr/>
                  <a:lstStyle/>
                  <a:p>
                    <a:fld id="{7A49C3EA-63E4-4421-A489-B67A610B5C81}"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D-3828-48B1-8668-461D273473CA}"/>
                </c:ext>
              </c:extLst>
            </c:dLbl>
            <c:dLbl>
              <c:idx val="78"/>
              <c:tx>
                <c:rich>
                  <a:bodyPr/>
                  <a:lstStyle/>
                  <a:p>
                    <a:fld id="{73BADB3A-F068-4A74-9154-6AA69E752451}"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E-3828-48B1-8668-461D273473CA}"/>
                </c:ext>
              </c:extLst>
            </c:dLbl>
            <c:dLbl>
              <c:idx val="79"/>
              <c:tx>
                <c:rich>
                  <a:bodyPr/>
                  <a:lstStyle/>
                  <a:p>
                    <a:fld id="{734C2226-8229-4C9A-9332-1A12DB429CB9}"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F-3828-48B1-8668-461D273473CA}"/>
                </c:ext>
              </c:extLst>
            </c:dLbl>
            <c:dLbl>
              <c:idx val="80"/>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0-3828-48B1-8668-461D273473CA}"/>
                </c:ext>
              </c:extLst>
            </c:dLbl>
            <c:dLbl>
              <c:idx val="81"/>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1-3828-48B1-8668-461D273473CA}"/>
                </c:ext>
              </c:extLst>
            </c:dLbl>
            <c:dLbl>
              <c:idx val="82"/>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2-3828-48B1-8668-461D273473CA}"/>
                </c:ext>
              </c:extLst>
            </c:dLbl>
            <c:dLbl>
              <c:idx val="83"/>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3-3828-48B1-8668-461D273473CA}"/>
                </c:ext>
              </c:extLst>
            </c:dLbl>
            <c:dLbl>
              <c:idx val="84"/>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4-3828-48B1-8668-461D273473CA}"/>
                </c:ext>
              </c:extLst>
            </c:dLbl>
            <c:dLbl>
              <c:idx val="85"/>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5-3828-48B1-8668-461D273473CA}"/>
                </c:ext>
              </c:extLst>
            </c:dLbl>
            <c:dLbl>
              <c:idx val="86"/>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6-3828-48B1-8668-461D273473CA}"/>
                </c:ext>
              </c:extLst>
            </c:dLbl>
            <c:dLbl>
              <c:idx val="87"/>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7-3828-48B1-8668-461D273473CA}"/>
                </c:ext>
              </c:extLst>
            </c:dLbl>
            <c:dLbl>
              <c:idx val="88"/>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8-3828-48B1-8668-461D273473CA}"/>
                </c:ext>
              </c:extLst>
            </c:dLbl>
            <c:dLbl>
              <c:idx val="89"/>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9-3828-48B1-8668-461D273473CA}"/>
                </c:ext>
              </c:extLst>
            </c:dLbl>
            <c:dLbl>
              <c:idx val="90"/>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A-3828-48B1-8668-461D273473CA}"/>
                </c:ext>
              </c:extLst>
            </c:dLbl>
            <c:dLbl>
              <c:idx val="91"/>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B-3828-48B1-8668-461D273473CA}"/>
                </c:ext>
              </c:extLst>
            </c:dLbl>
            <c:dLbl>
              <c:idx val="92"/>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C-3828-48B1-8668-461D273473CA}"/>
                </c:ext>
              </c:extLst>
            </c:dLbl>
            <c:dLbl>
              <c:idx val="93"/>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D-3828-48B1-8668-461D273473CA}"/>
                </c:ext>
              </c:extLst>
            </c:dLbl>
            <c:spPr>
              <a:noFill/>
              <a:ln>
                <a:noFill/>
              </a:ln>
              <a:effectLst/>
            </c:spPr>
            <c:txPr>
              <a:bodyPr wrap="square" lIns="38100" tIns="19050" rIns="38100" bIns="19050" anchor="ctr">
                <a:spAutoFit/>
              </a:bodyPr>
              <a:lstStyle/>
              <a:p>
                <a:pPr>
                  <a:defRPr sz="1000" baseline="0">
                    <a:solidFill>
                      <a:schemeClr val="bg1">
                        <a:lumMod val="75000"/>
                      </a:schemeClr>
                    </a:solidFill>
                  </a:defRPr>
                </a:pPr>
                <a:endParaRPr lang="fr-FR"/>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trendline>
            <c:spPr>
              <a:ln w="38100">
                <a:solidFill>
                  <a:srgbClr val="000000"/>
                </a:solidFill>
                <a:prstDash val="sysDash"/>
              </a:ln>
            </c:spPr>
            <c:trendlineType val="linear"/>
            <c:dispRSqr val="0"/>
            <c:dispEq val="0"/>
          </c:trendline>
          <c:trendline>
            <c:trendlineType val="linear"/>
            <c:dispRSqr val="0"/>
            <c:dispEq val="0"/>
          </c:trendline>
          <c:xVal>
            <c:numRef>
              <c:f>Roger!$F$63:$F$156</c:f>
              <c:numCache>
                <c:formatCode>General</c:formatCode>
                <c:ptCount val="94"/>
                <c:pt idx="0">
                  <c:v>8.9719999999999995</c:v>
                </c:pt>
                <c:pt idx="1">
                  <c:v>12.618</c:v>
                </c:pt>
                <c:pt idx="2">
                  <c:v>9.6913</c:v>
                </c:pt>
                <c:pt idx="3">
                  <c:v>13.593999999999999</c:v>
                </c:pt>
                <c:pt idx="4">
                  <c:v>8.8520000000000003</c:v>
                </c:pt>
                <c:pt idx="5">
                  <c:v>11.365</c:v>
                </c:pt>
                <c:pt idx="6">
                  <c:v>10.137</c:v>
                </c:pt>
                <c:pt idx="7">
                  <c:v>11.683</c:v>
                </c:pt>
                <c:pt idx="8">
                  <c:v>12.449</c:v>
                </c:pt>
                <c:pt idx="9">
                  <c:v>9.9460999999999995</c:v>
                </c:pt>
                <c:pt idx="10">
                  <c:v>12.994999999999999</c:v>
                </c:pt>
                <c:pt idx="11">
                  <c:v>12.914999999999999</c:v>
                </c:pt>
                <c:pt idx="12">
                  <c:v>11.79</c:v>
                </c:pt>
                <c:pt idx="13">
                  <c:v>11.542</c:v>
                </c:pt>
                <c:pt idx="14">
                  <c:v>9.2951999999999995</c:v>
                </c:pt>
                <c:pt idx="15">
                  <c:v>10.497999999999999</c:v>
                </c:pt>
                <c:pt idx="16">
                  <c:v>9.7220999999999993</c:v>
                </c:pt>
                <c:pt idx="17">
                  <c:v>8.6181999999999999</c:v>
                </c:pt>
                <c:pt idx="18">
                  <c:v>12.311</c:v>
                </c:pt>
                <c:pt idx="19">
                  <c:v>10.032999999999999</c:v>
                </c:pt>
                <c:pt idx="20">
                  <c:v>10.943</c:v>
                </c:pt>
                <c:pt idx="21">
                  <c:v>14.428000000000001</c:v>
                </c:pt>
                <c:pt idx="22">
                  <c:v>12.936</c:v>
                </c:pt>
                <c:pt idx="23">
                  <c:v>9.5244</c:v>
                </c:pt>
                <c:pt idx="24">
                  <c:v>12.696</c:v>
                </c:pt>
                <c:pt idx="25">
                  <c:v>9.9222999999999999</c:v>
                </c:pt>
                <c:pt idx="26">
                  <c:v>10.887</c:v>
                </c:pt>
                <c:pt idx="27">
                  <c:v>12.988</c:v>
                </c:pt>
                <c:pt idx="28">
                  <c:v>10.747</c:v>
                </c:pt>
                <c:pt idx="29">
                  <c:v>14.032</c:v>
                </c:pt>
                <c:pt idx="30">
                  <c:v>12.71</c:v>
                </c:pt>
                <c:pt idx="31">
                  <c:v>11.499000000000001</c:v>
                </c:pt>
                <c:pt idx="32">
                  <c:v>10.433</c:v>
                </c:pt>
                <c:pt idx="33">
                  <c:v>11.843</c:v>
                </c:pt>
                <c:pt idx="34">
                  <c:v>11.361000000000001</c:v>
                </c:pt>
                <c:pt idx="35">
                  <c:v>6.8712999999999997</c:v>
                </c:pt>
                <c:pt idx="36">
                  <c:v>9.5594999999999999</c:v>
                </c:pt>
                <c:pt idx="37">
                  <c:v>10.603999999999999</c:v>
                </c:pt>
                <c:pt idx="38">
                  <c:v>12.199</c:v>
                </c:pt>
                <c:pt idx="39">
                  <c:v>10.677</c:v>
                </c:pt>
                <c:pt idx="40">
                  <c:v>11.662000000000001</c:v>
                </c:pt>
                <c:pt idx="41">
                  <c:v>12.010999999999999</c:v>
                </c:pt>
                <c:pt idx="42">
                  <c:v>12.246</c:v>
                </c:pt>
                <c:pt idx="43">
                  <c:v>11.038</c:v>
                </c:pt>
                <c:pt idx="44">
                  <c:v>12.083</c:v>
                </c:pt>
                <c:pt idx="45">
                  <c:v>11.944000000000001</c:v>
                </c:pt>
                <c:pt idx="46">
                  <c:v>11.478</c:v>
                </c:pt>
                <c:pt idx="47">
                  <c:v>10.53</c:v>
                </c:pt>
                <c:pt idx="48">
                  <c:v>11.926</c:v>
                </c:pt>
                <c:pt idx="49">
                  <c:v>11.099</c:v>
                </c:pt>
                <c:pt idx="50">
                  <c:v>11.1</c:v>
                </c:pt>
                <c:pt idx="51">
                  <c:v>12.074999999999999</c:v>
                </c:pt>
                <c:pt idx="52">
                  <c:v>11.266999999999999</c:v>
                </c:pt>
                <c:pt idx="53">
                  <c:v>9.6456</c:v>
                </c:pt>
                <c:pt idx="54">
                  <c:v>14.494</c:v>
                </c:pt>
                <c:pt idx="55">
                  <c:v>9.6295000000000002</c:v>
                </c:pt>
                <c:pt idx="56">
                  <c:v>9.1734000000000009</c:v>
                </c:pt>
                <c:pt idx="57">
                  <c:v>9.1727000000000007</c:v>
                </c:pt>
                <c:pt idx="58">
                  <c:v>13.007</c:v>
                </c:pt>
                <c:pt idx="59">
                  <c:v>9.4025999999999996</c:v>
                </c:pt>
                <c:pt idx="60">
                  <c:v>14.170999999999999</c:v>
                </c:pt>
                <c:pt idx="61">
                  <c:v>11.164999999999999</c:v>
                </c:pt>
                <c:pt idx="62">
                  <c:v>12.074999999999999</c:v>
                </c:pt>
                <c:pt idx="63">
                  <c:v>12.359</c:v>
                </c:pt>
                <c:pt idx="64">
                  <c:v>13.492000000000001</c:v>
                </c:pt>
                <c:pt idx="65">
                  <c:v>13.025</c:v>
                </c:pt>
                <c:pt idx="66">
                  <c:v>13.596</c:v>
                </c:pt>
                <c:pt idx="67">
                  <c:v>11.929</c:v>
                </c:pt>
                <c:pt idx="68">
                  <c:v>13.8</c:v>
                </c:pt>
                <c:pt idx="69">
                  <c:v>11.558999999999999</c:v>
                </c:pt>
                <c:pt idx="70">
                  <c:v>12.736000000000001</c:v>
                </c:pt>
                <c:pt idx="71">
                  <c:v>14.246</c:v>
                </c:pt>
                <c:pt idx="72">
                  <c:v>13.307</c:v>
                </c:pt>
                <c:pt idx="73">
                  <c:v>13.359</c:v>
                </c:pt>
                <c:pt idx="74">
                  <c:v>14.613</c:v>
                </c:pt>
                <c:pt idx="75">
                  <c:v>11.773</c:v>
                </c:pt>
                <c:pt idx="76">
                  <c:v>12.052</c:v>
                </c:pt>
                <c:pt idx="77">
                  <c:v>13.778</c:v>
                </c:pt>
                <c:pt idx="78">
                  <c:v>12.62</c:v>
                </c:pt>
                <c:pt idx="79">
                  <c:v>16.427</c:v>
                </c:pt>
              </c:numCache>
            </c:numRef>
          </c:xVal>
          <c:yVal>
            <c:numRef>
              <c:f>Roger!$D$63:$D$156</c:f>
              <c:numCache>
                <c:formatCode>General</c:formatCode>
                <c:ptCount val="94"/>
                <c:pt idx="0">
                  <c:v>9.9399996000000002</c:v>
                </c:pt>
                <c:pt idx="1">
                  <c:v>10.0200005</c:v>
                </c:pt>
                <c:pt idx="2">
                  <c:v>10</c:v>
                </c:pt>
                <c:pt idx="3">
                  <c:v>10.5</c:v>
                </c:pt>
                <c:pt idx="4">
                  <c:v>10.779999699999999</c:v>
                </c:pt>
                <c:pt idx="5">
                  <c:v>10.449999800000001</c:v>
                </c:pt>
                <c:pt idx="6">
                  <c:v>11.0200005</c:v>
                </c:pt>
                <c:pt idx="7">
                  <c:v>10.800000199999999</c:v>
                </c:pt>
                <c:pt idx="8">
                  <c:v>10.8800001</c:v>
                </c:pt>
                <c:pt idx="9">
                  <c:v>11.0600004</c:v>
                </c:pt>
                <c:pt idx="10">
                  <c:v>11.0900002</c:v>
                </c:pt>
                <c:pt idx="11">
                  <c:v>11.6199999</c:v>
                </c:pt>
                <c:pt idx="12">
                  <c:v>9.9600000000000009</c:v>
                </c:pt>
                <c:pt idx="13">
                  <c:v>9.5</c:v>
                </c:pt>
                <c:pt idx="14">
                  <c:v>9.9899997999999997</c:v>
                </c:pt>
                <c:pt idx="15">
                  <c:v>10.0100002</c:v>
                </c:pt>
                <c:pt idx="16">
                  <c:v>9.8299999000000007</c:v>
                </c:pt>
                <c:pt idx="17">
                  <c:v>9.5699997000000003</c:v>
                </c:pt>
                <c:pt idx="18">
                  <c:v>9.9200000999999993</c:v>
                </c:pt>
                <c:pt idx="19">
                  <c:v>11.670000099999999</c:v>
                </c:pt>
                <c:pt idx="20">
                  <c:v>11.5</c:v>
                </c:pt>
                <c:pt idx="21">
                  <c:v>11.3699999</c:v>
                </c:pt>
                <c:pt idx="22">
                  <c:v>11.5900002</c:v>
                </c:pt>
                <c:pt idx="23">
                  <c:v>9.8800001000000002</c:v>
                </c:pt>
                <c:pt idx="24">
                  <c:v>11.8400002</c:v>
                </c:pt>
                <c:pt idx="25">
                  <c:v>10</c:v>
                </c:pt>
                <c:pt idx="26">
                  <c:v>10.100000400000001</c:v>
                </c:pt>
                <c:pt idx="27">
                  <c:v>11.399999599999999</c:v>
                </c:pt>
                <c:pt idx="28">
                  <c:v>10.279999699999999</c:v>
                </c:pt>
                <c:pt idx="29">
                  <c:v>12.21</c:v>
                </c:pt>
                <c:pt idx="30">
                  <c:v>11.9399996</c:v>
                </c:pt>
                <c:pt idx="31">
                  <c:v>10.3699999</c:v>
                </c:pt>
                <c:pt idx="32">
                  <c:v>10.3800001</c:v>
                </c:pt>
                <c:pt idx="33">
                  <c:v>9.8800001000000002</c:v>
                </c:pt>
                <c:pt idx="34">
                  <c:v>12.079999900000001</c:v>
                </c:pt>
                <c:pt idx="35">
                  <c:v>9.0799999000000007</c:v>
                </c:pt>
                <c:pt idx="36">
                  <c:v>10.800000199999999</c:v>
                </c:pt>
                <c:pt idx="37">
                  <c:v>9.3599996999999995</c:v>
                </c:pt>
                <c:pt idx="38">
                  <c:v>12.449999800000001</c:v>
                </c:pt>
                <c:pt idx="39">
                  <c:v>10.920000099999999</c:v>
                </c:pt>
                <c:pt idx="40">
                  <c:v>10.949999800000001</c:v>
                </c:pt>
                <c:pt idx="41">
                  <c:v>10.9899998</c:v>
                </c:pt>
                <c:pt idx="42">
                  <c:v>11</c:v>
                </c:pt>
                <c:pt idx="43">
                  <c:v>9.9700003000000006</c:v>
                </c:pt>
                <c:pt idx="44">
                  <c:v>12.899999599999999</c:v>
                </c:pt>
                <c:pt idx="45">
                  <c:v>10.529999699999999</c:v>
                </c:pt>
                <c:pt idx="46">
                  <c:v>11.0600004</c:v>
                </c:pt>
                <c:pt idx="47">
                  <c:v>9.1000004000000008</c:v>
                </c:pt>
                <c:pt idx="48">
                  <c:v>8.9700003000000006</c:v>
                </c:pt>
                <c:pt idx="49">
                  <c:v>11.1199999</c:v>
                </c:pt>
                <c:pt idx="50">
                  <c:v>9.2299994999999999</c:v>
                </c:pt>
                <c:pt idx="51">
                  <c:v>11.2299995</c:v>
                </c:pt>
                <c:pt idx="52">
                  <c:v>11.2299995</c:v>
                </c:pt>
                <c:pt idx="53">
                  <c:v>11.2399998</c:v>
                </c:pt>
                <c:pt idx="54">
                  <c:v>12.5600004</c:v>
                </c:pt>
                <c:pt idx="55">
                  <c:v>10.0699997</c:v>
                </c:pt>
                <c:pt idx="56">
                  <c:v>9.9399996000000002</c:v>
                </c:pt>
                <c:pt idx="57">
                  <c:v>10.2399998</c:v>
                </c:pt>
                <c:pt idx="58">
                  <c:v>11.420000099999999</c:v>
                </c:pt>
                <c:pt idx="59">
                  <c:v>10.5</c:v>
                </c:pt>
                <c:pt idx="60">
                  <c:v>13.140000300000001</c:v>
                </c:pt>
                <c:pt idx="61">
                  <c:v>11.699999800000001</c:v>
                </c:pt>
                <c:pt idx="62">
                  <c:v>10.3800001</c:v>
                </c:pt>
                <c:pt idx="63">
                  <c:v>13.350000400000001</c:v>
                </c:pt>
                <c:pt idx="64">
                  <c:v>12.6599998</c:v>
                </c:pt>
                <c:pt idx="65">
                  <c:v>11.9899998</c:v>
                </c:pt>
                <c:pt idx="66">
                  <c:v>12</c:v>
                </c:pt>
                <c:pt idx="67">
                  <c:v>12</c:v>
                </c:pt>
                <c:pt idx="68">
                  <c:v>13.1599998</c:v>
                </c:pt>
                <c:pt idx="69">
                  <c:v>12.170000099999999</c:v>
                </c:pt>
                <c:pt idx="70">
                  <c:v>10.970000300000001</c:v>
                </c:pt>
                <c:pt idx="71">
                  <c:v>12.2600002</c:v>
                </c:pt>
                <c:pt idx="72">
                  <c:v>13.029999699999999</c:v>
                </c:pt>
                <c:pt idx="73">
                  <c:v>12.359999699999999</c:v>
                </c:pt>
                <c:pt idx="74">
                  <c:v>12.399999599999999</c:v>
                </c:pt>
                <c:pt idx="75">
                  <c:v>12.5</c:v>
                </c:pt>
                <c:pt idx="76">
                  <c:v>12.600000400000001</c:v>
                </c:pt>
                <c:pt idx="77">
                  <c:v>12.670000099999999</c:v>
                </c:pt>
                <c:pt idx="78">
                  <c:v>12.699999800000001</c:v>
                </c:pt>
                <c:pt idx="79">
                  <c:v>14.4300003</c:v>
                </c:pt>
              </c:numCache>
            </c:numRef>
          </c:yVal>
          <c:smooth val="0"/>
          <c:extLst>
            <c:ext xmlns:c15="http://schemas.microsoft.com/office/drawing/2012/chart" uri="{02D57815-91ED-43cb-92C2-25804820EDAC}">
              <c15:datalabelsRange>
                <c15:f>Roger!$B$63:$B$142</c15:f>
                <c15:dlblRangeCache>
                  <c:ptCount val="8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15:dlblRangeCache>
              </c15:datalabelsRange>
            </c:ext>
            <c:ext xmlns:c16="http://schemas.microsoft.com/office/drawing/2014/chart" uri="{C3380CC4-5D6E-409C-BE32-E72D297353CC}">
              <c16:uniqueId val="{00000060-3828-48B1-8668-461D273473CA}"/>
            </c:ext>
          </c:extLst>
        </c:ser>
        <c:ser>
          <c:idx val="1"/>
          <c:order val="1"/>
          <c:tx>
            <c:v>45°</c:v>
          </c:tx>
          <c:spPr>
            <a:ln w="25400">
              <a:solidFill>
                <a:srgbClr val="FF0000"/>
              </a:solidFill>
              <a:prstDash val="solid"/>
            </a:ln>
          </c:spPr>
          <c:marker>
            <c:symbol val="none"/>
          </c:marker>
          <c:xVal>
            <c:numRef>
              <c:f>Roger!$E$10:$E$11</c:f>
              <c:numCache>
                <c:formatCode>0.00</c:formatCode>
                <c:ptCount val="2"/>
                <c:pt idx="0">
                  <c:v>6</c:v>
                </c:pt>
                <c:pt idx="1">
                  <c:v>18</c:v>
                </c:pt>
              </c:numCache>
            </c:numRef>
          </c:xVal>
          <c:yVal>
            <c:numRef>
              <c:f>Roger!$E$10:$E$11</c:f>
              <c:numCache>
                <c:formatCode>0.00</c:formatCode>
                <c:ptCount val="2"/>
                <c:pt idx="0">
                  <c:v>6</c:v>
                </c:pt>
                <c:pt idx="1">
                  <c:v>18</c:v>
                </c:pt>
              </c:numCache>
            </c:numRef>
          </c:yVal>
          <c:smooth val="0"/>
          <c:extLst>
            <c:ext xmlns:c16="http://schemas.microsoft.com/office/drawing/2014/chart" uri="{C3380CC4-5D6E-409C-BE32-E72D297353CC}">
              <c16:uniqueId val="{00000061-3828-48B1-8668-461D273473CA}"/>
            </c:ext>
          </c:extLst>
        </c:ser>
        <c:ser>
          <c:idx val="2"/>
          <c:order val="2"/>
          <c:tx>
            <c:v>45°-Bias</c:v>
          </c:tx>
          <c:spPr>
            <a:ln w="38100">
              <a:solidFill>
                <a:srgbClr val="0000FF"/>
              </a:solidFill>
              <a:prstDash val="lgDashDotDot"/>
            </a:ln>
          </c:spPr>
          <c:marker>
            <c:symbol val="none"/>
          </c:marker>
          <c:xVal>
            <c:numRef>
              <c:f>Roger!$W$10:$W$11</c:f>
              <c:numCache>
                <c:formatCode>0.00</c:formatCode>
                <c:ptCount val="2"/>
                <c:pt idx="0">
                  <c:v>6.5524150199999998</c:v>
                </c:pt>
                <c:pt idx="1">
                  <c:v>18.552415019999998</c:v>
                </c:pt>
              </c:numCache>
            </c:numRef>
          </c:xVal>
          <c:yVal>
            <c:numRef>
              <c:f>Roger!$E$10:$E$11</c:f>
              <c:numCache>
                <c:formatCode>0.00</c:formatCode>
                <c:ptCount val="2"/>
                <c:pt idx="0">
                  <c:v>6</c:v>
                </c:pt>
                <c:pt idx="1">
                  <c:v>18</c:v>
                </c:pt>
              </c:numCache>
            </c:numRef>
          </c:yVal>
          <c:smooth val="0"/>
          <c:extLst>
            <c:ext xmlns:c16="http://schemas.microsoft.com/office/drawing/2014/chart" uri="{C3380CC4-5D6E-409C-BE32-E72D297353CC}">
              <c16:uniqueId val="{00000062-3828-48B1-8668-461D273473CA}"/>
            </c:ext>
          </c:extLst>
        </c:ser>
        <c:ser>
          <c:idx val="3"/>
          <c:order val="3"/>
          <c:tx>
            <c:v>Least Rec </c:v>
          </c:tx>
          <c:spPr>
            <a:ln w="25400">
              <a:solidFill>
                <a:srgbClr val="FF9900"/>
              </a:solidFill>
              <a:prstDash val="sysDash"/>
            </a:ln>
          </c:spPr>
          <c:marker>
            <c:symbol val="none"/>
          </c:marker>
          <c:xVal>
            <c:numRef>
              <c:f>Roger!$Y$19:$Y$20</c:f>
              <c:numCache>
                <c:formatCode>General</c:formatCode>
                <c:ptCount val="2"/>
                <c:pt idx="0">
                  <c:v>6</c:v>
                </c:pt>
                <c:pt idx="1">
                  <c:v>18</c:v>
                </c:pt>
              </c:numCache>
            </c:numRef>
          </c:xVal>
          <c:yVal>
            <c:numRef>
              <c:f>Roger!$X$19:$X$20</c:f>
              <c:numCache>
                <c:formatCode>0.000</c:formatCode>
                <c:ptCount val="2"/>
                <c:pt idx="0">
                  <c:v>7.1833253204432825</c:v>
                </c:pt>
                <c:pt idx="1">
                  <c:v>15.504555136623962</c:v>
                </c:pt>
              </c:numCache>
            </c:numRef>
          </c:yVal>
          <c:smooth val="0"/>
          <c:extLst>
            <c:ext xmlns:c16="http://schemas.microsoft.com/office/drawing/2014/chart" uri="{C3380CC4-5D6E-409C-BE32-E72D297353CC}">
              <c16:uniqueId val="{00000063-3828-48B1-8668-461D273473CA}"/>
            </c:ext>
          </c:extLst>
        </c:ser>
        <c:dLbls>
          <c:showLegendKey val="0"/>
          <c:showVal val="0"/>
          <c:showCatName val="0"/>
          <c:showSerName val="0"/>
          <c:showPercent val="0"/>
          <c:showBubbleSize val="0"/>
        </c:dLbls>
        <c:axId val="159636864"/>
        <c:axId val="201328128"/>
      </c:scatterChart>
      <c:valAx>
        <c:axId val="159636864"/>
        <c:scaling>
          <c:orientation val="minMax"/>
          <c:max val="18"/>
          <c:min val="8"/>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775" b="0" i="0" u="none" strike="noStrike" baseline="0">
                <a:solidFill>
                  <a:srgbClr val="000000"/>
                </a:solidFill>
                <a:latin typeface="Arial"/>
                <a:ea typeface="Arial"/>
                <a:cs typeface="Arial"/>
              </a:defRPr>
            </a:pPr>
            <a:endParaRPr lang="fr-FR"/>
          </a:p>
        </c:txPr>
        <c:crossAx val="201328128"/>
        <c:crosses val="autoZero"/>
        <c:crossBetween val="midCat"/>
      </c:valAx>
      <c:valAx>
        <c:axId val="201328128"/>
        <c:scaling>
          <c:orientation val="minMax"/>
          <c:min val="8"/>
        </c:scaling>
        <c:delete val="0"/>
        <c:axPos val="l"/>
        <c:numFmt formatCode="General" sourceLinked="1"/>
        <c:majorTickMark val="out"/>
        <c:minorTickMark val="none"/>
        <c:tickLblPos val="nextTo"/>
        <c:spPr>
          <a:ln w="3175">
            <a:solidFill>
              <a:srgbClr val="000000"/>
            </a:solidFill>
            <a:prstDash val="solid"/>
          </a:ln>
        </c:spPr>
        <c:txPr>
          <a:bodyPr rot="0" vert="horz"/>
          <a:lstStyle/>
          <a:p>
            <a:pPr>
              <a:defRPr sz="1775" b="0" i="0" u="none" strike="noStrike" baseline="0">
                <a:solidFill>
                  <a:srgbClr val="000000"/>
                </a:solidFill>
                <a:latin typeface="Arial"/>
                <a:ea typeface="Arial"/>
                <a:cs typeface="Arial"/>
              </a:defRPr>
            </a:pPr>
            <a:endParaRPr lang="fr-FR"/>
          </a:p>
        </c:txPr>
        <c:crossAx val="159636864"/>
        <c:crosses val="autoZero"/>
        <c:crossBetween val="midCat"/>
      </c:valAx>
      <c:spPr>
        <a:noFill/>
        <a:ln w="12700">
          <a:solidFill>
            <a:srgbClr val="808080"/>
          </a:solidFill>
          <a:prstDash val="solid"/>
        </a:ln>
      </c:spPr>
    </c:plotArea>
    <c:legend>
      <c:legendPos val="r"/>
      <c:legendEntry>
        <c:idx val="5"/>
        <c:delete val="1"/>
      </c:legendEntry>
      <c:layout>
        <c:manualLayout>
          <c:xMode val="edge"/>
          <c:yMode val="edge"/>
          <c:x val="0.79767434134024384"/>
          <c:y val="0.33862478127734036"/>
          <c:w val="0.15397255752001976"/>
          <c:h val="0.2372110830586843"/>
        </c:manualLayout>
      </c:layout>
      <c:overlay val="0"/>
      <c:spPr>
        <a:solidFill>
          <a:srgbClr val="FFFFFF"/>
        </a:solidFill>
        <a:ln w="3175">
          <a:solidFill>
            <a:srgbClr val="000000"/>
          </a:solidFill>
          <a:prstDash val="solid"/>
        </a:ln>
      </c:spPr>
      <c:txPr>
        <a:bodyPr/>
        <a:lstStyle/>
        <a:p>
          <a:pPr>
            <a:defRPr sz="1350" b="1" i="0" u="none" strike="noStrike" baseline="0">
              <a:solidFill>
                <a:srgbClr val="000000"/>
              </a:solidFill>
              <a:latin typeface="Arial"/>
              <a:ea typeface="Arial"/>
              <a:cs typeface="Arial"/>
            </a:defRPr>
          </a:pPr>
          <a:endParaRPr lang="fr-FR"/>
        </a:p>
      </c:txPr>
    </c:legend>
    <c:plotVisOnly val="1"/>
    <c:dispBlanksAs val="gap"/>
    <c:showDLblsOverMax val="0"/>
  </c:chart>
  <c:spPr>
    <a:solidFill>
      <a:srgbClr val="FFFFFF"/>
    </a:solidFill>
    <a:ln w="25400">
      <a:solidFill>
        <a:srgbClr val="000000"/>
      </a:solidFill>
      <a:prstDash val="solid"/>
    </a:ln>
  </c:spPr>
  <c:txPr>
    <a:bodyPr/>
    <a:lstStyle/>
    <a:p>
      <a:pPr>
        <a:defRPr sz="1775" b="0" i="0" u="none" strike="noStrike" baseline="0">
          <a:solidFill>
            <a:srgbClr val="000000"/>
          </a:solidFill>
          <a:latin typeface="Arial"/>
          <a:ea typeface="Arial"/>
          <a:cs typeface="Arial"/>
        </a:defRPr>
      </a:pPr>
      <a:endParaRPr lang="fr-FR"/>
    </a:p>
  </c:txPr>
  <c:printSettings>
    <c:headerFooter alignWithMargins="0"/>
    <c:pageMargins b="1" l="0.75000000000000377" r="0.75000000000000377" t="1" header="0.5" footer="0.5"/>
    <c:pageSetup paperSize="9" orientation="landscape"/>
  </c:printSettings>
  <c:userShapes r:id="rId1"/>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400" baseline="0"/>
              <a:t>Residuals vs References</a:t>
            </a:r>
          </a:p>
        </c:rich>
      </c:tx>
      <c:layout>
        <c:manualLayout>
          <c:xMode val="edge"/>
          <c:yMode val="edge"/>
          <c:x val="0.56681818181818189"/>
          <c:y val="3.53109202638453E-3"/>
        </c:manualLayout>
      </c:layout>
      <c:overlay val="1"/>
    </c:title>
    <c:autoTitleDeleted val="0"/>
    <c:plotArea>
      <c:layout/>
      <c:scatterChart>
        <c:scatterStyle val="lineMarker"/>
        <c:varyColors val="0"/>
        <c:ser>
          <c:idx val="0"/>
          <c:order val="0"/>
          <c:spPr>
            <a:ln>
              <a:noFill/>
            </a:ln>
          </c:spPr>
          <c:trendline>
            <c:trendlineType val="linear"/>
            <c:dispRSqr val="0"/>
            <c:dispEq val="1"/>
            <c:trendlineLbl>
              <c:layout>
                <c:manualLayout>
                  <c:x val="5.4747515059074582E-2"/>
                  <c:y val="0.43633237847491585"/>
                </c:manualLayout>
              </c:layout>
              <c:numFmt formatCode="General" sourceLinked="0"/>
            </c:trendlineLbl>
          </c:trendline>
          <c:xVal>
            <c:numRef>
              <c:f>Roger!$D$63:$D$156</c:f>
              <c:numCache>
                <c:formatCode>General</c:formatCode>
                <c:ptCount val="94"/>
                <c:pt idx="0">
                  <c:v>9.9399996000000002</c:v>
                </c:pt>
                <c:pt idx="1">
                  <c:v>10.0200005</c:v>
                </c:pt>
                <c:pt idx="2">
                  <c:v>10</c:v>
                </c:pt>
                <c:pt idx="3">
                  <c:v>10.5</c:v>
                </c:pt>
                <c:pt idx="4">
                  <c:v>10.779999699999999</c:v>
                </c:pt>
                <c:pt idx="5">
                  <c:v>10.449999800000001</c:v>
                </c:pt>
                <c:pt idx="6">
                  <c:v>11.0200005</c:v>
                </c:pt>
                <c:pt idx="7">
                  <c:v>10.800000199999999</c:v>
                </c:pt>
                <c:pt idx="8">
                  <c:v>10.8800001</c:v>
                </c:pt>
                <c:pt idx="9">
                  <c:v>11.0600004</c:v>
                </c:pt>
                <c:pt idx="10">
                  <c:v>11.0900002</c:v>
                </c:pt>
                <c:pt idx="11">
                  <c:v>11.6199999</c:v>
                </c:pt>
                <c:pt idx="12">
                  <c:v>9.9600000000000009</c:v>
                </c:pt>
                <c:pt idx="13">
                  <c:v>9.5</c:v>
                </c:pt>
                <c:pt idx="14">
                  <c:v>9.9899997999999997</c:v>
                </c:pt>
                <c:pt idx="15">
                  <c:v>10.0100002</c:v>
                </c:pt>
                <c:pt idx="16">
                  <c:v>9.8299999000000007</c:v>
                </c:pt>
                <c:pt idx="17">
                  <c:v>9.5699997000000003</c:v>
                </c:pt>
                <c:pt idx="18">
                  <c:v>9.9200000999999993</c:v>
                </c:pt>
                <c:pt idx="19">
                  <c:v>11.670000099999999</c:v>
                </c:pt>
                <c:pt idx="20">
                  <c:v>11.5</c:v>
                </c:pt>
                <c:pt idx="21">
                  <c:v>11.3699999</c:v>
                </c:pt>
                <c:pt idx="22">
                  <c:v>11.5900002</c:v>
                </c:pt>
                <c:pt idx="23">
                  <c:v>9.8800001000000002</c:v>
                </c:pt>
                <c:pt idx="24">
                  <c:v>11.8400002</c:v>
                </c:pt>
                <c:pt idx="25">
                  <c:v>10</c:v>
                </c:pt>
                <c:pt idx="26">
                  <c:v>10.100000400000001</c:v>
                </c:pt>
                <c:pt idx="27">
                  <c:v>11.399999599999999</c:v>
                </c:pt>
                <c:pt idx="28">
                  <c:v>10.279999699999999</c:v>
                </c:pt>
                <c:pt idx="29">
                  <c:v>12.21</c:v>
                </c:pt>
                <c:pt idx="30">
                  <c:v>11.9399996</c:v>
                </c:pt>
                <c:pt idx="31">
                  <c:v>10.3699999</c:v>
                </c:pt>
                <c:pt idx="32">
                  <c:v>10.3800001</c:v>
                </c:pt>
                <c:pt idx="33">
                  <c:v>9.8800001000000002</c:v>
                </c:pt>
                <c:pt idx="34">
                  <c:v>12.079999900000001</c:v>
                </c:pt>
                <c:pt idx="35">
                  <c:v>9.0799999000000007</c:v>
                </c:pt>
                <c:pt idx="36">
                  <c:v>10.800000199999999</c:v>
                </c:pt>
                <c:pt idx="37">
                  <c:v>9.3599996999999995</c:v>
                </c:pt>
                <c:pt idx="38">
                  <c:v>12.449999800000001</c:v>
                </c:pt>
                <c:pt idx="39">
                  <c:v>10.920000099999999</c:v>
                </c:pt>
                <c:pt idx="40">
                  <c:v>10.949999800000001</c:v>
                </c:pt>
                <c:pt idx="41">
                  <c:v>10.9899998</c:v>
                </c:pt>
                <c:pt idx="42">
                  <c:v>11</c:v>
                </c:pt>
                <c:pt idx="43">
                  <c:v>9.9700003000000006</c:v>
                </c:pt>
                <c:pt idx="44">
                  <c:v>12.899999599999999</c:v>
                </c:pt>
                <c:pt idx="45">
                  <c:v>10.529999699999999</c:v>
                </c:pt>
                <c:pt idx="46">
                  <c:v>11.0600004</c:v>
                </c:pt>
                <c:pt idx="47">
                  <c:v>9.1000004000000008</c:v>
                </c:pt>
                <c:pt idx="48">
                  <c:v>8.9700003000000006</c:v>
                </c:pt>
                <c:pt idx="49">
                  <c:v>11.1199999</c:v>
                </c:pt>
                <c:pt idx="50">
                  <c:v>9.2299994999999999</c:v>
                </c:pt>
                <c:pt idx="51">
                  <c:v>11.2299995</c:v>
                </c:pt>
                <c:pt idx="52">
                  <c:v>11.2299995</c:v>
                </c:pt>
                <c:pt idx="53">
                  <c:v>11.2399998</c:v>
                </c:pt>
                <c:pt idx="54">
                  <c:v>12.5600004</c:v>
                </c:pt>
                <c:pt idx="55">
                  <c:v>10.0699997</c:v>
                </c:pt>
                <c:pt idx="56">
                  <c:v>9.9399996000000002</c:v>
                </c:pt>
                <c:pt idx="57">
                  <c:v>10.2399998</c:v>
                </c:pt>
                <c:pt idx="58">
                  <c:v>11.420000099999999</c:v>
                </c:pt>
                <c:pt idx="59">
                  <c:v>10.5</c:v>
                </c:pt>
                <c:pt idx="60">
                  <c:v>13.140000300000001</c:v>
                </c:pt>
                <c:pt idx="61">
                  <c:v>11.699999800000001</c:v>
                </c:pt>
                <c:pt idx="62">
                  <c:v>10.3800001</c:v>
                </c:pt>
                <c:pt idx="63">
                  <c:v>13.350000400000001</c:v>
                </c:pt>
                <c:pt idx="64">
                  <c:v>12.6599998</c:v>
                </c:pt>
                <c:pt idx="65">
                  <c:v>11.9899998</c:v>
                </c:pt>
                <c:pt idx="66">
                  <c:v>12</c:v>
                </c:pt>
                <c:pt idx="67">
                  <c:v>12</c:v>
                </c:pt>
                <c:pt idx="68">
                  <c:v>13.1599998</c:v>
                </c:pt>
                <c:pt idx="69">
                  <c:v>12.170000099999999</c:v>
                </c:pt>
                <c:pt idx="70">
                  <c:v>10.970000300000001</c:v>
                </c:pt>
                <c:pt idx="71">
                  <c:v>12.2600002</c:v>
                </c:pt>
                <c:pt idx="72">
                  <c:v>13.029999699999999</c:v>
                </c:pt>
                <c:pt idx="73">
                  <c:v>12.359999699999999</c:v>
                </c:pt>
                <c:pt idx="74">
                  <c:v>12.399999599999999</c:v>
                </c:pt>
                <c:pt idx="75">
                  <c:v>12.5</c:v>
                </c:pt>
                <c:pt idx="76">
                  <c:v>12.600000400000001</c:v>
                </c:pt>
                <c:pt idx="77">
                  <c:v>12.670000099999999</c:v>
                </c:pt>
                <c:pt idx="78">
                  <c:v>12.699999800000001</c:v>
                </c:pt>
                <c:pt idx="79">
                  <c:v>14.4300003</c:v>
                </c:pt>
              </c:numCache>
            </c:numRef>
          </c:xVal>
          <c:yVal>
            <c:numRef>
              <c:f>Roger!$G$63:$G$156</c:f>
              <c:numCache>
                <c:formatCode>0.00</c:formatCode>
                <c:ptCount val="94"/>
                <c:pt idx="0">
                  <c:v>-0.96799960000000063</c:v>
                </c:pt>
                <c:pt idx="1">
                  <c:v>2.5979995000000002</c:v>
                </c:pt>
                <c:pt idx="2">
                  <c:v>-0.30869999999999997</c:v>
                </c:pt>
                <c:pt idx="3">
                  <c:v>3.0939999999999994</c:v>
                </c:pt>
                <c:pt idx="4">
                  <c:v>-1.9279996999999991</c:v>
                </c:pt>
                <c:pt idx="5">
                  <c:v>0.91500019999999971</c:v>
                </c:pt>
                <c:pt idx="6">
                  <c:v>-0.88300049999999963</c:v>
                </c:pt>
                <c:pt idx="7">
                  <c:v>0.88299980000000033</c:v>
                </c:pt>
                <c:pt idx="8">
                  <c:v>1.5689998999999997</c:v>
                </c:pt>
                <c:pt idx="9">
                  <c:v>-1.1139004000000003</c:v>
                </c:pt>
                <c:pt idx="10">
                  <c:v>1.9049997999999988</c:v>
                </c:pt>
                <c:pt idx="11">
                  <c:v>1.2950000999999993</c:v>
                </c:pt>
                <c:pt idx="12">
                  <c:v>1.8299999999999983</c:v>
                </c:pt>
                <c:pt idx="13">
                  <c:v>2.0419999999999998</c:v>
                </c:pt>
                <c:pt idx="14">
                  <c:v>-0.69479980000000019</c:v>
                </c:pt>
                <c:pt idx="15">
                  <c:v>0.48799979999999898</c:v>
                </c:pt>
                <c:pt idx="16">
                  <c:v>-0.10789990000000138</c:v>
                </c:pt>
                <c:pt idx="17">
                  <c:v>-0.95179970000000047</c:v>
                </c:pt>
                <c:pt idx="18">
                  <c:v>2.3909999000000006</c:v>
                </c:pt>
                <c:pt idx="19">
                  <c:v>-1.6370000999999998</c:v>
                </c:pt>
                <c:pt idx="20">
                  <c:v>-0.55700000000000038</c:v>
                </c:pt>
                <c:pt idx="21">
                  <c:v>3.058000100000001</c:v>
                </c:pt>
                <c:pt idx="22">
                  <c:v>1.3459997999999995</c:v>
                </c:pt>
                <c:pt idx="23">
                  <c:v>-0.3556001000000002</c:v>
                </c:pt>
                <c:pt idx="24">
                  <c:v>0.85599979999999931</c:v>
                </c:pt>
                <c:pt idx="25">
                  <c:v>-7.7700000000000102E-2</c:v>
                </c:pt>
                <c:pt idx="26">
                  <c:v>0.78699959999999969</c:v>
                </c:pt>
                <c:pt idx="27">
                  <c:v>1.5880004000000003</c:v>
                </c:pt>
                <c:pt idx="28">
                  <c:v>0.46700030000000048</c:v>
                </c:pt>
                <c:pt idx="29">
                  <c:v>1.8219999999999992</c:v>
                </c:pt>
                <c:pt idx="30">
                  <c:v>0.7700004000000007</c:v>
                </c:pt>
                <c:pt idx="31">
                  <c:v>1.1290001000000007</c:v>
                </c:pt>
                <c:pt idx="32">
                  <c:v>5.2999899999999656E-2</c:v>
                </c:pt>
                <c:pt idx="33">
                  <c:v>1.9629998999999998</c:v>
                </c:pt>
                <c:pt idx="34">
                  <c:v>-0.71899990000000003</c:v>
                </c:pt>
                <c:pt idx="35">
                  <c:v>-2.2086999000000009</c:v>
                </c:pt>
                <c:pt idx="36">
                  <c:v>-1.2405001999999996</c:v>
                </c:pt>
                <c:pt idx="37">
                  <c:v>1.2440002999999997</c:v>
                </c:pt>
                <c:pt idx="38">
                  <c:v>-0.25099980000000066</c:v>
                </c:pt>
                <c:pt idx="39">
                  <c:v>-0.24300009999999972</c:v>
                </c:pt>
                <c:pt idx="40">
                  <c:v>0.71200020000000031</c:v>
                </c:pt>
                <c:pt idx="41">
                  <c:v>1.0210001999999996</c:v>
                </c:pt>
                <c:pt idx="42">
                  <c:v>1.2460000000000004</c:v>
                </c:pt>
                <c:pt idx="43">
                  <c:v>1.0679996999999997</c:v>
                </c:pt>
                <c:pt idx="44">
                  <c:v>-0.81699959999999905</c:v>
                </c:pt>
                <c:pt idx="45">
                  <c:v>1.4140003000000014</c:v>
                </c:pt>
                <c:pt idx="46">
                  <c:v>0.41799959999999992</c:v>
                </c:pt>
                <c:pt idx="47">
                  <c:v>1.4299995999999986</c:v>
                </c:pt>
                <c:pt idx="48">
                  <c:v>2.9559996999999996</c:v>
                </c:pt>
                <c:pt idx="49">
                  <c:v>-2.0999899999999627E-2</c:v>
                </c:pt>
                <c:pt idx="50">
                  <c:v>1.8700004999999997</c:v>
                </c:pt>
                <c:pt idx="51">
                  <c:v>0.84500049999999938</c:v>
                </c:pt>
                <c:pt idx="52">
                  <c:v>3.7000499999999548E-2</c:v>
                </c:pt>
                <c:pt idx="53">
                  <c:v>-1.5943997999999997</c:v>
                </c:pt>
                <c:pt idx="54">
                  <c:v>1.9339995999999999</c:v>
                </c:pt>
                <c:pt idx="55">
                  <c:v>-0.44049970000000016</c:v>
                </c:pt>
                <c:pt idx="56">
                  <c:v>-0.76659959999999927</c:v>
                </c:pt>
                <c:pt idx="57">
                  <c:v>-1.0672997999999989</c:v>
                </c:pt>
                <c:pt idx="58">
                  <c:v>1.5869999000000004</c:v>
                </c:pt>
                <c:pt idx="59">
                  <c:v>-1.0974000000000004</c:v>
                </c:pt>
                <c:pt idx="60">
                  <c:v>1.0309996999999989</c:v>
                </c:pt>
                <c:pt idx="61">
                  <c:v>-0.53499980000000136</c:v>
                </c:pt>
                <c:pt idx="62">
                  <c:v>1.6949998999999991</c:v>
                </c:pt>
                <c:pt idx="63">
                  <c:v>-0.99100040000000078</c:v>
                </c:pt>
                <c:pt idx="64">
                  <c:v>0.8320002000000013</c:v>
                </c:pt>
                <c:pt idx="65">
                  <c:v>1.0350002000000007</c:v>
                </c:pt>
                <c:pt idx="66">
                  <c:v>1.5960000000000001</c:v>
                </c:pt>
                <c:pt idx="67">
                  <c:v>-7.099999999999973E-2</c:v>
                </c:pt>
                <c:pt idx="68">
                  <c:v>0.64000020000000113</c:v>
                </c:pt>
                <c:pt idx="69">
                  <c:v>-0.61100010000000005</c:v>
                </c:pt>
                <c:pt idx="70">
                  <c:v>1.7659997000000001</c:v>
                </c:pt>
                <c:pt idx="71">
                  <c:v>1.9859998000000001</c:v>
                </c:pt>
                <c:pt idx="72">
                  <c:v>0.27700030000000098</c:v>
                </c:pt>
                <c:pt idx="73">
                  <c:v>0.99900030000000051</c:v>
                </c:pt>
                <c:pt idx="74">
                  <c:v>2.2130004000000003</c:v>
                </c:pt>
                <c:pt idx="75">
                  <c:v>-0.72700000000000031</c:v>
                </c:pt>
                <c:pt idx="76">
                  <c:v>-0.54800040000000116</c:v>
                </c:pt>
                <c:pt idx="77">
                  <c:v>1.1079999000000011</c:v>
                </c:pt>
                <c:pt idx="78">
                  <c:v>-7.9999800000001287E-2</c:v>
                </c:pt>
                <c:pt idx="79">
                  <c:v>1.9969996999999999</c:v>
                </c:pt>
              </c:numCache>
            </c:numRef>
          </c:yVal>
          <c:smooth val="0"/>
          <c:extLst>
            <c:ext xmlns:c16="http://schemas.microsoft.com/office/drawing/2014/chart" uri="{C3380CC4-5D6E-409C-BE32-E72D297353CC}">
              <c16:uniqueId val="{00000001-3EE4-4155-BA30-58725A1BA15F}"/>
            </c:ext>
          </c:extLst>
        </c:ser>
        <c:dLbls>
          <c:showLegendKey val="0"/>
          <c:showVal val="0"/>
          <c:showCatName val="0"/>
          <c:showSerName val="0"/>
          <c:showPercent val="0"/>
          <c:showBubbleSize val="0"/>
        </c:dLbls>
        <c:axId val="244482048"/>
        <c:axId val="244483968"/>
      </c:scatterChart>
      <c:valAx>
        <c:axId val="244482048"/>
        <c:scaling>
          <c:orientation val="minMax"/>
        </c:scaling>
        <c:delete val="0"/>
        <c:axPos val="b"/>
        <c:title>
          <c:tx>
            <c:rich>
              <a:bodyPr/>
              <a:lstStyle/>
              <a:p>
                <a:pPr>
                  <a:defRPr/>
                </a:pPr>
                <a:r>
                  <a:rPr lang="en-US"/>
                  <a:t>REFERENCE VALUES</a:t>
                </a:r>
              </a:p>
            </c:rich>
          </c:tx>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244483968"/>
        <c:crosses val="autoZero"/>
        <c:crossBetween val="midCat"/>
      </c:valAx>
      <c:valAx>
        <c:axId val="244483968"/>
        <c:scaling>
          <c:orientation val="minMax"/>
        </c:scaling>
        <c:delete val="0"/>
        <c:axPos val="l"/>
        <c:majorGridlines/>
        <c:numFmt formatCode="0.00" sourceLinked="1"/>
        <c:majorTickMark val="out"/>
        <c:minorTickMark val="none"/>
        <c:tickLblPos val="nextTo"/>
        <c:crossAx val="244482048"/>
        <c:crosses val="autoZero"/>
        <c:crossBetween val="midCat"/>
      </c:valAx>
    </c:plotArea>
    <c:plotVisOnly val="1"/>
    <c:dispBlanksAs val="gap"/>
    <c:showDLblsOverMax val="0"/>
  </c:chart>
  <c:printSettings>
    <c:headerFooter/>
    <c:pageMargins b="0.750000000000004" l="0.70000000000000062" r="0.70000000000000062" t="0.750000000000004" header="0.30000000000000032" footer="0.3000000000000003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400" baseline="0"/>
              <a:t>Residuals vs predicted</a:t>
            </a:r>
          </a:p>
        </c:rich>
      </c:tx>
      <c:layout>
        <c:manualLayout>
          <c:xMode val="edge"/>
          <c:yMode val="edge"/>
          <c:x val="0.59043500709952246"/>
          <c:y val="0"/>
        </c:manualLayout>
      </c:layout>
      <c:overlay val="1"/>
    </c:title>
    <c:autoTitleDeleted val="0"/>
    <c:plotArea>
      <c:layout/>
      <c:scatterChart>
        <c:scatterStyle val="lineMarker"/>
        <c:varyColors val="0"/>
        <c:ser>
          <c:idx val="0"/>
          <c:order val="0"/>
          <c:spPr>
            <a:ln>
              <a:noFill/>
            </a:ln>
          </c:spPr>
          <c:trendline>
            <c:trendlineType val="linear"/>
            <c:dispRSqr val="0"/>
            <c:dispEq val="1"/>
            <c:trendlineLbl>
              <c:layout>
                <c:manualLayout>
                  <c:x val="8.6646154745701892E-3"/>
                  <c:y val="0.32626926854701888"/>
                </c:manualLayout>
              </c:layout>
              <c:numFmt formatCode="General" sourceLinked="0"/>
            </c:trendlineLbl>
          </c:trendline>
          <c:xVal>
            <c:numRef>
              <c:f>Roger!$F$63:$F$156</c:f>
              <c:numCache>
                <c:formatCode>General</c:formatCode>
                <c:ptCount val="94"/>
                <c:pt idx="0">
                  <c:v>8.9719999999999995</c:v>
                </c:pt>
                <c:pt idx="1">
                  <c:v>12.618</c:v>
                </c:pt>
                <c:pt idx="2">
                  <c:v>9.6913</c:v>
                </c:pt>
                <c:pt idx="3">
                  <c:v>13.593999999999999</c:v>
                </c:pt>
                <c:pt idx="4">
                  <c:v>8.8520000000000003</c:v>
                </c:pt>
                <c:pt idx="5">
                  <c:v>11.365</c:v>
                </c:pt>
                <c:pt idx="6">
                  <c:v>10.137</c:v>
                </c:pt>
                <c:pt idx="7">
                  <c:v>11.683</c:v>
                </c:pt>
                <c:pt idx="8">
                  <c:v>12.449</c:v>
                </c:pt>
                <c:pt idx="9">
                  <c:v>9.9460999999999995</c:v>
                </c:pt>
                <c:pt idx="10">
                  <c:v>12.994999999999999</c:v>
                </c:pt>
                <c:pt idx="11">
                  <c:v>12.914999999999999</c:v>
                </c:pt>
                <c:pt idx="12">
                  <c:v>11.79</c:v>
                </c:pt>
                <c:pt idx="13">
                  <c:v>11.542</c:v>
                </c:pt>
                <c:pt idx="14">
                  <c:v>9.2951999999999995</c:v>
                </c:pt>
                <c:pt idx="15">
                  <c:v>10.497999999999999</c:v>
                </c:pt>
                <c:pt idx="16">
                  <c:v>9.7220999999999993</c:v>
                </c:pt>
                <c:pt idx="17">
                  <c:v>8.6181999999999999</c:v>
                </c:pt>
                <c:pt idx="18">
                  <c:v>12.311</c:v>
                </c:pt>
                <c:pt idx="19">
                  <c:v>10.032999999999999</c:v>
                </c:pt>
                <c:pt idx="20">
                  <c:v>10.943</c:v>
                </c:pt>
                <c:pt idx="21">
                  <c:v>14.428000000000001</c:v>
                </c:pt>
                <c:pt idx="22">
                  <c:v>12.936</c:v>
                </c:pt>
                <c:pt idx="23">
                  <c:v>9.5244</c:v>
                </c:pt>
                <c:pt idx="24">
                  <c:v>12.696</c:v>
                </c:pt>
                <c:pt idx="25">
                  <c:v>9.9222999999999999</c:v>
                </c:pt>
                <c:pt idx="26">
                  <c:v>10.887</c:v>
                </c:pt>
                <c:pt idx="27">
                  <c:v>12.988</c:v>
                </c:pt>
                <c:pt idx="28">
                  <c:v>10.747</c:v>
                </c:pt>
                <c:pt idx="29">
                  <c:v>14.032</c:v>
                </c:pt>
                <c:pt idx="30">
                  <c:v>12.71</c:v>
                </c:pt>
                <c:pt idx="31">
                  <c:v>11.499000000000001</c:v>
                </c:pt>
                <c:pt idx="32">
                  <c:v>10.433</c:v>
                </c:pt>
                <c:pt idx="33">
                  <c:v>11.843</c:v>
                </c:pt>
                <c:pt idx="34">
                  <c:v>11.361000000000001</c:v>
                </c:pt>
                <c:pt idx="35">
                  <c:v>6.8712999999999997</c:v>
                </c:pt>
                <c:pt idx="36">
                  <c:v>9.5594999999999999</c:v>
                </c:pt>
                <c:pt idx="37">
                  <c:v>10.603999999999999</c:v>
                </c:pt>
                <c:pt idx="38">
                  <c:v>12.199</c:v>
                </c:pt>
                <c:pt idx="39">
                  <c:v>10.677</c:v>
                </c:pt>
                <c:pt idx="40">
                  <c:v>11.662000000000001</c:v>
                </c:pt>
                <c:pt idx="41">
                  <c:v>12.010999999999999</c:v>
                </c:pt>
                <c:pt idx="42">
                  <c:v>12.246</c:v>
                </c:pt>
                <c:pt idx="43">
                  <c:v>11.038</c:v>
                </c:pt>
                <c:pt idx="44">
                  <c:v>12.083</c:v>
                </c:pt>
                <c:pt idx="45">
                  <c:v>11.944000000000001</c:v>
                </c:pt>
                <c:pt idx="46">
                  <c:v>11.478</c:v>
                </c:pt>
                <c:pt idx="47">
                  <c:v>10.53</c:v>
                </c:pt>
                <c:pt idx="48">
                  <c:v>11.926</c:v>
                </c:pt>
                <c:pt idx="49">
                  <c:v>11.099</c:v>
                </c:pt>
                <c:pt idx="50">
                  <c:v>11.1</c:v>
                </c:pt>
                <c:pt idx="51">
                  <c:v>12.074999999999999</c:v>
                </c:pt>
                <c:pt idx="52">
                  <c:v>11.266999999999999</c:v>
                </c:pt>
                <c:pt idx="53">
                  <c:v>9.6456</c:v>
                </c:pt>
                <c:pt idx="54">
                  <c:v>14.494</c:v>
                </c:pt>
                <c:pt idx="55">
                  <c:v>9.6295000000000002</c:v>
                </c:pt>
                <c:pt idx="56">
                  <c:v>9.1734000000000009</c:v>
                </c:pt>
                <c:pt idx="57">
                  <c:v>9.1727000000000007</c:v>
                </c:pt>
                <c:pt idx="58">
                  <c:v>13.007</c:v>
                </c:pt>
                <c:pt idx="59">
                  <c:v>9.4025999999999996</c:v>
                </c:pt>
                <c:pt idx="60">
                  <c:v>14.170999999999999</c:v>
                </c:pt>
                <c:pt idx="61">
                  <c:v>11.164999999999999</c:v>
                </c:pt>
                <c:pt idx="62">
                  <c:v>12.074999999999999</c:v>
                </c:pt>
                <c:pt idx="63">
                  <c:v>12.359</c:v>
                </c:pt>
                <c:pt idx="64">
                  <c:v>13.492000000000001</c:v>
                </c:pt>
                <c:pt idx="65">
                  <c:v>13.025</c:v>
                </c:pt>
                <c:pt idx="66">
                  <c:v>13.596</c:v>
                </c:pt>
                <c:pt idx="67">
                  <c:v>11.929</c:v>
                </c:pt>
                <c:pt idx="68">
                  <c:v>13.8</c:v>
                </c:pt>
                <c:pt idx="69">
                  <c:v>11.558999999999999</c:v>
                </c:pt>
                <c:pt idx="70">
                  <c:v>12.736000000000001</c:v>
                </c:pt>
                <c:pt idx="71">
                  <c:v>14.246</c:v>
                </c:pt>
                <c:pt idx="72">
                  <c:v>13.307</c:v>
                </c:pt>
                <c:pt idx="73">
                  <c:v>13.359</c:v>
                </c:pt>
                <c:pt idx="74">
                  <c:v>14.613</c:v>
                </c:pt>
                <c:pt idx="75">
                  <c:v>11.773</c:v>
                </c:pt>
                <c:pt idx="76">
                  <c:v>12.052</c:v>
                </c:pt>
                <c:pt idx="77">
                  <c:v>13.778</c:v>
                </c:pt>
                <c:pt idx="78">
                  <c:v>12.62</c:v>
                </c:pt>
                <c:pt idx="79">
                  <c:v>16.427</c:v>
                </c:pt>
              </c:numCache>
            </c:numRef>
          </c:xVal>
          <c:yVal>
            <c:numRef>
              <c:f>Roger!$G$63:$G$156</c:f>
              <c:numCache>
                <c:formatCode>0.00</c:formatCode>
                <c:ptCount val="94"/>
                <c:pt idx="0">
                  <c:v>-0.96799960000000063</c:v>
                </c:pt>
                <c:pt idx="1">
                  <c:v>2.5979995000000002</c:v>
                </c:pt>
                <c:pt idx="2">
                  <c:v>-0.30869999999999997</c:v>
                </c:pt>
                <c:pt idx="3">
                  <c:v>3.0939999999999994</c:v>
                </c:pt>
                <c:pt idx="4">
                  <c:v>-1.9279996999999991</c:v>
                </c:pt>
                <c:pt idx="5">
                  <c:v>0.91500019999999971</c:v>
                </c:pt>
                <c:pt idx="6">
                  <c:v>-0.88300049999999963</c:v>
                </c:pt>
                <c:pt idx="7">
                  <c:v>0.88299980000000033</c:v>
                </c:pt>
                <c:pt idx="8">
                  <c:v>1.5689998999999997</c:v>
                </c:pt>
                <c:pt idx="9">
                  <c:v>-1.1139004000000003</c:v>
                </c:pt>
                <c:pt idx="10">
                  <c:v>1.9049997999999988</c:v>
                </c:pt>
                <c:pt idx="11">
                  <c:v>1.2950000999999993</c:v>
                </c:pt>
                <c:pt idx="12">
                  <c:v>1.8299999999999983</c:v>
                </c:pt>
                <c:pt idx="13">
                  <c:v>2.0419999999999998</c:v>
                </c:pt>
                <c:pt idx="14">
                  <c:v>-0.69479980000000019</c:v>
                </c:pt>
                <c:pt idx="15">
                  <c:v>0.48799979999999898</c:v>
                </c:pt>
                <c:pt idx="16">
                  <c:v>-0.10789990000000138</c:v>
                </c:pt>
                <c:pt idx="17">
                  <c:v>-0.95179970000000047</c:v>
                </c:pt>
                <c:pt idx="18">
                  <c:v>2.3909999000000006</c:v>
                </c:pt>
                <c:pt idx="19">
                  <c:v>-1.6370000999999998</c:v>
                </c:pt>
                <c:pt idx="20">
                  <c:v>-0.55700000000000038</c:v>
                </c:pt>
                <c:pt idx="21">
                  <c:v>3.058000100000001</c:v>
                </c:pt>
                <c:pt idx="22">
                  <c:v>1.3459997999999995</c:v>
                </c:pt>
                <c:pt idx="23">
                  <c:v>-0.3556001000000002</c:v>
                </c:pt>
                <c:pt idx="24">
                  <c:v>0.85599979999999931</c:v>
                </c:pt>
                <c:pt idx="25">
                  <c:v>-7.7700000000000102E-2</c:v>
                </c:pt>
                <c:pt idx="26">
                  <c:v>0.78699959999999969</c:v>
                </c:pt>
                <c:pt idx="27">
                  <c:v>1.5880004000000003</c:v>
                </c:pt>
                <c:pt idx="28">
                  <c:v>0.46700030000000048</c:v>
                </c:pt>
                <c:pt idx="29">
                  <c:v>1.8219999999999992</c:v>
                </c:pt>
                <c:pt idx="30">
                  <c:v>0.7700004000000007</c:v>
                </c:pt>
                <c:pt idx="31">
                  <c:v>1.1290001000000007</c:v>
                </c:pt>
                <c:pt idx="32">
                  <c:v>5.2999899999999656E-2</c:v>
                </c:pt>
                <c:pt idx="33">
                  <c:v>1.9629998999999998</c:v>
                </c:pt>
                <c:pt idx="34">
                  <c:v>-0.71899990000000003</c:v>
                </c:pt>
                <c:pt idx="35">
                  <c:v>-2.2086999000000009</c:v>
                </c:pt>
                <c:pt idx="36">
                  <c:v>-1.2405001999999996</c:v>
                </c:pt>
                <c:pt idx="37">
                  <c:v>1.2440002999999997</c:v>
                </c:pt>
                <c:pt idx="38">
                  <c:v>-0.25099980000000066</c:v>
                </c:pt>
                <c:pt idx="39">
                  <c:v>-0.24300009999999972</c:v>
                </c:pt>
                <c:pt idx="40">
                  <c:v>0.71200020000000031</c:v>
                </c:pt>
                <c:pt idx="41">
                  <c:v>1.0210001999999996</c:v>
                </c:pt>
                <c:pt idx="42">
                  <c:v>1.2460000000000004</c:v>
                </c:pt>
                <c:pt idx="43">
                  <c:v>1.0679996999999997</c:v>
                </c:pt>
                <c:pt idx="44">
                  <c:v>-0.81699959999999905</c:v>
                </c:pt>
                <c:pt idx="45">
                  <c:v>1.4140003000000014</c:v>
                </c:pt>
                <c:pt idx="46">
                  <c:v>0.41799959999999992</c:v>
                </c:pt>
                <c:pt idx="47">
                  <c:v>1.4299995999999986</c:v>
                </c:pt>
                <c:pt idx="48">
                  <c:v>2.9559996999999996</c:v>
                </c:pt>
                <c:pt idx="49">
                  <c:v>-2.0999899999999627E-2</c:v>
                </c:pt>
                <c:pt idx="50">
                  <c:v>1.8700004999999997</c:v>
                </c:pt>
                <c:pt idx="51">
                  <c:v>0.84500049999999938</c:v>
                </c:pt>
                <c:pt idx="52">
                  <c:v>3.7000499999999548E-2</c:v>
                </c:pt>
                <c:pt idx="53">
                  <c:v>-1.5943997999999997</c:v>
                </c:pt>
                <c:pt idx="54">
                  <c:v>1.9339995999999999</c:v>
                </c:pt>
                <c:pt idx="55">
                  <c:v>-0.44049970000000016</c:v>
                </c:pt>
                <c:pt idx="56">
                  <c:v>-0.76659959999999927</c:v>
                </c:pt>
                <c:pt idx="57">
                  <c:v>-1.0672997999999989</c:v>
                </c:pt>
                <c:pt idx="58">
                  <c:v>1.5869999000000004</c:v>
                </c:pt>
                <c:pt idx="59">
                  <c:v>-1.0974000000000004</c:v>
                </c:pt>
                <c:pt idx="60">
                  <c:v>1.0309996999999989</c:v>
                </c:pt>
                <c:pt idx="61">
                  <c:v>-0.53499980000000136</c:v>
                </c:pt>
                <c:pt idx="62">
                  <c:v>1.6949998999999991</c:v>
                </c:pt>
                <c:pt idx="63">
                  <c:v>-0.99100040000000078</c:v>
                </c:pt>
                <c:pt idx="64">
                  <c:v>0.8320002000000013</c:v>
                </c:pt>
                <c:pt idx="65">
                  <c:v>1.0350002000000007</c:v>
                </c:pt>
                <c:pt idx="66">
                  <c:v>1.5960000000000001</c:v>
                </c:pt>
                <c:pt idx="67">
                  <c:v>-7.099999999999973E-2</c:v>
                </c:pt>
                <c:pt idx="68">
                  <c:v>0.64000020000000113</c:v>
                </c:pt>
                <c:pt idx="69">
                  <c:v>-0.61100010000000005</c:v>
                </c:pt>
                <c:pt idx="70">
                  <c:v>1.7659997000000001</c:v>
                </c:pt>
                <c:pt idx="71">
                  <c:v>1.9859998000000001</c:v>
                </c:pt>
                <c:pt idx="72">
                  <c:v>0.27700030000000098</c:v>
                </c:pt>
                <c:pt idx="73">
                  <c:v>0.99900030000000051</c:v>
                </c:pt>
                <c:pt idx="74">
                  <c:v>2.2130004000000003</c:v>
                </c:pt>
                <c:pt idx="75">
                  <c:v>-0.72700000000000031</c:v>
                </c:pt>
                <c:pt idx="76">
                  <c:v>-0.54800040000000116</c:v>
                </c:pt>
                <c:pt idx="77">
                  <c:v>1.1079999000000011</c:v>
                </c:pt>
                <c:pt idx="78">
                  <c:v>-7.9999800000001287E-2</c:v>
                </c:pt>
                <c:pt idx="79">
                  <c:v>1.9969996999999999</c:v>
                </c:pt>
              </c:numCache>
            </c:numRef>
          </c:yVal>
          <c:smooth val="0"/>
          <c:extLst>
            <c:ext xmlns:c16="http://schemas.microsoft.com/office/drawing/2014/chart" uri="{C3380CC4-5D6E-409C-BE32-E72D297353CC}">
              <c16:uniqueId val="{00000001-C9B6-4FF9-A0C8-CA069EEFB7C7}"/>
            </c:ext>
          </c:extLst>
        </c:ser>
        <c:dLbls>
          <c:showLegendKey val="0"/>
          <c:showVal val="0"/>
          <c:showCatName val="0"/>
          <c:showSerName val="0"/>
          <c:showPercent val="0"/>
          <c:showBubbleSize val="0"/>
        </c:dLbls>
        <c:axId val="251667584"/>
        <c:axId val="251669504"/>
      </c:scatterChart>
      <c:valAx>
        <c:axId val="251667584"/>
        <c:scaling>
          <c:orientation val="minMax"/>
        </c:scaling>
        <c:delete val="0"/>
        <c:axPos val="b"/>
        <c:title>
          <c:tx>
            <c:rich>
              <a:bodyPr/>
              <a:lstStyle/>
              <a:p>
                <a:pPr>
                  <a:defRPr/>
                </a:pPr>
                <a:r>
                  <a:rPr lang="en-US"/>
                  <a:t>PREDICTED NIRS</a:t>
                </a:r>
              </a:p>
            </c:rich>
          </c:tx>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251669504"/>
        <c:crosses val="autoZero"/>
        <c:crossBetween val="midCat"/>
      </c:valAx>
      <c:valAx>
        <c:axId val="251669504"/>
        <c:scaling>
          <c:orientation val="minMax"/>
        </c:scaling>
        <c:delete val="0"/>
        <c:axPos val="l"/>
        <c:majorGridlines/>
        <c:numFmt formatCode="0.00" sourceLinked="1"/>
        <c:majorTickMark val="out"/>
        <c:minorTickMark val="none"/>
        <c:tickLblPos val="nextTo"/>
        <c:crossAx val="251667584"/>
        <c:crosses val="autoZero"/>
        <c:crossBetween val="midCat"/>
      </c:valAx>
    </c:plotArea>
    <c:plotVisOnly val="1"/>
    <c:dispBlanksAs val="gap"/>
    <c:showDLblsOverMax val="0"/>
  </c:chart>
  <c:printSettings>
    <c:headerFooter/>
    <c:pageMargins b="0.75000000000000422" l="0.70000000000000062" r="0.70000000000000062" t="0.75000000000000422" header="0.30000000000000032" footer="0.3000000000000003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400" baseline="0"/>
              <a:t>Residuals vs position</a:t>
            </a:r>
          </a:p>
        </c:rich>
      </c:tx>
      <c:layout>
        <c:manualLayout>
          <c:xMode val="edge"/>
          <c:yMode val="edge"/>
          <c:x val="0.61770845220434401"/>
          <c:y val="9.2592592592592587E-3"/>
        </c:manualLayout>
      </c:layout>
      <c:overlay val="1"/>
    </c:title>
    <c:autoTitleDeleted val="0"/>
    <c:plotArea>
      <c:layout>
        <c:manualLayout>
          <c:layoutTarget val="inner"/>
          <c:xMode val="edge"/>
          <c:yMode val="edge"/>
          <c:x val="9.7295231451277789E-2"/>
          <c:y val="4.1365688184682434E-2"/>
          <c:w val="0.8505582003234009"/>
          <c:h val="0.89909093674129181"/>
        </c:manualLayout>
      </c:layout>
      <c:scatterChart>
        <c:scatterStyle val="lineMarker"/>
        <c:varyColors val="0"/>
        <c:ser>
          <c:idx val="0"/>
          <c:order val="0"/>
          <c:spPr>
            <a:ln w="28575">
              <a:noFill/>
            </a:ln>
          </c:spPr>
          <c:xVal>
            <c:numRef>
              <c:f>Roger!$B$63:$B$156</c:f>
              <c:numCache>
                <c:formatCode>General</c:formatCode>
                <c:ptCount val="9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numCache>
            </c:numRef>
          </c:xVal>
          <c:yVal>
            <c:numRef>
              <c:f>Roger!$G$63:$G$156</c:f>
              <c:numCache>
                <c:formatCode>0.00</c:formatCode>
                <c:ptCount val="94"/>
                <c:pt idx="0">
                  <c:v>-0.96799960000000063</c:v>
                </c:pt>
                <c:pt idx="1">
                  <c:v>2.5979995000000002</c:v>
                </c:pt>
                <c:pt idx="2">
                  <c:v>-0.30869999999999997</c:v>
                </c:pt>
                <c:pt idx="3">
                  <c:v>3.0939999999999994</c:v>
                </c:pt>
                <c:pt idx="4">
                  <c:v>-1.9279996999999991</c:v>
                </c:pt>
                <c:pt idx="5">
                  <c:v>0.91500019999999971</c:v>
                </c:pt>
                <c:pt idx="6">
                  <c:v>-0.88300049999999963</c:v>
                </c:pt>
                <c:pt idx="7">
                  <c:v>0.88299980000000033</c:v>
                </c:pt>
                <c:pt idx="8">
                  <c:v>1.5689998999999997</c:v>
                </c:pt>
                <c:pt idx="9">
                  <c:v>-1.1139004000000003</c:v>
                </c:pt>
                <c:pt idx="10">
                  <c:v>1.9049997999999988</c:v>
                </c:pt>
                <c:pt idx="11">
                  <c:v>1.2950000999999993</c:v>
                </c:pt>
                <c:pt idx="12">
                  <c:v>1.8299999999999983</c:v>
                </c:pt>
                <c:pt idx="13">
                  <c:v>2.0419999999999998</c:v>
                </c:pt>
                <c:pt idx="14">
                  <c:v>-0.69479980000000019</c:v>
                </c:pt>
                <c:pt idx="15">
                  <c:v>0.48799979999999898</c:v>
                </c:pt>
                <c:pt idx="16">
                  <c:v>-0.10789990000000138</c:v>
                </c:pt>
                <c:pt idx="17">
                  <c:v>-0.95179970000000047</c:v>
                </c:pt>
                <c:pt idx="18">
                  <c:v>2.3909999000000006</c:v>
                </c:pt>
                <c:pt idx="19">
                  <c:v>-1.6370000999999998</c:v>
                </c:pt>
                <c:pt idx="20">
                  <c:v>-0.55700000000000038</c:v>
                </c:pt>
                <c:pt idx="21">
                  <c:v>3.058000100000001</c:v>
                </c:pt>
                <c:pt idx="22">
                  <c:v>1.3459997999999995</c:v>
                </c:pt>
                <c:pt idx="23">
                  <c:v>-0.3556001000000002</c:v>
                </c:pt>
                <c:pt idx="24">
                  <c:v>0.85599979999999931</c:v>
                </c:pt>
                <c:pt idx="25">
                  <c:v>-7.7700000000000102E-2</c:v>
                </c:pt>
                <c:pt idx="26">
                  <c:v>0.78699959999999969</c:v>
                </c:pt>
                <c:pt idx="27">
                  <c:v>1.5880004000000003</c:v>
                </c:pt>
                <c:pt idx="28">
                  <c:v>0.46700030000000048</c:v>
                </c:pt>
                <c:pt idx="29">
                  <c:v>1.8219999999999992</c:v>
                </c:pt>
                <c:pt idx="30">
                  <c:v>0.7700004000000007</c:v>
                </c:pt>
                <c:pt idx="31">
                  <c:v>1.1290001000000007</c:v>
                </c:pt>
                <c:pt idx="32">
                  <c:v>5.2999899999999656E-2</c:v>
                </c:pt>
                <c:pt idx="33">
                  <c:v>1.9629998999999998</c:v>
                </c:pt>
                <c:pt idx="34">
                  <c:v>-0.71899990000000003</c:v>
                </c:pt>
                <c:pt idx="35">
                  <c:v>-2.2086999000000009</c:v>
                </c:pt>
                <c:pt idx="36">
                  <c:v>-1.2405001999999996</c:v>
                </c:pt>
                <c:pt idx="37">
                  <c:v>1.2440002999999997</c:v>
                </c:pt>
                <c:pt idx="38">
                  <c:v>-0.25099980000000066</c:v>
                </c:pt>
                <c:pt idx="39">
                  <c:v>-0.24300009999999972</c:v>
                </c:pt>
                <c:pt idx="40">
                  <c:v>0.71200020000000031</c:v>
                </c:pt>
                <c:pt idx="41">
                  <c:v>1.0210001999999996</c:v>
                </c:pt>
                <c:pt idx="42">
                  <c:v>1.2460000000000004</c:v>
                </c:pt>
                <c:pt idx="43">
                  <c:v>1.0679996999999997</c:v>
                </c:pt>
                <c:pt idx="44">
                  <c:v>-0.81699959999999905</c:v>
                </c:pt>
                <c:pt idx="45">
                  <c:v>1.4140003000000014</c:v>
                </c:pt>
                <c:pt idx="46">
                  <c:v>0.41799959999999992</c:v>
                </c:pt>
                <c:pt idx="47">
                  <c:v>1.4299995999999986</c:v>
                </c:pt>
                <c:pt idx="48">
                  <c:v>2.9559996999999996</c:v>
                </c:pt>
                <c:pt idx="49">
                  <c:v>-2.0999899999999627E-2</c:v>
                </c:pt>
                <c:pt idx="50">
                  <c:v>1.8700004999999997</c:v>
                </c:pt>
                <c:pt idx="51">
                  <c:v>0.84500049999999938</c:v>
                </c:pt>
                <c:pt idx="52">
                  <c:v>3.7000499999999548E-2</c:v>
                </c:pt>
                <c:pt idx="53">
                  <c:v>-1.5943997999999997</c:v>
                </c:pt>
                <c:pt idx="54">
                  <c:v>1.9339995999999999</c:v>
                </c:pt>
                <c:pt idx="55">
                  <c:v>-0.44049970000000016</c:v>
                </c:pt>
                <c:pt idx="56">
                  <c:v>-0.76659959999999927</c:v>
                </c:pt>
                <c:pt idx="57">
                  <c:v>-1.0672997999999989</c:v>
                </c:pt>
                <c:pt idx="58">
                  <c:v>1.5869999000000004</c:v>
                </c:pt>
                <c:pt idx="59">
                  <c:v>-1.0974000000000004</c:v>
                </c:pt>
                <c:pt idx="60">
                  <c:v>1.0309996999999989</c:v>
                </c:pt>
                <c:pt idx="61">
                  <c:v>-0.53499980000000136</c:v>
                </c:pt>
                <c:pt idx="62">
                  <c:v>1.6949998999999991</c:v>
                </c:pt>
                <c:pt idx="63">
                  <c:v>-0.99100040000000078</c:v>
                </c:pt>
                <c:pt idx="64">
                  <c:v>0.8320002000000013</c:v>
                </c:pt>
                <c:pt idx="65">
                  <c:v>1.0350002000000007</c:v>
                </c:pt>
                <c:pt idx="66">
                  <c:v>1.5960000000000001</c:v>
                </c:pt>
                <c:pt idx="67">
                  <c:v>-7.099999999999973E-2</c:v>
                </c:pt>
                <c:pt idx="68">
                  <c:v>0.64000020000000113</c:v>
                </c:pt>
                <c:pt idx="69">
                  <c:v>-0.61100010000000005</c:v>
                </c:pt>
                <c:pt idx="70">
                  <c:v>1.7659997000000001</c:v>
                </c:pt>
                <c:pt idx="71">
                  <c:v>1.9859998000000001</c:v>
                </c:pt>
                <c:pt idx="72">
                  <c:v>0.27700030000000098</c:v>
                </c:pt>
                <c:pt idx="73">
                  <c:v>0.99900030000000051</c:v>
                </c:pt>
                <c:pt idx="74">
                  <c:v>2.2130004000000003</c:v>
                </c:pt>
                <c:pt idx="75">
                  <c:v>-0.72700000000000031</c:v>
                </c:pt>
                <c:pt idx="76">
                  <c:v>-0.54800040000000116</c:v>
                </c:pt>
                <c:pt idx="77">
                  <c:v>1.1079999000000011</c:v>
                </c:pt>
                <c:pt idx="78">
                  <c:v>-7.9999800000001287E-2</c:v>
                </c:pt>
                <c:pt idx="79">
                  <c:v>1.9969996999999999</c:v>
                </c:pt>
              </c:numCache>
            </c:numRef>
          </c:yVal>
          <c:smooth val="0"/>
          <c:extLst>
            <c:ext xmlns:c16="http://schemas.microsoft.com/office/drawing/2014/chart" uri="{C3380CC4-5D6E-409C-BE32-E72D297353CC}">
              <c16:uniqueId val="{00000000-FA01-413D-A047-592FB4106603}"/>
            </c:ext>
          </c:extLst>
        </c:ser>
        <c:dLbls>
          <c:showLegendKey val="0"/>
          <c:showVal val="0"/>
          <c:showCatName val="0"/>
          <c:showSerName val="0"/>
          <c:showPercent val="0"/>
          <c:showBubbleSize val="0"/>
        </c:dLbls>
        <c:axId val="274780160"/>
        <c:axId val="274781696"/>
      </c:scatterChart>
      <c:valAx>
        <c:axId val="274780160"/>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274781696"/>
        <c:crosses val="autoZero"/>
        <c:crossBetween val="midCat"/>
      </c:valAx>
      <c:valAx>
        <c:axId val="274781696"/>
        <c:scaling>
          <c:orientation val="minMax"/>
        </c:scaling>
        <c:delete val="0"/>
        <c:axPos val="l"/>
        <c:majorGridlines/>
        <c:numFmt formatCode="0.00" sourceLinked="1"/>
        <c:majorTickMark val="out"/>
        <c:minorTickMark val="none"/>
        <c:tickLblPos val="nextTo"/>
        <c:crossAx val="274780160"/>
        <c:crosses val="autoZero"/>
        <c:crossBetween val="midCat"/>
      </c:valAx>
    </c:plotArea>
    <c:plotVisOnly val="1"/>
    <c:dispBlanksAs val="gap"/>
    <c:showDLblsOverMax val="0"/>
  </c:chart>
  <c:printSettings>
    <c:headerFooter/>
    <c:pageMargins b="0.75000000000000211" l="0.70000000000000062" r="0.70000000000000062" t="0.75000000000000211" header="0.30000000000000032" footer="0.3000000000000003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3834418474441655E-2"/>
          <c:y val="0.13250935178105364"/>
          <c:w val="0.6729182365583003"/>
          <c:h val="0.71284029659820869"/>
        </c:manualLayout>
      </c:layout>
      <c:scatterChart>
        <c:scatterStyle val="lineMarker"/>
        <c:varyColors val="0"/>
        <c:ser>
          <c:idx val="0"/>
          <c:order val="0"/>
          <c:tx>
            <c:v> </c:v>
          </c:tx>
          <c:spPr>
            <a:ln w="28575">
              <a:noFill/>
            </a:ln>
          </c:spPr>
          <c:marker>
            <c:symbol val="circle"/>
            <c:size val="8"/>
            <c:spPr>
              <a:solidFill>
                <a:srgbClr val="000080"/>
              </a:solidFill>
              <a:ln>
                <a:solidFill>
                  <a:srgbClr val="000080"/>
                </a:solidFill>
                <a:prstDash val="solid"/>
              </a:ln>
            </c:spPr>
          </c:marker>
          <c:dLbls>
            <c:dLbl>
              <c:idx val="0"/>
              <c:tx>
                <c:rich>
                  <a:bodyPr/>
                  <a:lstStyle/>
                  <a:p>
                    <a:fld id="{0C916BC0-ABFB-4A5C-B4B4-C1A846708A6F}" type="CELLRANGE">
                      <a:rPr lang="en-US"/>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6A0B-4201-9116-706D0817E6DE}"/>
                </c:ext>
              </c:extLst>
            </c:dLbl>
            <c:dLbl>
              <c:idx val="1"/>
              <c:tx>
                <c:rich>
                  <a:bodyPr/>
                  <a:lstStyle/>
                  <a:p>
                    <a:fld id="{0B0B1C47-79AE-497E-9A1B-208C93C15BE9}"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6A0B-4201-9116-706D0817E6DE}"/>
                </c:ext>
              </c:extLst>
            </c:dLbl>
            <c:dLbl>
              <c:idx val="2"/>
              <c:tx>
                <c:rich>
                  <a:bodyPr/>
                  <a:lstStyle/>
                  <a:p>
                    <a:fld id="{0530CFBC-0BED-4756-99EA-2333CDC1FE61}"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6A0B-4201-9116-706D0817E6DE}"/>
                </c:ext>
              </c:extLst>
            </c:dLbl>
            <c:dLbl>
              <c:idx val="3"/>
              <c:tx>
                <c:rich>
                  <a:bodyPr/>
                  <a:lstStyle/>
                  <a:p>
                    <a:fld id="{2D6251BE-02B1-4B02-B85D-6B11AEA8CAD0}"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A0B-4201-9116-706D0817E6DE}"/>
                </c:ext>
              </c:extLst>
            </c:dLbl>
            <c:dLbl>
              <c:idx val="4"/>
              <c:tx>
                <c:rich>
                  <a:bodyPr/>
                  <a:lstStyle/>
                  <a:p>
                    <a:fld id="{0633FC91-8528-440C-BC30-905C45414E7A}"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A0B-4201-9116-706D0817E6DE}"/>
                </c:ext>
              </c:extLst>
            </c:dLbl>
            <c:dLbl>
              <c:idx val="5"/>
              <c:tx>
                <c:rich>
                  <a:bodyPr/>
                  <a:lstStyle/>
                  <a:p>
                    <a:fld id="{783AAA9C-F70B-43D1-A5F7-19F387D6F4C9}"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6A0B-4201-9116-706D0817E6DE}"/>
                </c:ext>
              </c:extLst>
            </c:dLbl>
            <c:dLbl>
              <c:idx val="6"/>
              <c:tx>
                <c:rich>
                  <a:bodyPr/>
                  <a:lstStyle/>
                  <a:p>
                    <a:fld id="{7A3BA223-C70A-4F26-92BD-92D328E51ED7}"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6A0B-4201-9116-706D0817E6DE}"/>
                </c:ext>
              </c:extLst>
            </c:dLbl>
            <c:dLbl>
              <c:idx val="7"/>
              <c:tx>
                <c:rich>
                  <a:bodyPr/>
                  <a:lstStyle/>
                  <a:p>
                    <a:fld id="{78E0964D-C0ED-4239-B707-5D6E55C8B41D}"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6A0B-4201-9116-706D0817E6DE}"/>
                </c:ext>
              </c:extLst>
            </c:dLbl>
            <c:dLbl>
              <c:idx val="8"/>
              <c:tx>
                <c:rich>
                  <a:bodyPr/>
                  <a:lstStyle/>
                  <a:p>
                    <a:fld id="{FC95A821-9644-411A-8F7D-A93362A22404}"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6A0B-4201-9116-706D0817E6DE}"/>
                </c:ext>
              </c:extLst>
            </c:dLbl>
            <c:dLbl>
              <c:idx val="9"/>
              <c:tx>
                <c:rich>
                  <a:bodyPr/>
                  <a:lstStyle/>
                  <a:p>
                    <a:fld id="{4DE8BF78-D3D7-40B3-B107-6F944FEF5382}"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6A0B-4201-9116-706D0817E6DE}"/>
                </c:ext>
              </c:extLst>
            </c:dLbl>
            <c:dLbl>
              <c:idx val="10"/>
              <c:tx>
                <c:rich>
                  <a:bodyPr/>
                  <a:lstStyle/>
                  <a:p>
                    <a:fld id="{F6516758-7EC7-4D0B-A1D9-7D5ABC81EED2}"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6A0B-4201-9116-706D0817E6DE}"/>
                </c:ext>
              </c:extLst>
            </c:dLbl>
            <c:dLbl>
              <c:idx val="11"/>
              <c:tx>
                <c:rich>
                  <a:bodyPr/>
                  <a:lstStyle/>
                  <a:p>
                    <a:fld id="{3A07ADD6-87CE-4197-BFBA-ADEB74CA8767}"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6A0B-4201-9116-706D0817E6DE}"/>
                </c:ext>
              </c:extLst>
            </c:dLbl>
            <c:dLbl>
              <c:idx val="12"/>
              <c:tx>
                <c:rich>
                  <a:bodyPr/>
                  <a:lstStyle/>
                  <a:p>
                    <a:fld id="{573B60EF-C8A9-45D9-AA48-F3C5FCC59C00}"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6A0B-4201-9116-706D0817E6DE}"/>
                </c:ext>
              </c:extLst>
            </c:dLbl>
            <c:dLbl>
              <c:idx val="13"/>
              <c:tx>
                <c:rich>
                  <a:bodyPr/>
                  <a:lstStyle/>
                  <a:p>
                    <a:fld id="{9AD017FB-0B48-4555-B0BD-1F1695C6A169}"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6A0B-4201-9116-706D0817E6DE}"/>
                </c:ext>
              </c:extLst>
            </c:dLbl>
            <c:dLbl>
              <c:idx val="14"/>
              <c:tx>
                <c:rich>
                  <a:bodyPr/>
                  <a:lstStyle/>
                  <a:p>
                    <a:fld id="{7A5977D5-D00A-48F8-8F91-8B06A153B9B7}"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6A0B-4201-9116-706D0817E6DE}"/>
                </c:ext>
              </c:extLst>
            </c:dLbl>
            <c:dLbl>
              <c:idx val="15"/>
              <c:tx>
                <c:rich>
                  <a:bodyPr/>
                  <a:lstStyle/>
                  <a:p>
                    <a:fld id="{DA19E1D4-740A-4E9F-A347-8F9382A31C39}"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6A0B-4201-9116-706D0817E6DE}"/>
                </c:ext>
              </c:extLst>
            </c:dLbl>
            <c:dLbl>
              <c:idx val="16"/>
              <c:tx>
                <c:rich>
                  <a:bodyPr/>
                  <a:lstStyle/>
                  <a:p>
                    <a:fld id="{0F31B643-43DF-41EA-B0CF-58B2EAE7CBD9}"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6A0B-4201-9116-706D0817E6DE}"/>
                </c:ext>
              </c:extLst>
            </c:dLbl>
            <c:dLbl>
              <c:idx val="17"/>
              <c:tx>
                <c:rich>
                  <a:bodyPr/>
                  <a:lstStyle/>
                  <a:p>
                    <a:fld id="{DFB96F4C-0E7C-46E8-9522-023D896DA635}"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6A0B-4201-9116-706D0817E6DE}"/>
                </c:ext>
              </c:extLst>
            </c:dLbl>
            <c:dLbl>
              <c:idx val="18"/>
              <c:tx>
                <c:rich>
                  <a:bodyPr/>
                  <a:lstStyle/>
                  <a:p>
                    <a:fld id="{D60F6129-2814-4DE2-A736-84B400DDEDC1}"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6A0B-4201-9116-706D0817E6DE}"/>
                </c:ext>
              </c:extLst>
            </c:dLbl>
            <c:dLbl>
              <c:idx val="19"/>
              <c:tx>
                <c:rich>
                  <a:bodyPr/>
                  <a:lstStyle/>
                  <a:p>
                    <a:fld id="{7D19AE7F-A3FA-4A24-A3B4-B8B65D096E8C}"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6A0B-4201-9116-706D0817E6DE}"/>
                </c:ext>
              </c:extLst>
            </c:dLbl>
            <c:dLbl>
              <c:idx val="20"/>
              <c:tx>
                <c:rich>
                  <a:bodyPr/>
                  <a:lstStyle/>
                  <a:p>
                    <a:fld id="{866DFE8B-B54A-4AB1-9EAB-B6E3A2B3000D}"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6A0B-4201-9116-706D0817E6DE}"/>
                </c:ext>
              </c:extLst>
            </c:dLbl>
            <c:dLbl>
              <c:idx val="21"/>
              <c:tx>
                <c:rich>
                  <a:bodyPr/>
                  <a:lstStyle/>
                  <a:p>
                    <a:fld id="{F2083B65-33B7-42EC-A6AF-585AE02BBA8C}"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6A0B-4201-9116-706D0817E6DE}"/>
                </c:ext>
              </c:extLst>
            </c:dLbl>
            <c:dLbl>
              <c:idx val="22"/>
              <c:tx>
                <c:rich>
                  <a:bodyPr/>
                  <a:lstStyle/>
                  <a:p>
                    <a:fld id="{DEB0BD9B-21A1-4361-B786-1F45DBADB268}"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6A0B-4201-9116-706D0817E6DE}"/>
                </c:ext>
              </c:extLst>
            </c:dLbl>
            <c:dLbl>
              <c:idx val="23"/>
              <c:tx>
                <c:rich>
                  <a:bodyPr/>
                  <a:lstStyle/>
                  <a:p>
                    <a:fld id="{114A231F-FE76-40BD-B9EE-4476C06AD519}"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6A0B-4201-9116-706D0817E6DE}"/>
                </c:ext>
              </c:extLst>
            </c:dLbl>
            <c:dLbl>
              <c:idx val="24"/>
              <c:tx>
                <c:rich>
                  <a:bodyPr/>
                  <a:lstStyle/>
                  <a:p>
                    <a:fld id="{F9C311DA-F101-4B49-AB2B-DA7403E69FA3}"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6A0B-4201-9116-706D0817E6DE}"/>
                </c:ext>
              </c:extLst>
            </c:dLbl>
            <c:dLbl>
              <c:idx val="25"/>
              <c:tx>
                <c:rich>
                  <a:bodyPr/>
                  <a:lstStyle/>
                  <a:p>
                    <a:fld id="{B5BA6D42-2D7F-4834-A1C0-9B1881F3483D}"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6A0B-4201-9116-706D0817E6DE}"/>
                </c:ext>
              </c:extLst>
            </c:dLbl>
            <c:dLbl>
              <c:idx val="26"/>
              <c:tx>
                <c:rich>
                  <a:bodyPr/>
                  <a:lstStyle/>
                  <a:p>
                    <a:fld id="{9D69B5C5-D0C5-427D-824C-2B3C8902A041}"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6A0B-4201-9116-706D0817E6DE}"/>
                </c:ext>
              </c:extLst>
            </c:dLbl>
            <c:dLbl>
              <c:idx val="27"/>
              <c:tx>
                <c:rich>
                  <a:bodyPr/>
                  <a:lstStyle/>
                  <a:p>
                    <a:fld id="{979D02E4-C29C-48A1-90DF-240B016AC79B}"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6A0B-4201-9116-706D0817E6DE}"/>
                </c:ext>
              </c:extLst>
            </c:dLbl>
            <c:dLbl>
              <c:idx val="28"/>
              <c:tx>
                <c:rich>
                  <a:bodyPr/>
                  <a:lstStyle/>
                  <a:p>
                    <a:fld id="{352742BC-AC86-4E11-800E-EAD286A26BC8}"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6A0B-4201-9116-706D0817E6DE}"/>
                </c:ext>
              </c:extLst>
            </c:dLbl>
            <c:dLbl>
              <c:idx val="29"/>
              <c:tx>
                <c:rich>
                  <a:bodyPr/>
                  <a:lstStyle/>
                  <a:p>
                    <a:fld id="{4100034A-9F50-4F10-A660-E876E170FB36}"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6A0B-4201-9116-706D0817E6DE}"/>
                </c:ext>
              </c:extLst>
            </c:dLbl>
            <c:dLbl>
              <c:idx val="30"/>
              <c:tx>
                <c:rich>
                  <a:bodyPr/>
                  <a:lstStyle/>
                  <a:p>
                    <a:fld id="{3E3FE6CB-A004-4C48-8FFF-1EA7F21A819B}"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6A0B-4201-9116-706D0817E6DE}"/>
                </c:ext>
              </c:extLst>
            </c:dLbl>
            <c:dLbl>
              <c:idx val="31"/>
              <c:tx>
                <c:rich>
                  <a:bodyPr/>
                  <a:lstStyle/>
                  <a:p>
                    <a:fld id="{8949767C-955B-4208-81D4-6DE8B9EECC06}"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6A0B-4201-9116-706D0817E6DE}"/>
                </c:ext>
              </c:extLst>
            </c:dLbl>
            <c:dLbl>
              <c:idx val="32"/>
              <c:tx>
                <c:rich>
                  <a:bodyPr/>
                  <a:lstStyle/>
                  <a:p>
                    <a:fld id="{FDB62AC0-763E-47FC-9EFF-D7D6DB04AF7F}"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6A0B-4201-9116-706D0817E6DE}"/>
                </c:ext>
              </c:extLst>
            </c:dLbl>
            <c:dLbl>
              <c:idx val="33"/>
              <c:tx>
                <c:rich>
                  <a:bodyPr/>
                  <a:lstStyle/>
                  <a:p>
                    <a:fld id="{99F700DC-A4B0-41D6-A94B-E9EAE005B4DB}"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6A0B-4201-9116-706D0817E6DE}"/>
                </c:ext>
              </c:extLst>
            </c:dLbl>
            <c:dLbl>
              <c:idx val="34"/>
              <c:tx>
                <c:rich>
                  <a:bodyPr/>
                  <a:lstStyle/>
                  <a:p>
                    <a:fld id="{01A54A6A-1C37-4620-9281-2549633C69D3}"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6A0B-4201-9116-706D0817E6DE}"/>
                </c:ext>
              </c:extLst>
            </c:dLbl>
            <c:dLbl>
              <c:idx val="35"/>
              <c:tx>
                <c:rich>
                  <a:bodyPr/>
                  <a:lstStyle/>
                  <a:p>
                    <a:fld id="{CDD70BCF-8C4C-4365-A122-58FD18D9F4E6}"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6A0B-4201-9116-706D0817E6DE}"/>
                </c:ext>
              </c:extLst>
            </c:dLbl>
            <c:dLbl>
              <c:idx val="36"/>
              <c:tx>
                <c:rich>
                  <a:bodyPr/>
                  <a:lstStyle/>
                  <a:p>
                    <a:fld id="{CE43F455-88EE-48B9-8DE5-71260BF472E8}"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6A0B-4201-9116-706D0817E6DE}"/>
                </c:ext>
              </c:extLst>
            </c:dLbl>
            <c:dLbl>
              <c:idx val="37"/>
              <c:tx>
                <c:rich>
                  <a:bodyPr/>
                  <a:lstStyle/>
                  <a:p>
                    <a:fld id="{BE70D1DA-94A5-473F-9C06-ACB704C961E3}"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6A0B-4201-9116-706D0817E6DE}"/>
                </c:ext>
              </c:extLst>
            </c:dLbl>
            <c:dLbl>
              <c:idx val="38"/>
              <c:tx>
                <c:rich>
                  <a:bodyPr/>
                  <a:lstStyle/>
                  <a:p>
                    <a:fld id="{F75DD7DB-E91C-401C-B11F-6068CA7BD5A7}"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6A0B-4201-9116-706D0817E6DE}"/>
                </c:ext>
              </c:extLst>
            </c:dLbl>
            <c:dLbl>
              <c:idx val="39"/>
              <c:tx>
                <c:rich>
                  <a:bodyPr/>
                  <a:lstStyle/>
                  <a:p>
                    <a:fld id="{2AEBD9E1-BB5E-4F8C-B92F-07B62056A54F}"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6A0B-4201-9116-706D0817E6DE}"/>
                </c:ext>
              </c:extLst>
            </c:dLbl>
            <c:dLbl>
              <c:idx val="40"/>
              <c:tx>
                <c:rich>
                  <a:bodyPr/>
                  <a:lstStyle/>
                  <a:p>
                    <a:fld id="{D5DE17DB-550F-4FC3-893C-279C858B70E1}"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6A0B-4201-9116-706D0817E6DE}"/>
                </c:ext>
              </c:extLst>
            </c:dLbl>
            <c:dLbl>
              <c:idx val="41"/>
              <c:tx>
                <c:rich>
                  <a:bodyPr/>
                  <a:lstStyle/>
                  <a:p>
                    <a:fld id="{4CB32477-796A-4169-A518-6B5FEF95B2F2}"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6A0B-4201-9116-706D0817E6DE}"/>
                </c:ext>
              </c:extLst>
            </c:dLbl>
            <c:dLbl>
              <c:idx val="42"/>
              <c:tx>
                <c:rich>
                  <a:bodyPr/>
                  <a:lstStyle/>
                  <a:p>
                    <a:fld id="{37A1D219-DBE4-422E-8295-20B81FD4E00F}"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6A0B-4201-9116-706D0817E6DE}"/>
                </c:ext>
              </c:extLst>
            </c:dLbl>
            <c:dLbl>
              <c:idx val="43"/>
              <c:tx>
                <c:rich>
                  <a:bodyPr/>
                  <a:lstStyle/>
                  <a:p>
                    <a:fld id="{D2EAC749-6A57-4C08-A8C8-216F23365D23}"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6A0B-4201-9116-706D0817E6DE}"/>
                </c:ext>
              </c:extLst>
            </c:dLbl>
            <c:dLbl>
              <c:idx val="44"/>
              <c:tx>
                <c:rich>
                  <a:bodyPr/>
                  <a:lstStyle/>
                  <a:p>
                    <a:fld id="{F465B158-4636-42FE-A15F-C969FD3B8383}"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6A0B-4201-9116-706D0817E6DE}"/>
                </c:ext>
              </c:extLst>
            </c:dLbl>
            <c:dLbl>
              <c:idx val="45"/>
              <c:tx>
                <c:rich>
                  <a:bodyPr/>
                  <a:lstStyle/>
                  <a:p>
                    <a:fld id="{EF101094-4D88-4BF3-88A8-EFBCD7458A65}"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6A0B-4201-9116-706D0817E6DE}"/>
                </c:ext>
              </c:extLst>
            </c:dLbl>
            <c:dLbl>
              <c:idx val="46"/>
              <c:tx>
                <c:rich>
                  <a:bodyPr/>
                  <a:lstStyle/>
                  <a:p>
                    <a:fld id="{ABF6E612-2AF4-48E5-872A-2EE840AFE7F0}"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6A0B-4201-9116-706D0817E6DE}"/>
                </c:ext>
              </c:extLst>
            </c:dLbl>
            <c:dLbl>
              <c:idx val="47"/>
              <c:tx>
                <c:rich>
                  <a:bodyPr/>
                  <a:lstStyle/>
                  <a:p>
                    <a:fld id="{F46BEB0C-6E77-456D-ACB9-BE35BAE5F682}"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6A0B-4201-9116-706D0817E6DE}"/>
                </c:ext>
              </c:extLst>
            </c:dLbl>
            <c:dLbl>
              <c:idx val="48"/>
              <c:tx>
                <c:rich>
                  <a:bodyPr/>
                  <a:lstStyle/>
                  <a:p>
                    <a:fld id="{06D22B7A-7BD4-4969-8BD9-99EAF1ACAB25}"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6A0B-4201-9116-706D0817E6DE}"/>
                </c:ext>
              </c:extLst>
            </c:dLbl>
            <c:dLbl>
              <c:idx val="49"/>
              <c:tx>
                <c:rich>
                  <a:bodyPr/>
                  <a:lstStyle/>
                  <a:p>
                    <a:fld id="{37BD2B3C-144A-4957-8E6C-EBE0EB16C49D}"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6A0B-4201-9116-706D0817E6DE}"/>
                </c:ext>
              </c:extLst>
            </c:dLbl>
            <c:dLbl>
              <c:idx val="50"/>
              <c:tx>
                <c:rich>
                  <a:bodyPr/>
                  <a:lstStyle/>
                  <a:p>
                    <a:fld id="{5C6121A5-DCB3-45AD-870A-F4BB6816D5A3}"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6A0B-4201-9116-706D0817E6DE}"/>
                </c:ext>
              </c:extLst>
            </c:dLbl>
            <c:dLbl>
              <c:idx val="51"/>
              <c:tx>
                <c:rich>
                  <a:bodyPr/>
                  <a:lstStyle/>
                  <a:p>
                    <a:fld id="{969FC837-E0A4-457D-B08A-B30573C928D2}"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6A0B-4201-9116-706D0817E6DE}"/>
                </c:ext>
              </c:extLst>
            </c:dLbl>
            <c:dLbl>
              <c:idx val="52"/>
              <c:tx>
                <c:rich>
                  <a:bodyPr/>
                  <a:lstStyle/>
                  <a:p>
                    <a:fld id="{26DFEB7D-8F53-48C0-9FA3-6D7F4CF901CD}"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6A0B-4201-9116-706D0817E6DE}"/>
                </c:ext>
              </c:extLst>
            </c:dLbl>
            <c:dLbl>
              <c:idx val="53"/>
              <c:tx>
                <c:rich>
                  <a:bodyPr/>
                  <a:lstStyle/>
                  <a:p>
                    <a:fld id="{9BFF125A-1663-44D7-872F-8EE655847FDE}"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6A0B-4201-9116-706D0817E6DE}"/>
                </c:ext>
              </c:extLst>
            </c:dLbl>
            <c:dLbl>
              <c:idx val="54"/>
              <c:tx>
                <c:rich>
                  <a:bodyPr/>
                  <a:lstStyle/>
                  <a:p>
                    <a:fld id="{B65BD399-B774-4BF7-977C-786145B4641E}"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6A0B-4201-9116-706D0817E6DE}"/>
                </c:ext>
              </c:extLst>
            </c:dLbl>
            <c:dLbl>
              <c:idx val="55"/>
              <c:tx>
                <c:rich>
                  <a:bodyPr/>
                  <a:lstStyle/>
                  <a:p>
                    <a:fld id="{A4328D71-278C-4228-8645-8FB18F64C525}"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6A0B-4201-9116-706D0817E6DE}"/>
                </c:ext>
              </c:extLst>
            </c:dLbl>
            <c:dLbl>
              <c:idx val="56"/>
              <c:tx>
                <c:rich>
                  <a:bodyPr/>
                  <a:lstStyle/>
                  <a:p>
                    <a:fld id="{8B5ED88E-5679-4EC7-A761-DB148B4190FE}"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6A0B-4201-9116-706D0817E6DE}"/>
                </c:ext>
              </c:extLst>
            </c:dLbl>
            <c:dLbl>
              <c:idx val="57"/>
              <c:tx>
                <c:rich>
                  <a:bodyPr/>
                  <a:lstStyle/>
                  <a:p>
                    <a:fld id="{CF948B46-54DE-415E-8CBF-C5995880D143}"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6A0B-4201-9116-706D0817E6DE}"/>
                </c:ext>
              </c:extLst>
            </c:dLbl>
            <c:dLbl>
              <c:idx val="58"/>
              <c:tx>
                <c:rich>
                  <a:bodyPr/>
                  <a:lstStyle/>
                  <a:p>
                    <a:fld id="{2ADAD3F0-C1CC-4EF6-89CC-387B6B2BDFF0}"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A-6A0B-4201-9116-706D0817E6DE}"/>
                </c:ext>
              </c:extLst>
            </c:dLbl>
            <c:dLbl>
              <c:idx val="59"/>
              <c:tx>
                <c:rich>
                  <a:bodyPr/>
                  <a:lstStyle/>
                  <a:p>
                    <a:fld id="{CFE42582-F849-442A-8B4D-82391AAE1BD8}"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6A0B-4201-9116-706D0817E6DE}"/>
                </c:ext>
              </c:extLst>
            </c:dLbl>
            <c:dLbl>
              <c:idx val="60"/>
              <c:tx>
                <c:rich>
                  <a:bodyPr/>
                  <a:lstStyle/>
                  <a:p>
                    <a:fld id="{C95B44F1-DAE3-4E54-B25E-EC2AFAAE7A3C}"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6A0B-4201-9116-706D0817E6DE}"/>
                </c:ext>
              </c:extLst>
            </c:dLbl>
            <c:dLbl>
              <c:idx val="61"/>
              <c:tx>
                <c:rich>
                  <a:bodyPr/>
                  <a:lstStyle/>
                  <a:p>
                    <a:fld id="{C3B0439F-FB63-4571-9612-6D7A6F0862CC}"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6A0B-4201-9116-706D0817E6DE}"/>
                </c:ext>
              </c:extLst>
            </c:dLbl>
            <c:dLbl>
              <c:idx val="62"/>
              <c:tx>
                <c:rich>
                  <a:bodyPr/>
                  <a:lstStyle/>
                  <a:p>
                    <a:fld id="{6E71C40F-434D-4403-8BA6-5AFA4BCE95FE}"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6A0B-4201-9116-706D0817E6DE}"/>
                </c:ext>
              </c:extLst>
            </c:dLbl>
            <c:dLbl>
              <c:idx val="63"/>
              <c:tx>
                <c:rich>
                  <a:bodyPr/>
                  <a:lstStyle/>
                  <a:p>
                    <a:fld id="{A93516AD-0433-43D6-A5BA-65C4ACF0385F}"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6A0B-4201-9116-706D0817E6DE}"/>
                </c:ext>
              </c:extLst>
            </c:dLbl>
            <c:dLbl>
              <c:idx val="64"/>
              <c:tx>
                <c:rich>
                  <a:bodyPr/>
                  <a:lstStyle/>
                  <a:p>
                    <a:fld id="{0304868E-2053-447E-88BD-E3CA53A8DAB8}"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0-6A0B-4201-9116-706D0817E6DE}"/>
                </c:ext>
              </c:extLst>
            </c:dLbl>
            <c:dLbl>
              <c:idx val="65"/>
              <c:tx>
                <c:rich>
                  <a:bodyPr/>
                  <a:lstStyle/>
                  <a:p>
                    <a:fld id="{792A0E9F-26CB-4F8E-BD69-F0C2592CF72D}"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1-6A0B-4201-9116-706D0817E6DE}"/>
                </c:ext>
              </c:extLst>
            </c:dLbl>
            <c:dLbl>
              <c:idx val="66"/>
              <c:tx>
                <c:rich>
                  <a:bodyPr/>
                  <a:lstStyle/>
                  <a:p>
                    <a:fld id="{8293D589-8463-408D-84B9-82CBC28D8FE6}"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6A0B-4201-9116-706D0817E6DE}"/>
                </c:ext>
              </c:extLst>
            </c:dLbl>
            <c:dLbl>
              <c:idx val="67"/>
              <c:tx>
                <c:rich>
                  <a:bodyPr/>
                  <a:lstStyle/>
                  <a:p>
                    <a:fld id="{E1E136A5-1830-4C8B-AFE8-4B6A7F72D665}"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3-6A0B-4201-9116-706D0817E6DE}"/>
                </c:ext>
              </c:extLst>
            </c:dLbl>
            <c:dLbl>
              <c:idx val="68"/>
              <c:tx>
                <c:rich>
                  <a:bodyPr/>
                  <a:lstStyle/>
                  <a:p>
                    <a:fld id="{18919ADE-DE04-4B0A-83DE-668DAC3EBBB1}"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4-6A0B-4201-9116-706D0817E6DE}"/>
                </c:ext>
              </c:extLst>
            </c:dLbl>
            <c:dLbl>
              <c:idx val="69"/>
              <c:tx>
                <c:rich>
                  <a:bodyPr/>
                  <a:lstStyle/>
                  <a:p>
                    <a:fld id="{29B62959-EF43-428C-A897-A307AEA5B520}"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5-6A0B-4201-9116-706D0817E6DE}"/>
                </c:ext>
              </c:extLst>
            </c:dLbl>
            <c:dLbl>
              <c:idx val="70"/>
              <c:tx>
                <c:rich>
                  <a:bodyPr/>
                  <a:lstStyle/>
                  <a:p>
                    <a:fld id="{3636C777-B3AF-431D-9A48-9C110C2AD860}"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6-6A0B-4201-9116-706D0817E6DE}"/>
                </c:ext>
              </c:extLst>
            </c:dLbl>
            <c:dLbl>
              <c:idx val="71"/>
              <c:tx>
                <c:rich>
                  <a:bodyPr/>
                  <a:lstStyle/>
                  <a:p>
                    <a:fld id="{B5402387-E760-4C93-8F67-1F504B0FC0B0}"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7-6A0B-4201-9116-706D0817E6DE}"/>
                </c:ext>
              </c:extLst>
            </c:dLbl>
            <c:dLbl>
              <c:idx val="72"/>
              <c:tx>
                <c:rich>
                  <a:bodyPr/>
                  <a:lstStyle/>
                  <a:p>
                    <a:fld id="{994335BC-712A-4027-8FAD-D294AACC2AB3}"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8-6A0B-4201-9116-706D0817E6DE}"/>
                </c:ext>
              </c:extLst>
            </c:dLbl>
            <c:dLbl>
              <c:idx val="73"/>
              <c:tx>
                <c:rich>
                  <a:bodyPr/>
                  <a:lstStyle/>
                  <a:p>
                    <a:fld id="{90120DFD-73AF-4CDF-9455-3C50D03B4275}"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9-6A0B-4201-9116-706D0817E6DE}"/>
                </c:ext>
              </c:extLst>
            </c:dLbl>
            <c:dLbl>
              <c:idx val="74"/>
              <c:tx>
                <c:rich>
                  <a:bodyPr/>
                  <a:lstStyle/>
                  <a:p>
                    <a:fld id="{01D52BE2-3D5B-4949-8F4B-3F77DD4553DC}"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A-6A0B-4201-9116-706D0817E6DE}"/>
                </c:ext>
              </c:extLst>
            </c:dLbl>
            <c:dLbl>
              <c:idx val="75"/>
              <c:tx>
                <c:rich>
                  <a:bodyPr/>
                  <a:lstStyle/>
                  <a:p>
                    <a:fld id="{C897CDAE-92FD-47E1-9948-789289BAC5A4}"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B-6A0B-4201-9116-706D0817E6DE}"/>
                </c:ext>
              </c:extLst>
            </c:dLbl>
            <c:dLbl>
              <c:idx val="76"/>
              <c:tx>
                <c:rich>
                  <a:bodyPr/>
                  <a:lstStyle/>
                  <a:p>
                    <a:fld id="{294BF903-BF89-4BEF-B63B-9148A34CB49F}"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C-6A0B-4201-9116-706D0817E6DE}"/>
                </c:ext>
              </c:extLst>
            </c:dLbl>
            <c:dLbl>
              <c:idx val="77"/>
              <c:tx>
                <c:rich>
                  <a:bodyPr/>
                  <a:lstStyle/>
                  <a:p>
                    <a:fld id="{85DE8BED-0ED6-43EB-8422-52B0EBE40085}"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D-6A0B-4201-9116-706D0817E6DE}"/>
                </c:ext>
              </c:extLst>
            </c:dLbl>
            <c:dLbl>
              <c:idx val="78"/>
              <c:tx>
                <c:rich>
                  <a:bodyPr/>
                  <a:lstStyle/>
                  <a:p>
                    <a:fld id="{E6FF63CD-44BE-4F99-BD1B-BA4253EB0480}"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E-6A0B-4201-9116-706D0817E6DE}"/>
                </c:ext>
              </c:extLst>
            </c:dLbl>
            <c:dLbl>
              <c:idx val="79"/>
              <c:tx>
                <c:rich>
                  <a:bodyPr/>
                  <a:lstStyle/>
                  <a:p>
                    <a:fld id="{84377CCB-E39A-47CA-ACC4-C29458FBCF10}"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F-6A0B-4201-9116-706D0817E6DE}"/>
                </c:ext>
              </c:extLst>
            </c:dLbl>
            <c:dLbl>
              <c:idx val="80"/>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0-6A0B-4201-9116-706D0817E6DE}"/>
                </c:ext>
              </c:extLst>
            </c:dLbl>
            <c:dLbl>
              <c:idx val="81"/>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1-6A0B-4201-9116-706D0817E6DE}"/>
                </c:ext>
              </c:extLst>
            </c:dLbl>
            <c:dLbl>
              <c:idx val="82"/>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2-6A0B-4201-9116-706D0817E6DE}"/>
                </c:ext>
              </c:extLst>
            </c:dLbl>
            <c:dLbl>
              <c:idx val="83"/>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3-6A0B-4201-9116-706D0817E6DE}"/>
                </c:ext>
              </c:extLst>
            </c:dLbl>
            <c:dLbl>
              <c:idx val="84"/>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4-6A0B-4201-9116-706D0817E6DE}"/>
                </c:ext>
              </c:extLst>
            </c:dLbl>
            <c:dLbl>
              <c:idx val="85"/>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5-6A0B-4201-9116-706D0817E6DE}"/>
                </c:ext>
              </c:extLst>
            </c:dLbl>
            <c:dLbl>
              <c:idx val="86"/>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6-6A0B-4201-9116-706D0817E6DE}"/>
                </c:ext>
              </c:extLst>
            </c:dLbl>
            <c:dLbl>
              <c:idx val="87"/>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7-6A0B-4201-9116-706D0817E6DE}"/>
                </c:ext>
              </c:extLst>
            </c:dLbl>
            <c:dLbl>
              <c:idx val="88"/>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8-6A0B-4201-9116-706D0817E6DE}"/>
                </c:ext>
              </c:extLst>
            </c:dLbl>
            <c:dLbl>
              <c:idx val="89"/>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9-6A0B-4201-9116-706D0817E6DE}"/>
                </c:ext>
              </c:extLst>
            </c:dLbl>
            <c:dLbl>
              <c:idx val="90"/>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A-6A0B-4201-9116-706D0817E6DE}"/>
                </c:ext>
              </c:extLst>
            </c:dLbl>
            <c:dLbl>
              <c:idx val="91"/>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B-6A0B-4201-9116-706D0817E6DE}"/>
                </c:ext>
              </c:extLst>
            </c:dLbl>
            <c:dLbl>
              <c:idx val="92"/>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C-6A0B-4201-9116-706D0817E6DE}"/>
                </c:ext>
              </c:extLst>
            </c:dLbl>
            <c:dLbl>
              <c:idx val="93"/>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D-6A0B-4201-9116-706D0817E6DE}"/>
                </c:ext>
              </c:extLst>
            </c:dLbl>
            <c:spPr>
              <a:noFill/>
              <a:ln>
                <a:noFill/>
              </a:ln>
              <a:effectLst/>
            </c:spPr>
            <c:txPr>
              <a:bodyPr wrap="square" lIns="38100" tIns="19050" rIns="38100" bIns="19050" anchor="ctr">
                <a:spAutoFit/>
              </a:bodyPr>
              <a:lstStyle/>
              <a:p>
                <a:pPr>
                  <a:defRPr sz="1000" baseline="0">
                    <a:solidFill>
                      <a:schemeClr val="bg1">
                        <a:lumMod val="75000"/>
                      </a:schemeClr>
                    </a:solidFill>
                  </a:defRPr>
                </a:pPr>
                <a:endParaRPr lang="fr-FR"/>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trendline>
            <c:spPr>
              <a:ln w="38100">
                <a:solidFill>
                  <a:srgbClr val="000000"/>
                </a:solidFill>
                <a:prstDash val="sysDash"/>
              </a:ln>
            </c:spPr>
            <c:trendlineType val="linear"/>
            <c:dispRSqr val="0"/>
            <c:dispEq val="0"/>
          </c:trendline>
          <c:trendline>
            <c:trendlineType val="linear"/>
            <c:dispRSqr val="0"/>
            <c:dispEq val="0"/>
          </c:trendline>
          <c:xVal>
            <c:numRef>
              <c:f>Dansler!$F$63:$F$156</c:f>
              <c:numCache>
                <c:formatCode>General</c:formatCode>
                <c:ptCount val="94"/>
                <c:pt idx="0">
                  <c:v>3.47844615379586</c:v>
                </c:pt>
                <c:pt idx="1">
                  <c:v>4.2718664341914101</c:v>
                </c:pt>
                <c:pt idx="2">
                  <c:v>3.3444845835673198</c:v>
                </c:pt>
                <c:pt idx="3">
                  <c:v>4.6539353027743902</c:v>
                </c:pt>
                <c:pt idx="4">
                  <c:v>4.1095108741988504</c:v>
                </c:pt>
                <c:pt idx="5">
                  <c:v>4.4478419076573701</c:v>
                </c:pt>
                <c:pt idx="6">
                  <c:v>2.91014589101531</c:v>
                </c:pt>
                <c:pt idx="7">
                  <c:v>3.9000318345338099</c:v>
                </c:pt>
                <c:pt idx="8">
                  <c:v>4.6715163324814002</c:v>
                </c:pt>
                <c:pt idx="9">
                  <c:v>4.4731904127693403</c:v>
                </c:pt>
                <c:pt idx="10">
                  <c:v>5.5500296966184397</c:v>
                </c:pt>
                <c:pt idx="11">
                  <c:v>5.0846790982685297</c:v>
                </c:pt>
                <c:pt idx="12">
                  <c:v>4.1810970565210601</c:v>
                </c:pt>
                <c:pt idx="13">
                  <c:v>4.2050621877936898</c:v>
                </c:pt>
                <c:pt idx="14">
                  <c:v>4.0841259592860197</c:v>
                </c:pt>
                <c:pt idx="15">
                  <c:v>4.4499461857841798</c:v>
                </c:pt>
                <c:pt idx="16">
                  <c:v>4.4336482004287703</c:v>
                </c:pt>
                <c:pt idx="17">
                  <c:v>3.0309094325747399</c:v>
                </c:pt>
                <c:pt idx="18">
                  <c:v>4.4478317263784701</c:v>
                </c:pt>
                <c:pt idx="19">
                  <c:v>4.7728318939807899</c:v>
                </c:pt>
                <c:pt idx="20">
                  <c:v>4.3439984653692099</c:v>
                </c:pt>
                <c:pt idx="21">
                  <c:v>5.6741071493256303</c:v>
                </c:pt>
                <c:pt idx="22">
                  <c:v>4.8813375764131797</c:v>
                </c:pt>
                <c:pt idx="23">
                  <c:v>2.9735119437449802</c:v>
                </c:pt>
                <c:pt idx="24">
                  <c:v>5.7396722945713696</c:v>
                </c:pt>
                <c:pt idx="25">
                  <c:v>3.5782402559604001</c:v>
                </c:pt>
                <c:pt idx="26">
                  <c:v>3.73968965505702</c:v>
                </c:pt>
                <c:pt idx="27">
                  <c:v>5.5743514528973304</c:v>
                </c:pt>
                <c:pt idx="28">
                  <c:v>3.6473875466949401</c:v>
                </c:pt>
                <c:pt idx="29">
                  <c:v>5.8009594659327997</c:v>
                </c:pt>
                <c:pt idx="30">
                  <c:v>5.8103884360935103</c:v>
                </c:pt>
                <c:pt idx="31">
                  <c:v>3.7863973634816301</c:v>
                </c:pt>
                <c:pt idx="32">
                  <c:v>3.77311321512884</c:v>
                </c:pt>
                <c:pt idx="33">
                  <c:v>5.0895901054508004</c:v>
                </c:pt>
                <c:pt idx="34">
                  <c:v>5.24866876897784</c:v>
                </c:pt>
                <c:pt idx="35">
                  <c:v>2.1823726766819398</c:v>
                </c:pt>
                <c:pt idx="36">
                  <c:v>4.3031202036395904</c:v>
                </c:pt>
                <c:pt idx="37">
                  <c:v>3.8706551081084002</c:v>
                </c:pt>
                <c:pt idx="38">
                  <c:v>5.9338526510205796</c:v>
                </c:pt>
                <c:pt idx="39">
                  <c:v>4.7869939880706998</c:v>
                </c:pt>
                <c:pt idx="40">
                  <c:v>4.7006977756032802</c:v>
                </c:pt>
                <c:pt idx="41">
                  <c:v>5.1803263268448001</c:v>
                </c:pt>
                <c:pt idx="42">
                  <c:v>5.1276761465806597</c:v>
                </c:pt>
                <c:pt idx="43">
                  <c:v>4.2247403011843501</c:v>
                </c:pt>
                <c:pt idx="44">
                  <c:v>6.1416111527281299</c:v>
                </c:pt>
                <c:pt idx="45">
                  <c:v>4.5251017705010099</c:v>
                </c:pt>
                <c:pt idx="46">
                  <c:v>4.95723449815753</c:v>
                </c:pt>
                <c:pt idx="47">
                  <c:v>3.8128046624854499</c:v>
                </c:pt>
                <c:pt idx="48">
                  <c:v>3.8188887647056902</c:v>
                </c:pt>
                <c:pt idx="49">
                  <c:v>4.4711985575131097</c:v>
                </c:pt>
                <c:pt idx="50">
                  <c:v>2.9582538516877901</c:v>
                </c:pt>
                <c:pt idx="51">
                  <c:v>5.4898214779875802</c:v>
                </c:pt>
                <c:pt idx="52">
                  <c:v>4.9569655267445398</c:v>
                </c:pt>
                <c:pt idx="53">
                  <c:v>4.5082021008747102</c:v>
                </c:pt>
                <c:pt idx="54">
                  <c:v>6.6869255432391697</c:v>
                </c:pt>
                <c:pt idx="55">
                  <c:v>3.9290032719157901</c:v>
                </c:pt>
                <c:pt idx="56">
                  <c:v>4.0612238864004198</c:v>
                </c:pt>
                <c:pt idx="57">
                  <c:v>3.0402558125003201</c:v>
                </c:pt>
                <c:pt idx="58">
                  <c:v>5.1472336512949903</c:v>
                </c:pt>
                <c:pt idx="59">
                  <c:v>4.0761283951438498</c:v>
                </c:pt>
                <c:pt idx="60">
                  <c:v>6.7435586304031903</c:v>
                </c:pt>
                <c:pt idx="61">
                  <c:v>4.2953489666592803</c:v>
                </c:pt>
                <c:pt idx="62">
                  <c:v>4.4844909909743604</c:v>
                </c:pt>
                <c:pt idx="63">
                  <c:v>7.3300844560392902</c:v>
                </c:pt>
                <c:pt idx="64">
                  <c:v>6.6291203890753803</c:v>
                </c:pt>
                <c:pt idx="65">
                  <c:v>5.8670428891950896</c:v>
                </c:pt>
                <c:pt idx="66">
                  <c:v>5.8972890601066403</c:v>
                </c:pt>
                <c:pt idx="67">
                  <c:v>5.5837675076602302</c:v>
                </c:pt>
                <c:pt idx="68">
                  <c:v>6.87806501081268</c:v>
                </c:pt>
                <c:pt idx="69">
                  <c:v>4.8034882294286199</c:v>
                </c:pt>
                <c:pt idx="70">
                  <c:v>5.3923575109734001</c:v>
                </c:pt>
                <c:pt idx="71">
                  <c:v>6.28391934469684</c:v>
                </c:pt>
                <c:pt idx="72">
                  <c:v>6.9797345424951001</c:v>
                </c:pt>
                <c:pt idx="73">
                  <c:v>6.9574624819608601</c:v>
                </c:pt>
                <c:pt idx="74">
                  <c:v>6.57756121807558</c:v>
                </c:pt>
                <c:pt idx="75">
                  <c:v>5.9269135185416699</c:v>
                </c:pt>
                <c:pt idx="76">
                  <c:v>6.6885742546985396</c:v>
                </c:pt>
                <c:pt idx="77">
                  <c:v>6.51009536979742</c:v>
                </c:pt>
                <c:pt idx="78">
                  <c:v>6.39876348217732</c:v>
                </c:pt>
                <c:pt idx="79">
                  <c:v>8.2866521952096601</c:v>
                </c:pt>
              </c:numCache>
            </c:numRef>
          </c:xVal>
          <c:yVal>
            <c:numRef>
              <c:f>Dansler!$D$63:$D$156</c:f>
              <c:numCache>
                <c:formatCode>General</c:formatCode>
                <c:ptCount val="94"/>
                <c:pt idx="0">
                  <c:v>9.9399996000000002</c:v>
                </c:pt>
                <c:pt idx="1">
                  <c:v>10.0200005</c:v>
                </c:pt>
                <c:pt idx="2">
                  <c:v>10</c:v>
                </c:pt>
                <c:pt idx="3">
                  <c:v>10.5</c:v>
                </c:pt>
                <c:pt idx="4">
                  <c:v>10.779999699999999</c:v>
                </c:pt>
                <c:pt idx="5">
                  <c:v>10.449999800000001</c:v>
                </c:pt>
                <c:pt idx="6">
                  <c:v>11.0200005</c:v>
                </c:pt>
                <c:pt idx="7">
                  <c:v>10.800000199999999</c:v>
                </c:pt>
                <c:pt idx="8">
                  <c:v>10.8800001</c:v>
                </c:pt>
                <c:pt idx="9">
                  <c:v>11.0600004</c:v>
                </c:pt>
                <c:pt idx="10">
                  <c:v>11.0900002</c:v>
                </c:pt>
                <c:pt idx="11">
                  <c:v>11.6199999</c:v>
                </c:pt>
                <c:pt idx="12">
                  <c:v>9.9600000000000009</c:v>
                </c:pt>
                <c:pt idx="13">
                  <c:v>9.5</c:v>
                </c:pt>
                <c:pt idx="14">
                  <c:v>9.9899997999999997</c:v>
                </c:pt>
                <c:pt idx="15">
                  <c:v>10.0100002</c:v>
                </c:pt>
                <c:pt idx="16">
                  <c:v>9.8299999000000007</c:v>
                </c:pt>
                <c:pt idx="17">
                  <c:v>9.5699997000000003</c:v>
                </c:pt>
                <c:pt idx="18">
                  <c:v>9.9200000999999993</c:v>
                </c:pt>
                <c:pt idx="19">
                  <c:v>11.670000099999999</c:v>
                </c:pt>
                <c:pt idx="20">
                  <c:v>11.5</c:v>
                </c:pt>
                <c:pt idx="21">
                  <c:v>11.3699999</c:v>
                </c:pt>
                <c:pt idx="22">
                  <c:v>11.5900002</c:v>
                </c:pt>
                <c:pt idx="23">
                  <c:v>9.8800001000000002</c:v>
                </c:pt>
                <c:pt idx="24">
                  <c:v>11.8400002</c:v>
                </c:pt>
                <c:pt idx="25">
                  <c:v>10</c:v>
                </c:pt>
                <c:pt idx="26">
                  <c:v>10.100000400000001</c:v>
                </c:pt>
                <c:pt idx="27">
                  <c:v>11.399999599999999</c:v>
                </c:pt>
                <c:pt idx="28">
                  <c:v>10.279999699999999</c:v>
                </c:pt>
                <c:pt idx="29">
                  <c:v>12.21</c:v>
                </c:pt>
                <c:pt idx="30">
                  <c:v>11.9399996</c:v>
                </c:pt>
                <c:pt idx="31">
                  <c:v>10.3699999</c:v>
                </c:pt>
                <c:pt idx="32">
                  <c:v>10.3800001</c:v>
                </c:pt>
                <c:pt idx="33">
                  <c:v>9.8800001000000002</c:v>
                </c:pt>
                <c:pt idx="34">
                  <c:v>12.079999900000001</c:v>
                </c:pt>
                <c:pt idx="35">
                  <c:v>9.0799999000000007</c:v>
                </c:pt>
                <c:pt idx="36">
                  <c:v>10.800000199999999</c:v>
                </c:pt>
                <c:pt idx="37">
                  <c:v>9.3599996999999995</c:v>
                </c:pt>
                <c:pt idx="38">
                  <c:v>12.449999800000001</c:v>
                </c:pt>
                <c:pt idx="39">
                  <c:v>10.920000099999999</c:v>
                </c:pt>
                <c:pt idx="40">
                  <c:v>10.949999800000001</c:v>
                </c:pt>
                <c:pt idx="41">
                  <c:v>10.9899998</c:v>
                </c:pt>
                <c:pt idx="42">
                  <c:v>11</c:v>
                </c:pt>
                <c:pt idx="43">
                  <c:v>9.9700003000000006</c:v>
                </c:pt>
                <c:pt idx="44">
                  <c:v>12.899999599999999</c:v>
                </c:pt>
                <c:pt idx="45">
                  <c:v>10.529999699999999</c:v>
                </c:pt>
                <c:pt idx="46">
                  <c:v>11.0600004</c:v>
                </c:pt>
                <c:pt idx="47">
                  <c:v>9.1000004000000008</c:v>
                </c:pt>
                <c:pt idx="48">
                  <c:v>8.9700003000000006</c:v>
                </c:pt>
                <c:pt idx="49">
                  <c:v>11.1199999</c:v>
                </c:pt>
                <c:pt idx="50">
                  <c:v>9.2299994999999999</c:v>
                </c:pt>
                <c:pt idx="51">
                  <c:v>11.2299995</c:v>
                </c:pt>
                <c:pt idx="52">
                  <c:v>11.2299995</c:v>
                </c:pt>
                <c:pt idx="53">
                  <c:v>11.2399998</c:v>
                </c:pt>
                <c:pt idx="54">
                  <c:v>12.5600004</c:v>
                </c:pt>
                <c:pt idx="55">
                  <c:v>10.0699997</c:v>
                </c:pt>
                <c:pt idx="56">
                  <c:v>9.9399996000000002</c:v>
                </c:pt>
                <c:pt idx="57">
                  <c:v>10.2399998</c:v>
                </c:pt>
                <c:pt idx="58">
                  <c:v>11.420000099999999</c:v>
                </c:pt>
                <c:pt idx="59">
                  <c:v>10.5</c:v>
                </c:pt>
                <c:pt idx="60">
                  <c:v>13.140000300000001</c:v>
                </c:pt>
                <c:pt idx="61">
                  <c:v>11.699999800000001</c:v>
                </c:pt>
                <c:pt idx="62">
                  <c:v>10.3800001</c:v>
                </c:pt>
                <c:pt idx="63">
                  <c:v>13.350000400000001</c:v>
                </c:pt>
                <c:pt idx="64">
                  <c:v>12.6599998</c:v>
                </c:pt>
                <c:pt idx="65">
                  <c:v>11.9899998</c:v>
                </c:pt>
                <c:pt idx="66">
                  <c:v>12</c:v>
                </c:pt>
                <c:pt idx="67">
                  <c:v>12</c:v>
                </c:pt>
                <c:pt idx="68">
                  <c:v>13.1599998</c:v>
                </c:pt>
                <c:pt idx="69">
                  <c:v>12.170000099999999</c:v>
                </c:pt>
                <c:pt idx="70">
                  <c:v>10.970000300000001</c:v>
                </c:pt>
                <c:pt idx="71">
                  <c:v>12.2600002</c:v>
                </c:pt>
                <c:pt idx="72">
                  <c:v>13.029999699999999</c:v>
                </c:pt>
                <c:pt idx="73">
                  <c:v>12.359999699999999</c:v>
                </c:pt>
                <c:pt idx="74">
                  <c:v>12.399999599999999</c:v>
                </c:pt>
                <c:pt idx="75">
                  <c:v>12.5</c:v>
                </c:pt>
                <c:pt idx="76">
                  <c:v>12.600000400000001</c:v>
                </c:pt>
                <c:pt idx="77">
                  <c:v>12.670000099999999</c:v>
                </c:pt>
                <c:pt idx="78">
                  <c:v>12.699999800000001</c:v>
                </c:pt>
                <c:pt idx="79">
                  <c:v>14.4300003</c:v>
                </c:pt>
              </c:numCache>
            </c:numRef>
          </c:yVal>
          <c:smooth val="0"/>
          <c:extLst>
            <c:ext xmlns:c15="http://schemas.microsoft.com/office/drawing/2012/chart" uri="{02D57815-91ED-43cb-92C2-25804820EDAC}">
              <c15:datalabelsRange>
                <c15:f>Dansler!$B$63:$B$142</c15:f>
                <c15:dlblRangeCache>
                  <c:ptCount val="8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15:dlblRangeCache>
              </c15:datalabelsRange>
            </c:ext>
            <c:ext xmlns:c16="http://schemas.microsoft.com/office/drawing/2014/chart" uri="{C3380CC4-5D6E-409C-BE32-E72D297353CC}">
              <c16:uniqueId val="{00000060-6A0B-4201-9116-706D0817E6DE}"/>
            </c:ext>
          </c:extLst>
        </c:ser>
        <c:ser>
          <c:idx val="1"/>
          <c:order val="1"/>
          <c:tx>
            <c:v>45°</c:v>
          </c:tx>
          <c:spPr>
            <a:ln w="25400">
              <a:solidFill>
                <a:srgbClr val="FF0000"/>
              </a:solidFill>
              <a:prstDash val="solid"/>
            </a:ln>
          </c:spPr>
          <c:marker>
            <c:symbol val="none"/>
          </c:marker>
          <c:xVal>
            <c:numRef>
              <c:f>Dansler!$E$10:$E$11</c:f>
              <c:numCache>
                <c:formatCode>0.00</c:formatCode>
                <c:ptCount val="2"/>
                <c:pt idx="0">
                  <c:v>2</c:v>
                </c:pt>
                <c:pt idx="1">
                  <c:v>16</c:v>
                </c:pt>
              </c:numCache>
            </c:numRef>
          </c:xVal>
          <c:yVal>
            <c:numRef>
              <c:f>Dansler!$E$10:$E$11</c:f>
              <c:numCache>
                <c:formatCode>0.00</c:formatCode>
                <c:ptCount val="2"/>
                <c:pt idx="0">
                  <c:v>2</c:v>
                </c:pt>
                <c:pt idx="1">
                  <c:v>16</c:v>
                </c:pt>
              </c:numCache>
            </c:numRef>
          </c:yVal>
          <c:smooth val="0"/>
          <c:extLst>
            <c:ext xmlns:c16="http://schemas.microsoft.com/office/drawing/2014/chart" uri="{C3380CC4-5D6E-409C-BE32-E72D297353CC}">
              <c16:uniqueId val="{00000061-6A0B-4201-9116-706D0817E6DE}"/>
            </c:ext>
          </c:extLst>
        </c:ser>
        <c:ser>
          <c:idx val="2"/>
          <c:order val="2"/>
          <c:tx>
            <c:v>45°-Bias</c:v>
          </c:tx>
          <c:spPr>
            <a:ln w="38100">
              <a:solidFill>
                <a:srgbClr val="0000FF"/>
              </a:solidFill>
              <a:prstDash val="lgDashDotDot"/>
            </a:ln>
          </c:spPr>
          <c:marker>
            <c:symbol val="none"/>
          </c:marker>
          <c:xVal>
            <c:numRef>
              <c:f>Dansler!$W$10:$W$11</c:f>
              <c:numCache>
                <c:formatCode>0.00</c:formatCode>
                <c:ptCount val="2"/>
                <c:pt idx="0">
                  <c:v>-4.2148984423710676</c:v>
                </c:pt>
                <c:pt idx="1">
                  <c:v>9.7851015576289324</c:v>
                </c:pt>
              </c:numCache>
            </c:numRef>
          </c:xVal>
          <c:yVal>
            <c:numRef>
              <c:f>Dansler!$E$10:$E$11</c:f>
              <c:numCache>
                <c:formatCode>0.00</c:formatCode>
                <c:ptCount val="2"/>
                <c:pt idx="0">
                  <c:v>2</c:v>
                </c:pt>
                <c:pt idx="1">
                  <c:v>16</c:v>
                </c:pt>
              </c:numCache>
            </c:numRef>
          </c:yVal>
          <c:smooth val="0"/>
          <c:extLst>
            <c:ext xmlns:c16="http://schemas.microsoft.com/office/drawing/2014/chart" uri="{C3380CC4-5D6E-409C-BE32-E72D297353CC}">
              <c16:uniqueId val="{00000062-6A0B-4201-9116-706D0817E6DE}"/>
            </c:ext>
          </c:extLst>
        </c:ser>
        <c:ser>
          <c:idx val="3"/>
          <c:order val="3"/>
          <c:tx>
            <c:v>Least Rec </c:v>
          </c:tx>
          <c:spPr>
            <a:ln w="25400">
              <a:solidFill>
                <a:srgbClr val="FF9900"/>
              </a:solidFill>
              <a:prstDash val="sysDash"/>
            </a:ln>
          </c:spPr>
          <c:marker>
            <c:symbol val="none"/>
          </c:marker>
          <c:xVal>
            <c:numRef>
              <c:f>Dansler!$Y$19:$Y$20</c:f>
              <c:numCache>
                <c:formatCode>General</c:formatCode>
                <c:ptCount val="2"/>
                <c:pt idx="0">
                  <c:v>2</c:v>
                </c:pt>
                <c:pt idx="1">
                  <c:v>16</c:v>
                </c:pt>
              </c:numCache>
            </c:numRef>
          </c:xVal>
          <c:yVal>
            <c:numRef>
              <c:f>Dansler!$X$19:$X$20</c:f>
              <c:numCache>
                <c:formatCode>0.000</c:formatCode>
                <c:ptCount val="2"/>
                <c:pt idx="0">
                  <c:v>8.2733734742331873</c:v>
                </c:pt>
                <c:pt idx="1">
                  <c:v>21.990553737068169</c:v>
                </c:pt>
              </c:numCache>
            </c:numRef>
          </c:yVal>
          <c:smooth val="0"/>
          <c:extLst>
            <c:ext xmlns:c16="http://schemas.microsoft.com/office/drawing/2014/chart" uri="{C3380CC4-5D6E-409C-BE32-E72D297353CC}">
              <c16:uniqueId val="{00000063-6A0B-4201-9116-706D0817E6DE}"/>
            </c:ext>
          </c:extLst>
        </c:ser>
        <c:dLbls>
          <c:showLegendKey val="0"/>
          <c:showVal val="0"/>
          <c:showCatName val="0"/>
          <c:showSerName val="0"/>
          <c:showPercent val="0"/>
          <c:showBubbleSize val="0"/>
        </c:dLbls>
        <c:axId val="159636864"/>
        <c:axId val="201328128"/>
      </c:scatterChart>
      <c:valAx>
        <c:axId val="159636864"/>
        <c:scaling>
          <c:orientation val="minMax"/>
          <c:max val="18"/>
          <c:min val="0"/>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775" b="0" i="0" u="none" strike="noStrike" baseline="0">
                <a:solidFill>
                  <a:srgbClr val="000000"/>
                </a:solidFill>
                <a:latin typeface="Arial"/>
                <a:ea typeface="Arial"/>
                <a:cs typeface="Arial"/>
              </a:defRPr>
            </a:pPr>
            <a:endParaRPr lang="fr-FR"/>
          </a:p>
        </c:txPr>
        <c:crossAx val="201328128"/>
        <c:crosses val="autoZero"/>
        <c:crossBetween val="midCat"/>
      </c:valAx>
      <c:valAx>
        <c:axId val="201328128"/>
        <c:scaling>
          <c:orientation val="minMax"/>
          <c:max val="16"/>
          <c:min val="8"/>
        </c:scaling>
        <c:delete val="0"/>
        <c:axPos val="l"/>
        <c:numFmt formatCode="General" sourceLinked="1"/>
        <c:majorTickMark val="out"/>
        <c:minorTickMark val="none"/>
        <c:tickLblPos val="nextTo"/>
        <c:spPr>
          <a:ln w="3175">
            <a:solidFill>
              <a:srgbClr val="000000"/>
            </a:solidFill>
            <a:prstDash val="solid"/>
          </a:ln>
        </c:spPr>
        <c:txPr>
          <a:bodyPr rot="0" vert="horz"/>
          <a:lstStyle/>
          <a:p>
            <a:pPr>
              <a:defRPr sz="1775" b="0" i="0" u="none" strike="noStrike" baseline="0">
                <a:solidFill>
                  <a:srgbClr val="000000"/>
                </a:solidFill>
                <a:latin typeface="Arial"/>
                <a:ea typeface="Arial"/>
                <a:cs typeface="Arial"/>
              </a:defRPr>
            </a:pPr>
            <a:endParaRPr lang="fr-FR"/>
          </a:p>
        </c:txPr>
        <c:crossAx val="159636864"/>
        <c:crosses val="autoZero"/>
        <c:crossBetween val="midCat"/>
      </c:valAx>
      <c:spPr>
        <a:noFill/>
        <a:ln w="12700">
          <a:solidFill>
            <a:srgbClr val="808080"/>
          </a:solidFill>
          <a:prstDash val="solid"/>
        </a:ln>
      </c:spPr>
    </c:plotArea>
    <c:legend>
      <c:legendPos val="r"/>
      <c:legendEntry>
        <c:idx val="5"/>
        <c:delete val="1"/>
      </c:legendEntry>
      <c:layout>
        <c:manualLayout>
          <c:xMode val="edge"/>
          <c:yMode val="edge"/>
          <c:x val="0.79767434134024384"/>
          <c:y val="0.33862478127734036"/>
          <c:w val="0.15397255752001976"/>
          <c:h val="0.2372110830586843"/>
        </c:manualLayout>
      </c:layout>
      <c:overlay val="0"/>
      <c:spPr>
        <a:solidFill>
          <a:srgbClr val="FFFFFF"/>
        </a:solidFill>
        <a:ln w="3175">
          <a:solidFill>
            <a:srgbClr val="000000"/>
          </a:solidFill>
          <a:prstDash val="solid"/>
        </a:ln>
      </c:spPr>
      <c:txPr>
        <a:bodyPr/>
        <a:lstStyle/>
        <a:p>
          <a:pPr>
            <a:defRPr sz="1350" b="1" i="0" u="none" strike="noStrike" baseline="0">
              <a:solidFill>
                <a:srgbClr val="000000"/>
              </a:solidFill>
              <a:latin typeface="Arial"/>
              <a:ea typeface="Arial"/>
              <a:cs typeface="Arial"/>
            </a:defRPr>
          </a:pPr>
          <a:endParaRPr lang="fr-FR"/>
        </a:p>
      </c:txPr>
    </c:legend>
    <c:plotVisOnly val="1"/>
    <c:dispBlanksAs val="gap"/>
    <c:showDLblsOverMax val="0"/>
  </c:chart>
  <c:spPr>
    <a:solidFill>
      <a:srgbClr val="FFFFFF"/>
    </a:solidFill>
    <a:ln w="25400">
      <a:solidFill>
        <a:srgbClr val="000000"/>
      </a:solidFill>
      <a:prstDash val="solid"/>
    </a:ln>
  </c:spPr>
  <c:txPr>
    <a:bodyPr/>
    <a:lstStyle/>
    <a:p>
      <a:pPr>
        <a:defRPr sz="1775" b="0" i="0" u="none" strike="noStrike" baseline="0">
          <a:solidFill>
            <a:srgbClr val="000000"/>
          </a:solidFill>
          <a:latin typeface="Arial"/>
          <a:ea typeface="Arial"/>
          <a:cs typeface="Arial"/>
        </a:defRPr>
      </a:pPr>
      <a:endParaRPr lang="fr-FR"/>
    </a:p>
  </c:txPr>
  <c:printSettings>
    <c:headerFooter alignWithMargins="0"/>
    <c:pageMargins b="1" l="0.75000000000000377" r="0.75000000000000377" t="1" header="0.5" footer="0.5"/>
    <c:pageSetup paperSize="9" orientation="landscape"/>
  </c:printSettings>
  <c:userShapes r:id="rId1"/>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400" baseline="0"/>
              <a:t>Residuals vs References</a:t>
            </a:r>
          </a:p>
        </c:rich>
      </c:tx>
      <c:layout>
        <c:manualLayout>
          <c:xMode val="edge"/>
          <c:yMode val="edge"/>
          <c:x val="0.56681818181818189"/>
          <c:y val="3.53109202638453E-3"/>
        </c:manualLayout>
      </c:layout>
      <c:overlay val="1"/>
    </c:title>
    <c:autoTitleDeleted val="0"/>
    <c:plotArea>
      <c:layout/>
      <c:scatterChart>
        <c:scatterStyle val="lineMarker"/>
        <c:varyColors val="0"/>
        <c:ser>
          <c:idx val="0"/>
          <c:order val="0"/>
          <c:spPr>
            <a:ln>
              <a:noFill/>
            </a:ln>
          </c:spPr>
          <c:trendline>
            <c:trendlineType val="linear"/>
            <c:dispRSqr val="0"/>
            <c:dispEq val="1"/>
            <c:trendlineLbl>
              <c:layout>
                <c:manualLayout>
                  <c:x val="5.4747515059074582E-2"/>
                  <c:y val="0.43633237847491585"/>
                </c:manualLayout>
              </c:layout>
              <c:numFmt formatCode="General" sourceLinked="0"/>
            </c:trendlineLbl>
          </c:trendline>
          <c:xVal>
            <c:numRef>
              <c:f>Dansler!$D$63:$D$156</c:f>
              <c:numCache>
                <c:formatCode>General</c:formatCode>
                <c:ptCount val="94"/>
                <c:pt idx="0">
                  <c:v>9.9399996000000002</c:v>
                </c:pt>
                <c:pt idx="1">
                  <c:v>10.0200005</c:v>
                </c:pt>
                <c:pt idx="2">
                  <c:v>10</c:v>
                </c:pt>
                <c:pt idx="3">
                  <c:v>10.5</c:v>
                </c:pt>
                <c:pt idx="4">
                  <c:v>10.779999699999999</c:v>
                </c:pt>
                <c:pt idx="5">
                  <c:v>10.449999800000001</c:v>
                </c:pt>
                <c:pt idx="6">
                  <c:v>11.0200005</c:v>
                </c:pt>
                <c:pt idx="7">
                  <c:v>10.800000199999999</c:v>
                </c:pt>
                <c:pt idx="8">
                  <c:v>10.8800001</c:v>
                </c:pt>
                <c:pt idx="9">
                  <c:v>11.0600004</c:v>
                </c:pt>
                <c:pt idx="10">
                  <c:v>11.0900002</c:v>
                </c:pt>
                <c:pt idx="11">
                  <c:v>11.6199999</c:v>
                </c:pt>
                <c:pt idx="12">
                  <c:v>9.9600000000000009</c:v>
                </c:pt>
                <c:pt idx="13">
                  <c:v>9.5</c:v>
                </c:pt>
                <c:pt idx="14">
                  <c:v>9.9899997999999997</c:v>
                </c:pt>
                <c:pt idx="15">
                  <c:v>10.0100002</c:v>
                </c:pt>
                <c:pt idx="16">
                  <c:v>9.8299999000000007</c:v>
                </c:pt>
                <c:pt idx="17">
                  <c:v>9.5699997000000003</c:v>
                </c:pt>
                <c:pt idx="18">
                  <c:v>9.9200000999999993</c:v>
                </c:pt>
                <c:pt idx="19">
                  <c:v>11.670000099999999</c:v>
                </c:pt>
                <c:pt idx="20">
                  <c:v>11.5</c:v>
                </c:pt>
                <c:pt idx="21">
                  <c:v>11.3699999</c:v>
                </c:pt>
                <c:pt idx="22">
                  <c:v>11.5900002</c:v>
                </c:pt>
                <c:pt idx="23">
                  <c:v>9.8800001000000002</c:v>
                </c:pt>
                <c:pt idx="24">
                  <c:v>11.8400002</c:v>
                </c:pt>
                <c:pt idx="25">
                  <c:v>10</c:v>
                </c:pt>
                <c:pt idx="26">
                  <c:v>10.100000400000001</c:v>
                </c:pt>
                <c:pt idx="27">
                  <c:v>11.399999599999999</c:v>
                </c:pt>
                <c:pt idx="28">
                  <c:v>10.279999699999999</c:v>
                </c:pt>
                <c:pt idx="29">
                  <c:v>12.21</c:v>
                </c:pt>
                <c:pt idx="30">
                  <c:v>11.9399996</c:v>
                </c:pt>
                <c:pt idx="31">
                  <c:v>10.3699999</c:v>
                </c:pt>
                <c:pt idx="32">
                  <c:v>10.3800001</c:v>
                </c:pt>
                <c:pt idx="33">
                  <c:v>9.8800001000000002</c:v>
                </c:pt>
                <c:pt idx="34">
                  <c:v>12.079999900000001</c:v>
                </c:pt>
                <c:pt idx="35">
                  <c:v>9.0799999000000007</c:v>
                </c:pt>
                <c:pt idx="36">
                  <c:v>10.800000199999999</c:v>
                </c:pt>
                <c:pt idx="37">
                  <c:v>9.3599996999999995</c:v>
                </c:pt>
                <c:pt idx="38">
                  <c:v>12.449999800000001</c:v>
                </c:pt>
                <c:pt idx="39">
                  <c:v>10.920000099999999</c:v>
                </c:pt>
                <c:pt idx="40">
                  <c:v>10.949999800000001</c:v>
                </c:pt>
                <c:pt idx="41">
                  <c:v>10.9899998</c:v>
                </c:pt>
                <c:pt idx="42">
                  <c:v>11</c:v>
                </c:pt>
                <c:pt idx="43">
                  <c:v>9.9700003000000006</c:v>
                </c:pt>
                <c:pt idx="44">
                  <c:v>12.899999599999999</c:v>
                </c:pt>
                <c:pt idx="45">
                  <c:v>10.529999699999999</c:v>
                </c:pt>
                <c:pt idx="46">
                  <c:v>11.0600004</c:v>
                </c:pt>
                <c:pt idx="47">
                  <c:v>9.1000004000000008</c:v>
                </c:pt>
                <c:pt idx="48">
                  <c:v>8.9700003000000006</c:v>
                </c:pt>
                <c:pt idx="49">
                  <c:v>11.1199999</c:v>
                </c:pt>
                <c:pt idx="50">
                  <c:v>9.2299994999999999</c:v>
                </c:pt>
                <c:pt idx="51">
                  <c:v>11.2299995</c:v>
                </c:pt>
                <c:pt idx="52">
                  <c:v>11.2299995</c:v>
                </c:pt>
                <c:pt idx="53">
                  <c:v>11.2399998</c:v>
                </c:pt>
                <c:pt idx="54">
                  <c:v>12.5600004</c:v>
                </c:pt>
                <c:pt idx="55">
                  <c:v>10.0699997</c:v>
                </c:pt>
                <c:pt idx="56">
                  <c:v>9.9399996000000002</c:v>
                </c:pt>
                <c:pt idx="57">
                  <c:v>10.2399998</c:v>
                </c:pt>
                <c:pt idx="58">
                  <c:v>11.420000099999999</c:v>
                </c:pt>
                <c:pt idx="59">
                  <c:v>10.5</c:v>
                </c:pt>
                <c:pt idx="60">
                  <c:v>13.140000300000001</c:v>
                </c:pt>
                <c:pt idx="61">
                  <c:v>11.699999800000001</c:v>
                </c:pt>
                <c:pt idx="62">
                  <c:v>10.3800001</c:v>
                </c:pt>
                <c:pt idx="63">
                  <c:v>13.350000400000001</c:v>
                </c:pt>
                <c:pt idx="64">
                  <c:v>12.6599998</c:v>
                </c:pt>
                <c:pt idx="65">
                  <c:v>11.9899998</c:v>
                </c:pt>
                <c:pt idx="66">
                  <c:v>12</c:v>
                </c:pt>
                <c:pt idx="67">
                  <c:v>12</c:v>
                </c:pt>
                <c:pt idx="68">
                  <c:v>13.1599998</c:v>
                </c:pt>
                <c:pt idx="69">
                  <c:v>12.170000099999999</c:v>
                </c:pt>
                <c:pt idx="70">
                  <c:v>10.970000300000001</c:v>
                </c:pt>
                <c:pt idx="71">
                  <c:v>12.2600002</c:v>
                </c:pt>
                <c:pt idx="72">
                  <c:v>13.029999699999999</c:v>
                </c:pt>
                <c:pt idx="73">
                  <c:v>12.359999699999999</c:v>
                </c:pt>
                <c:pt idx="74">
                  <c:v>12.399999599999999</c:v>
                </c:pt>
                <c:pt idx="75">
                  <c:v>12.5</c:v>
                </c:pt>
                <c:pt idx="76">
                  <c:v>12.600000400000001</c:v>
                </c:pt>
                <c:pt idx="77">
                  <c:v>12.670000099999999</c:v>
                </c:pt>
                <c:pt idx="78">
                  <c:v>12.699999800000001</c:v>
                </c:pt>
                <c:pt idx="79">
                  <c:v>14.4300003</c:v>
                </c:pt>
              </c:numCache>
            </c:numRef>
          </c:xVal>
          <c:yVal>
            <c:numRef>
              <c:f>Dansler!$G$63:$G$156</c:f>
              <c:numCache>
                <c:formatCode>0.00</c:formatCode>
                <c:ptCount val="94"/>
                <c:pt idx="0">
                  <c:v>-6.4615534462041406</c:v>
                </c:pt>
                <c:pt idx="1">
                  <c:v>-5.74813406580859</c:v>
                </c:pt>
                <c:pt idx="2">
                  <c:v>-6.6555154164326797</c:v>
                </c:pt>
                <c:pt idx="3">
                  <c:v>-5.8460646972256098</c:v>
                </c:pt>
                <c:pt idx="4">
                  <c:v>-6.670488825801149</c:v>
                </c:pt>
                <c:pt idx="5">
                  <c:v>-6.0021578923426304</c:v>
                </c:pt>
                <c:pt idx="6">
                  <c:v>-8.1098546089846906</c:v>
                </c:pt>
                <c:pt idx="7">
                  <c:v>-6.8999683654661901</c:v>
                </c:pt>
                <c:pt idx="8">
                  <c:v>-6.2084837675186</c:v>
                </c:pt>
                <c:pt idx="9">
                  <c:v>-6.5868099872306596</c:v>
                </c:pt>
                <c:pt idx="10">
                  <c:v>-5.5399705033815607</c:v>
                </c:pt>
                <c:pt idx="11">
                  <c:v>-6.5353208017314701</c:v>
                </c:pt>
                <c:pt idx="12">
                  <c:v>-5.7789029434789407</c:v>
                </c:pt>
                <c:pt idx="13">
                  <c:v>-5.2949378122063102</c:v>
                </c:pt>
                <c:pt idx="14">
                  <c:v>-5.9058738407139799</c:v>
                </c:pt>
                <c:pt idx="15">
                  <c:v>-5.5600540142158206</c:v>
                </c:pt>
                <c:pt idx="16">
                  <c:v>-5.3963516995712304</c:v>
                </c:pt>
                <c:pt idx="17">
                  <c:v>-6.5390902674252604</c:v>
                </c:pt>
                <c:pt idx="18">
                  <c:v>-5.4721683736215292</c:v>
                </c:pt>
                <c:pt idx="19">
                  <c:v>-6.8971682060192094</c:v>
                </c:pt>
                <c:pt idx="20">
                  <c:v>-7.1560015346307901</c:v>
                </c:pt>
                <c:pt idx="21">
                  <c:v>-5.6958927506743695</c:v>
                </c:pt>
                <c:pt idx="22">
                  <c:v>-6.7086626235868208</c:v>
                </c:pt>
                <c:pt idx="23">
                  <c:v>-6.90648815625502</c:v>
                </c:pt>
                <c:pt idx="24">
                  <c:v>-6.1003279054286308</c:v>
                </c:pt>
                <c:pt idx="25">
                  <c:v>-6.4217597440395995</c:v>
                </c:pt>
                <c:pt idx="26">
                  <c:v>-6.3603107449429803</c:v>
                </c:pt>
                <c:pt idx="27">
                  <c:v>-5.8256481471026689</c:v>
                </c:pt>
                <c:pt idx="28">
                  <c:v>-6.6326121533050593</c:v>
                </c:pt>
                <c:pt idx="29">
                  <c:v>-6.4090405340672012</c:v>
                </c:pt>
                <c:pt idx="30">
                  <c:v>-6.1296111639064899</c:v>
                </c:pt>
                <c:pt idx="31">
                  <c:v>-6.5836025365183701</c:v>
                </c:pt>
                <c:pt idx="32">
                  <c:v>-6.6068868848711606</c:v>
                </c:pt>
                <c:pt idx="33">
                  <c:v>-4.7904099945491998</c:v>
                </c:pt>
                <c:pt idx="34">
                  <c:v>-6.8313311310221607</c:v>
                </c:pt>
                <c:pt idx="35">
                  <c:v>-6.8976272233180609</c:v>
                </c:pt>
                <c:pt idx="36">
                  <c:v>-6.4968799963604091</c:v>
                </c:pt>
                <c:pt idx="37">
                  <c:v>-5.4893445918915997</c:v>
                </c:pt>
                <c:pt idx="38">
                  <c:v>-6.5161471489794209</c:v>
                </c:pt>
                <c:pt idx="39">
                  <c:v>-6.1330061119292996</c:v>
                </c:pt>
                <c:pt idx="40">
                  <c:v>-6.2493020243967203</c:v>
                </c:pt>
                <c:pt idx="41">
                  <c:v>-5.8096734731551996</c:v>
                </c:pt>
                <c:pt idx="42">
                  <c:v>-5.8723238534193403</c:v>
                </c:pt>
                <c:pt idx="43">
                  <c:v>-5.7452599988156505</c:v>
                </c:pt>
                <c:pt idx="44">
                  <c:v>-6.7583884472718694</c:v>
                </c:pt>
                <c:pt idx="45">
                  <c:v>-6.0048979294989895</c:v>
                </c:pt>
                <c:pt idx="46">
                  <c:v>-6.1027659018424698</c:v>
                </c:pt>
                <c:pt idx="47">
                  <c:v>-5.2871957375145513</c:v>
                </c:pt>
                <c:pt idx="48">
                  <c:v>-5.1511115352943104</c:v>
                </c:pt>
                <c:pt idx="49">
                  <c:v>-6.6488013424868901</c:v>
                </c:pt>
                <c:pt idx="50">
                  <c:v>-6.2717456483122103</c:v>
                </c:pt>
                <c:pt idx="51">
                  <c:v>-5.7401780220124197</c:v>
                </c:pt>
                <c:pt idx="52">
                  <c:v>-6.2730339732554601</c:v>
                </c:pt>
                <c:pt idx="53">
                  <c:v>-6.7317976991252895</c:v>
                </c:pt>
                <c:pt idx="54">
                  <c:v>-5.8730748567608302</c:v>
                </c:pt>
                <c:pt idx="55">
                  <c:v>-6.1409964280842102</c:v>
                </c:pt>
                <c:pt idx="56">
                  <c:v>-5.8787757135995804</c:v>
                </c:pt>
                <c:pt idx="57">
                  <c:v>-7.19974398749968</c:v>
                </c:pt>
                <c:pt idx="58">
                  <c:v>-6.272766448705009</c:v>
                </c:pt>
                <c:pt idx="59">
                  <c:v>-6.4238716048561502</c:v>
                </c:pt>
                <c:pt idx="60">
                  <c:v>-6.3964416695968103</c:v>
                </c:pt>
                <c:pt idx="61">
                  <c:v>-7.4046508333407202</c:v>
                </c:pt>
                <c:pt idx="62">
                  <c:v>-5.8955091090256397</c:v>
                </c:pt>
                <c:pt idx="63">
                  <c:v>-6.0199159439607106</c:v>
                </c:pt>
                <c:pt idx="64">
                  <c:v>-6.0308794109246193</c:v>
                </c:pt>
                <c:pt idx="65">
                  <c:v>-6.12295691080491</c:v>
                </c:pt>
                <c:pt idx="66">
                  <c:v>-6.1027109398933597</c:v>
                </c:pt>
                <c:pt idx="67">
                  <c:v>-6.4162324923397698</c:v>
                </c:pt>
                <c:pt idx="68">
                  <c:v>-6.2819347891873196</c:v>
                </c:pt>
                <c:pt idx="69">
                  <c:v>-7.3665118705713795</c:v>
                </c:pt>
                <c:pt idx="70">
                  <c:v>-5.5776427890266005</c:v>
                </c:pt>
                <c:pt idx="71">
                  <c:v>-5.9760808553031604</c:v>
                </c:pt>
                <c:pt idx="72">
                  <c:v>-6.0502651575048993</c:v>
                </c:pt>
                <c:pt idx="73">
                  <c:v>-5.4025372180391393</c:v>
                </c:pt>
                <c:pt idx="74">
                  <c:v>-5.8224383819244192</c:v>
                </c:pt>
                <c:pt idx="75">
                  <c:v>-6.5730864814583301</c:v>
                </c:pt>
                <c:pt idx="76">
                  <c:v>-5.9114261453014612</c:v>
                </c:pt>
                <c:pt idx="77">
                  <c:v>-6.1599047302025793</c:v>
                </c:pt>
                <c:pt idx="78">
                  <c:v>-6.3012363178226805</c:v>
                </c:pt>
                <c:pt idx="79">
                  <c:v>-6.1433481047903395</c:v>
                </c:pt>
              </c:numCache>
            </c:numRef>
          </c:yVal>
          <c:smooth val="0"/>
          <c:extLst>
            <c:ext xmlns:c16="http://schemas.microsoft.com/office/drawing/2014/chart" uri="{C3380CC4-5D6E-409C-BE32-E72D297353CC}">
              <c16:uniqueId val="{00000001-16B6-4AB6-BB24-FC0EEC3EA5AD}"/>
            </c:ext>
          </c:extLst>
        </c:ser>
        <c:dLbls>
          <c:showLegendKey val="0"/>
          <c:showVal val="0"/>
          <c:showCatName val="0"/>
          <c:showSerName val="0"/>
          <c:showPercent val="0"/>
          <c:showBubbleSize val="0"/>
        </c:dLbls>
        <c:axId val="244482048"/>
        <c:axId val="244483968"/>
      </c:scatterChart>
      <c:valAx>
        <c:axId val="244482048"/>
        <c:scaling>
          <c:orientation val="minMax"/>
        </c:scaling>
        <c:delete val="0"/>
        <c:axPos val="b"/>
        <c:title>
          <c:tx>
            <c:rich>
              <a:bodyPr/>
              <a:lstStyle/>
              <a:p>
                <a:pPr>
                  <a:defRPr/>
                </a:pPr>
                <a:r>
                  <a:rPr lang="en-US"/>
                  <a:t>REFERENCE VALUES</a:t>
                </a:r>
              </a:p>
            </c:rich>
          </c:tx>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244483968"/>
        <c:crosses val="autoZero"/>
        <c:crossBetween val="midCat"/>
      </c:valAx>
      <c:valAx>
        <c:axId val="244483968"/>
        <c:scaling>
          <c:orientation val="minMax"/>
        </c:scaling>
        <c:delete val="0"/>
        <c:axPos val="l"/>
        <c:majorGridlines/>
        <c:numFmt formatCode="0.00" sourceLinked="1"/>
        <c:majorTickMark val="out"/>
        <c:minorTickMark val="none"/>
        <c:tickLblPos val="nextTo"/>
        <c:crossAx val="244482048"/>
        <c:crosses val="autoZero"/>
        <c:crossBetween val="midCat"/>
      </c:valAx>
    </c:plotArea>
    <c:plotVisOnly val="1"/>
    <c:dispBlanksAs val="gap"/>
    <c:showDLblsOverMax val="0"/>
  </c:chart>
  <c:printSettings>
    <c:headerFooter/>
    <c:pageMargins b="0.750000000000004" l="0.70000000000000062" r="0.70000000000000062" t="0.750000000000004" header="0.30000000000000032" footer="0.30000000000000032"/>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400" baseline="0"/>
              <a:t>Residuals vs predicted</a:t>
            </a:r>
          </a:p>
        </c:rich>
      </c:tx>
      <c:layout>
        <c:manualLayout>
          <c:xMode val="edge"/>
          <c:yMode val="edge"/>
          <c:x val="0.59043500709952246"/>
          <c:y val="0"/>
        </c:manualLayout>
      </c:layout>
      <c:overlay val="1"/>
    </c:title>
    <c:autoTitleDeleted val="0"/>
    <c:plotArea>
      <c:layout/>
      <c:scatterChart>
        <c:scatterStyle val="lineMarker"/>
        <c:varyColors val="0"/>
        <c:ser>
          <c:idx val="0"/>
          <c:order val="0"/>
          <c:spPr>
            <a:ln>
              <a:noFill/>
            </a:ln>
          </c:spPr>
          <c:trendline>
            <c:trendlineType val="linear"/>
            <c:dispRSqr val="0"/>
            <c:dispEq val="1"/>
            <c:trendlineLbl>
              <c:layout>
                <c:manualLayout>
                  <c:x val="8.6646154745701892E-3"/>
                  <c:y val="0.32626926854701888"/>
                </c:manualLayout>
              </c:layout>
              <c:numFmt formatCode="General" sourceLinked="0"/>
            </c:trendlineLbl>
          </c:trendline>
          <c:xVal>
            <c:numRef>
              <c:f>Dansler!$F$63:$F$156</c:f>
              <c:numCache>
                <c:formatCode>General</c:formatCode>
                <c:ptCount val="94"/>
                <c:pt idx="0">
                  <c:v>3.47844615379586</c:v>
                </c:pt>
                <c:pt idx="1">
                  <c:v>4.2718664341914101</c:v>
                </c:pt>
                <c:pt idx="2">
                  <c:v>3.3444845835673198</c:v>
                </c:pt>
                <c:pt idx="3">
                  <c:v>4.6539353027743902</c:v>
                </c:pt>
                <c:pt idx="4">
                  <c:v>4.1095108741988504</c:v>
                </c:pt>
                <c:pt idx="5">
                  <c:v>4.4478419076573701</c:v>
                </c:pt>
                <c:pt idx="6">
                  <c:v>2.91014589101531</c:v>
                </c:pt>
                <c:pt idx="7">
                  <c:v>3.9000318345338099</c:v>
                </c:pt>
                <c:pt idx="8">
                  <c:v>4.6715163324814002</c:v>
                </c:pt>
                <c:pt idx="9">
                  <c:v>4.4731904127693403</c:v>
                </c:pt>
                <c:pt idx="10">
                  <c:v>5.5500296966184397</c:v>
                </c:pt>
                <c:pt idx="11">
                  <c:v>5.0846790982685297</c:v>
                </c:pt>
                <c:pt idx="12">
                  <c:v>4.1810970565210601</c:v>
                </c:pt>
                <c:pt idx="13">
                  <c:v>4.2050621877936898</c:v>
                </c:pt>
                <c:pt idx="14">
                  <c:v>4.0841259592860197</c:v>
                </c:pt>
                <c:pt idx="15">
                  <c:v>4.4499461857841798</c:v>
                </c:pt>
                <c:pt idx="16">
                  <c:v>4.4336482004287703</c:v>
                </c:pt>
                <c:pt idx="17">
                  <c:v>3.0309094325747399</c:v>
                </c:pt>
                <c:pt idx="18">
                  <c:v>4.4478317263784701</c:v>
                </c:pt>
                <c:pt idx="19">
                  <c:v>4.7728318939807899</c:v>
                </c:pt>
                <c:pt idx="20">
                  <c:v>4.3439984653692099</c:v>
                </c:pt>
                <c:pt idx="21">
                  <c:v>5.6741071493256303</c:v>
                </c:pt>
                <c:pt idx="22">
                  <c:v>4.8813375764131797</c:v>
                </c:pt>
                <c:pt idx="23">
                  <c:v>2.9735119437449802</c:v>
                </c:pt>
                <c:pt idx="24">
                  <c:v>5.7396722945713696</c:v>
                </c:pt>
                <c:pt idx="25">
                  <c:v>3.5782402559604001</c:v>
                </c:pt>
                <c:pt idx="26">
                  <c:v>3.73968965505702</c:v>
                </c:pt>
                <c:pt idx="27">
                  <c:v>5.5743514528973304</c:v>
                </c:pt>
                <c:pt idx="28">
                  <c:v>3.6473875466949401</c:v>
                </c:pt>
                <c:pt idx="29">
                  <c:v>5.8009594659327997</c:v>
                </c:pt>
                <c:pt idx="30">
                  <c:v>5.8103884360935103</c:v>
                </c:pt>
                <c:pt idx="31">
                  <c:v>3.7863973634816301</c:v>
                </c:pt>
                <c:pt idx="32">
                  <c:v>3.77311321512884</c:v>
                </c:pt>
                <c:pt idx="33">
                  <c:v>5.0895901054508004</c:v>
                </c:pt>
                <c:pt idx="34">
                  <c:v>5.24866876897784</c:v>
                </c:pt>
                <c:pt idx="35">
                  <c:v>2.1823726766819398</c:v>
                </c:pt>
                <c:pt idx="36">
                  <c:v>4.3031202036395904</c:v>
                </c:pt>
                <c:pt idx="37">
                  <c:v>3.8706551081084002</c:v>
                </c:pt>
                <c:pt idx="38">
                  <c:v>5.9338526510205796</c:v>
                </c:pt>
                <c:pt idx="39">
                  <c:v>4.7869939880706998</c:v>
                </c:pt>
                <c:pt idx="40">
                  <c:v>4.7006977756032802</c:v>
                </c:pt>
                <c:pt idx="41">
                  <c:v>5.1803263268448001</c:v>
                </c:pt>
                <c:pt idx="42">
                  <c:v>5.1276761465806597</c:v>
                </c:pt>
                <c:pt idx="43">
                  <c:v>4.2247403011843501</c:v>
                </c:pt>
                <c:pt idx="44">
                  <c:v>6.1416111527281299</c:v>
                </c:pt>
                <c:pt idx="45">
                  <c:v>4.5251017705010099</c:v>
                </c:pt>
                <c:pt idx="46">
                  <c:v>4.95723449815753</c:v>
                </c:pt>
                <c:pt idx="47">
                  <c:v>3.8128046624854499</c:v>
                </c:pt>
                <c:pt idx="48">
                  <c:v>3.8188887647056902</c:v>
                </c:pt>
                <c:pt idx="49">
                  <c:v>4.4711985575131097</c:v>
                </c:pt>
                <c:pt idx="50">
                  <c:v>2.9582538516877901</c:v>
                </c:pt>
                <c:pt idx="51">
                  <c:v>5.4898214779875802</c:v>
                </c:pt>
                <c:pt idx="52">
                  <c:v>4.9569655267445398</c:v>
                </c:pt>
                <c:pt idx="53">
                  <c:v>4.5082021008747102</c:v>
                </c:pt>
                <c:pt idx="54">
                  <c:v>6.6869255432391697</c:v>
                </c:pt>
                <c:pt idx="55">
                  <c:v>3.9290032719157901</c:v>
                </c:pt>
                <c:pt idx="56">
                  <c:v>4.0612238864004198</c:v>
                </c:pt>
                <c:pt idx="57">
                  <c:v>3.0402558125003201</c:v>
                </c:pt>
                <c:pt idx="58">
                  <c:v>5.1472336512949903</c:v>
                </c:pt>
                <c:pt idx="59">
                  <c:v>4.0761283951438498</c:v>
                </c:pt>
                <c:pt idx="60">
                  <c:v>6.7435586304031903</c:v>
                </c:pt>
                <c:pt idx="61">
                  <c:v>4.2953489666592803</c:v>
                </c:pt>
                <c:pt idx="62">
                  <c:v>4.4844909909743604</c:v>
                </c:pt>
                <c:pt idx="63">
                  <c:v>7.3300844560392902</c:v>
                </c:pt>
                <c:pt idx="64">
                  <c:v>6.6291203890753803</c:v>
                </c:pt>
                <c:pt idx="65">
                  <c:v>5.8670428891950896</c:v>
                </c:pt>
                <c:pt idx="66">
                  <c:v>5.8972890601066403</c:v>
                </c:pt>
                <c:pt idx="67">
                  <c:v>5.5837675076602302</c:v>
                </c:pt>
                <c:pt idx="68">
                  <c:v>6.87806501081268</c:v>
                </c:pt>
                <c:pt idx="69">
                  <c:v>4.8034882294286199</c:v>
                </c:pt>
                <c:pt idx="70">
                  <c:v>5.3923575109734001</c:v>
                </c:pt>
                <c:pt idx="71">
                  <c:v>6.28391934469684</c:v>
                </c:pt>
                <c:pt idx="72">
                  <c:v>6.9797345424951001</c:v>
                </c:pt>
                <c:pt idx="73">
                  <c:v>6.9574624819608601</c:v>
                </c:pt>
                <c:pt idx="74">
                  <c:v>6.57756121807558</c:v>
                </c:pt>
                <c:pt idx="75">
                  <c:v>5.9269135185416699</c:v>
                </c:pt>
                <c:pt idx="76">
                  <c:v>6.6885742546985396</c:v>
                </c:pt>
                <c:pt idx="77">
                  <c:v>6.51009536979742</c:v>
                </c:pt>
                <c:pt idx="78">
                  <c:v>6.39876348217732</c:v>
                </c:pt>
                <c:pt idx="79">
                  <c:v>8.2866521952096601</c:v>
                </c:pt>
              </c:numCache>
            </c:numRef>
          </c:xVal>
          <c:yVal>
            <c:numRef>
              <c:f>Dansler!$G$63:$G$156</c:f>
              <c:numCache>
                <c:formatCode>0.00</c:formatCode>
                <c:ptCount val="94"/>
                <c:pt idx="0">
                  <c:v>-6.4615534462041406</c:v>
                </c:pt>
                <c:pt idx="1">
                  <c:v>-5.74813406580859</c:v>
                </c:pt>
                <c:pt idx="2">
                  <c:v>-6.6555154164326797</c:v>
                </c:pt>
                <c:pt idx="3">
                  <c:v>-5.8460646972256098</c:v>
                </c:pt>
                <c:pt idx="4">
                  <c:v>-6.670488825801149</c:v>
                </c:pt>
                <c:pt idx="5">
                  <c:v>-6.0021578923426304</c:v>
                </c:pt>
                <c:pt idx="6">
                  <c:v>-8.1098546089846906</c:v>
                </c:pt>
                <c:pt idx="7">
                  <c:v>-6.8999683654661901</c:v>
                </c:pt>
                <c:pt idx="8">
                  <c:v>-6.2084837675186</c:v>
                </c:pt>
                <c:pt idx="9">
                  <c:v>-6.5868099872306596</c:v>
                </c:pt>
                <c:pt idx="10">
                  <c:v>-5.5399705033815607</c:v>
                </c:pt>
                <c:pt idx="11">
                  <c:v>-6.5353208017314701</c:v>
                </c:pt>
                <c:pt idx="12">
                  <c:v>-5.7789029434789407</c:v>
                </c:pt>
                <c:pt idx="13">
                  <c:v>-5.2949378122063102</c:v>
                </c:pt>
                <c:pt idx="14">
                  <c:v>-5.9058738407139799</c:v>
                </c:pt>
                <c:pt idx="15">
                  <c:v>-5.5600540142158206</c:v>
                </c:pt>
                <c:pt idx="16">
                  <c:v>-5.3963516995712304</c:v>
                </c:pt>
                <c:pt idx="17">
                  <c:v>-6.5390902674252604</c:v>
                </c:pt>
                <c:pt idx="18">
                  <c:v>-5.4721683736215292</c:v>
                </c:pt>
                <c:pt idx="19">
                  <c:v>-6.8971682060192094</c:v>
                </c:pt>
                <c:pt idx="20">
                  <c:v>-7.1560015346307901</c:v>
                </c:pt>
                <c:pt idx="21">
                  <c:v>-5.6958927506743695</c:v>
                </c:pt>
                <c:pt idx="22">
                  <c:v>-6.7086626235868208</c:v>
                </c:pt>
                <c:pt idx="23">
                  <c:v>-6.90648815625502</c:v>
                </c:pt>
                <c:pt idx="24">
                  <c:v>-6.1003279054286308</c:v>
                </c:pt>
                <c:pt idx="25">
                  <c:v>-6.4217597440395995</c:v>
                </c:pt>
                <c:pt idx="26">
                  <c:v>-6.3603107449429803</c:v>
                </c:pt>
                <c:pt idx="27">
                  <c:v>-5.8256481471026689</c:v>
                </c:pt>
                <c:pt idx="28">
                  <c:v>-6.6326121533050593</c:v>
                </c:pt>
                <c:pt idx="29">
                  <c:v>-6.4090405340672012</c:v>
                </c:pt>
                <c:pt idx="30">
                  <c:v>-6.1296111639064899</c:v>
                </c:pt>
                <c:pt idx="31">
                  <c:v>-6.5836025365183701</c:v>
                </c:pt>
                <c:pt idx="32">
                  <c:v>-6.6068868848711606</c:v>
                </c:pt>
                <c:pt idx="33">
                  <c:v>-4.7904099945491998</c:v>
                </c:pt>
                <c:pt idx="34">
                  <c:v>-6.8313311310221607</c:v>
                </c:pt>
                <c:pt idx="35">
                  <c:v>-6.8976272233180609</c:v>
                </c:pt>
                <c:pt idx="36">
                  <c:v>-6.4968799963604091</c:v>
                </c:pt>
                <c:pt idx="37">
                  <c:v>-5.4893445918915997</c:v>
                </c:pt>
                <c:pt idx="38">
                  <c:v>-6.5161471489794209</c:v>
                </c:pt>
                <c:pt idx="39">
                  <c:v>-6.1330061119292996</c:v>
                </c:pt>
                <c:pt idx="40">
                  <c:v>-6.2493020243967203</c:v>
                </c:pt>
                <c:pt idx="41">
                  <c:v>-5.8096734731551996</c:v>
                </c:pt>
                <c:pt idx="42">
                  <c:v>-5.8723238534193403</c:v>
                </c:pt>
                <c:pt idx="43">
                  <c:v>-5.7452599988156505</c:v>
                </c:pt>
                <c:pt idx="44">
                  <c:v>-6.7583884472718694</c:v>
                </c:pt>
                <c:pt idx="45">
                  <c:v>-6.0048979294989895</c:v>
                </c:pt>
                <c:pt idx="46">
                  <c:v>-6.1027659018424698</c:v>
                </c:pt>
                <c:pt idx="47">
                  <c:v>-5.2871957375145513</c:v>
                </c:pt>
                <c:pt idx="48">
                  <c:v>-5.1511115352943104</c:v>
                </c:pt>
                <c:pt idx="49">
                  <c:v>-6.6488013424868901</c:v>
                </c:pt>
                <c:pt idx="50">
                  <c:v>-6.2717456483122103</c:v>
                </c:pt>
                <c:pt idx="51">
                  <c:v>-5.7401780220124197</c:v>
                </c:pt>
                <c:pt idx="52">
                  <c:v>-6.2730339732554601</c:v>
                </c:pt>
                <c:pt idx="53">
                  <c:v>-6.7317976991252895</c:v>
                </c:pt>
                <c:pt idx="54">
                  <c:v>-5.8730748567608302</c:v>
                </c:pt>
                <c:pt idx="55">
                  <c:v>-6.1409964280842102</c:v>
                </c:pt>
                <c:pt idx="56">
                  <c:v>-5.8787757135995804</c:v>
                </c:pt>
                <c:pt idx="57">
                  <c:v>-7.19974398749968</c:v>
                </c:pt>
                <c:pt idx="58">
                  <c:v>-6.272766448705009</c:v>
                </c:pt>
                <c:pt idx="59">
                  <c:v>-6.4238716048561502</c:v>
                </c:pt>
                <c:pt idx="60">
                  <c:v>-6.3964416695968103</c:v>
                </c:pt>
                <c:pt idx="61">
                  <c:v>-7.4046508333407202</c:v>
                </c:pt>
                <c:pt idx="62">
                  <c:v>-5.8955091090256397</c:v>
                </c:pt>
                <c:pt idx="63">
                  <c:v>-6.0199159439607106</c:v>
                </c:pt>
                <c:pt idx="64">
                  <c:v>-6.0308794109246193</c:v>
                </c:pt>
                <c:pt idx="65">
                  <c:v>-6.12295691080491</c:v>
                </c:pt>
                <c:pt idx="66">
                  <c:v>-6.1027109398933597</c:v>
                </c:pt>
                <c:pt idx="67">
                  <c:v>-6.4162324923397698</c:v>
                </c:pt>
                <c:pt idx="68">
                  <c:v>-6.2819347891873196</c:v>
                </c:pt>
                <c:pt idx="69">
                  <c:v>-7.3665118705713795</c:v>
                </c:pt>
                <c:pt idx="70">
                  <c:v>-5.5776427890266005</c:v>
                </c:pt>
                <c:pt idx="71">
                  <c:v>-5.9760808553031604</c:v>
                </c:pt>
                <c:pt idx="72">
                  <c:v>-6.0502651575048993</c:v>
                </c:pt>
                <c:pt idx="73">
                  <c:v>-5.4025372180391393</c:v>
                </c:pt>
                <c:pt idx="74">
                  <c:v>-5.8224383819244192</c:v>
                </c:pt>
                <c:pt idx="75">
                  <c:v>-6.5730864814583301</c:v>
                </c:pt>
                <c:pt idx="76">
                  <c:v>-5.9114261453014612</c:v>
                </c:pt>
                <c:pt idx="77">
                  <c:v>-6.1599047302025793</c:v>
                </c:pt>
                <c:pt idx="78">
                  <c:v>-6.3012363178226805</c:v>
                </c:pt>
                <c:pt idx="79">
                  <c:v>-6.1433481047903395</c:v>
                </c:pt>
              </c:numCache>
            </c:numRef>
          </c:yVal>
          <c:smooth val="0"/>
          <c:extLst>
            <c:ext xmlns:c16="http://schemas.microsoft.com/office/drawing/2014/chart" uri="{C3380CC4-5D6E-409C-BE32-E72D297353CC}">
              <c16:uniqueId val="{00000001-B467-42E8-9328-32CD26418F5C}"/>
            </c:ext>
          </c:extLst>
        </c:ser>
        <c:dLbls>
          <c:showLegendKey val="0"/>
          <c:showVal val="0"/>
          <c:showCatName val="0"/>
          <c:showSerName val="0"/>
          <c:showPercent val="0"/>
          <c:showBubbleSize val="0"/>
        </c:dLbls>
        <c:axId val="251667584"/>
        <c:axId val="251669504"/>
      </c:scatterChart>
      <c:valAx>
        <c:axId val="251667584"/>
        <c:scaling>
          <c:orientation val="minMax"/>
        </c:scaling>
        <c:delete val="0"/>
        <c:axPos val="b"/>
        <c:title>
          <c:tx>
            <c:rich>
              <a:bodyPr/>
              <a:lstStyle/>
              <a:p>
                <a:pPr>
                  <a:defRPr/>
                </a:pPr>
                <a:r>
                  <a:rPr lang="en-US"/>
                  <a:t>PREDICTED NIRS</a:t>
                </a:r>
              </a:p>
            </c:rich>
          </c:tx>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251669504"/>
        <c:crosses val="autoZero"/>
        <c:crossBetween val="midCat"/>
      </c:valAx>
      <c:valAx>
        <c:axId val="251669504"/>
        <c:scaling>
          <c:orientation val="minMax"/>
        </c:scaling>
        <c:delete val="0"/>
        <c:axPos val="l"/>
        <c:majorGridlines/>
        <c:numFmt formatCode="0.00" sourceLinked="1"/>
        <c:majorTickMark val="out"/>
        <c:minorTickMark val="none"/>
        <c:tickLblPos val="nextTo"/>
        <c:crossAx val="251667584"/>
        <c:crosses val="autoZero"/>
        <c:crossBetween val="midCat"/>
      </c:valAx>
    </c:plotArea>
    <c:plotVisOnly val="1"/>
    <c:dispBlanksAs val="gap"/>
    <c:showDLblsOverMax val="0"/>
  </c:chart>
  <c:printSettings>
    <c:headerFooter/>
    <c:pageMargins b="0.75000000000000422" l="0.70000000000000062" r="0.70000000000000062" t="0.75000000000000422" header="0.30000000000000032" footer="0.30000000000000032"/>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400" baseline="0"/>
              <a:t>Residuals vs position</a:t>
            </a:r>
          </a:p>
        </c:rich>
      </c:tx>
      <c:layout>
        <c:manualLayout>
          <c:xMode val="edge"/>
          <c:yMode val="edge"/>
          <c:x val="0.61770845220434401"/>
          <c:y val="9.2592592592592587E-3"/>
        </c:manualLayout>
      </c:layout>
      <c:overlay val="1"/>
    </c:title>
    <c:autoTitleDeleted val="0"/>
    <c:plotArea>
      <c:layout>
        <c:manualLayout>
          <c:layoutTarget val="inner"/>
          <c:xMode val="edge"/>
          <c:yMode val="edge"/>
          <c:x val="9.7295231451277789E-2"/>
          <c:y val="4.1365688184682434E-2"/>
          <c:w val="0.8505582003234009"/>
          <c:h val="0.89909093674129181"/>
        </c:manualLayout>
      </c:layout>
      <c:scatterChart>
        <c:scatterStyle val="lineMarker"/>
        <c:varyColors val="0"/>
        <c:ser>
          <c:idx val="0"/>
          <c:order val="0"/>
          <c:spPr>
            <a:ln w="28575">
              <a:noFill/>
            </a:ln>
          </c:spPr>
          <c:xVal>
            <c:numRef>
              <c:f>Dansler!$B$63:$B$156</c:f>
              <c:numCache>
                <c:formatCode>General</c:formatCode>
                <c:ptCount val="9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numCache>
            </c:numRef>
          </c:xVal>
          <c:yVal>
            <c:numRef>
              <c:f>Dansler!$G$63:$G$156</c:f>
              <c:numCache>
                <c:formatCode>0.00</c:formatCode>
                <c:ptCount val="94"/>
                <c:pt idx="0">
                  <c:v>-6.4615534462041406</c:v>
                </c:pt>
                <c:pt idx="1">
                  <c:v>-5.74813406580859</c:v>
                </c:pt>
                <c:pt idx="2">
                  <c:v>-6.6555154164326797</c:v>
                </c:pt>
                <c:pt idx="3">
                  <c:v>-5.8460646972256098</c:v>
                </c:pt>
                <c:pt idx="4">
                  <c:v>-6.670488825801149</c:v>
                </c:pt>
                <c:pt idx="5">
                  <c:v>-6.0021578923426304</c:v>
                </c:pt>
                <c:pt idx="6">
                  <c:v>-8.1098546089846906</c:v>
                </c:pt>
                <c:pt idx="7">
                  <c:v>-6.8999683654661901</c:v>
                </c:pt>
                <c:pt idx="8">
                  <c:v>-6.2084837675186</c:v>
                </c:pt>
                <c:pt idx="9">
                  <c:v>-6.5868099872306596</c:v>
                </c:pt>
                <c:pt idx="10">
                  <c:v>-5.5399705033815607</c:v>
                </c:pt>
                <c:pt idx="11">
                  <c:v>-6.5353208017314701</c:v>
                </c:pt>
                <c:pt idx="12">
                  <c:v>-5.7789029434789407</c:v>
                </c:pt>
                <c:pt idx="13">
                  <c:v>-5.2949378122063102</c:v>
                </c:pt>
                <c:pt idx="14">
                  <c:v>-5.9058738407139799</c:v>
                </c:pt>
                <c:pt idx="15">
                  <c:v>-5.5600540142158206</c:v>
                </c:pt>
                <c:pt idx="16">
                  <c:v>-5.3963516995712304</c:v>
                </c:pt>
                <c:pt idx="17">
                  <c:v>-6.5390902674252604</c:v>
                </c:pt>
                <c:pt idx="18">
                  <c:v>-5.4721683736215292</c:v>
                </c:pt>
                <c:pt idx="19">
                  <c:v>-6.8971682060192094</c:v>
                </c:pt>
                <c:pt idx="20">
                  <c:v>-7.1560015346307901</c:v>
                </c:pt>
                <c:pt idx="21">
                  <c:v>-5.6958927506743695</c:v>
                </c:pt>
                <c:pt idx="22">
                  <c:v>-6.7086626235868208</c:v>
                </c:pt>
                <c:pt idx="23">
                  <c:v>-6.90648815625502</c:v>
                </c:pt>
                <c:pt idx="24">
                  <c:v>-6.1003279054286308</c:v>
                </c:pt>
                <c:pt idx="25">
                  <c:v>-6.4217597440395995</c:v>
                </c:pt>
                <c:pt idx="26">
                  <c:v>-6.3603107449429803</c:v>
                </c:pt>
                <c:pt idx="27">
                  <c:v>-5.8256481471026689</c:v>
                </c:pt>
                <c:pt idx="28">
                  <c:v>-6.6326121533050593</c:v>
                </c:pt>
                <c:pt idx="29">
                  <c:v>-6.4090405340672012</c:v>
                </c:pt>
                <c:pt idx="30">
                  <c:v>-6.1296111639064899</c:v>
                </c:pt>
                <c:pt idx="31">
                  <c:v>-6.5836025365183701</c:v>
                </c:pt>
                <c:pt idx="32">
                  <c:v>-6.6068868848711606</c:v>
                </c:pt>
                <c:pt idx="33">
                  <c:v>-4.7904099945491998</c:v>
                </c:pt>
                <c:pt idx="34">
                  <c:v>-6.8313311310221607</c:v>
                </c:pt>
                <c:pt idx="35">
                  <c:v>-6.8976272233180609</c:v>
                </c:pt>
                <c:pt idx="36">
                  <c:v>-6.4968799963604091</c:v>
                </c:pt>
                <c:pt idx="37">
                  <c:v>-5.4893445918915997</c:v>
                </c:pt>
                <c:pt idx="38">
                  <c:v>-6.5161471489794209</c:v>
                </c:pt>
                <c:pt idx="39">
                  <c:v>-6.1330061119292996</c:v>
                </c:pt>
                <c:pt idx="40">
                  <c:v>-6.2493020243967203</c:v>
                </c:pt>
                <c:pt idx="41">
                  <c:v>-5.8096734731551996</c:v>
                </c:pt>
                <c:pt idx="42">
                  <c:v>-5.8723238534193403</c:v>
                </c:pt>
                <c:pt idx="43">
                  <c:v>-5.7452599988156505</c:v>
                </c:pt>
                <c:pt idx="44">
                  <c:v>-6.7583884472718694</c:v>
                </c:pt>
                <c:pt idx="45">
                  <c:v>-6.0048979294989895</c:v>
                </c:pt>
                <c:pt idx="46">
                  <c:v>-6.1027659018424698</c:v>
                </c:pt>
                <c:pt idx="47">
                  <c:v>-5.2871957375145513</c:v>
                </c:pt>
                <c:pt idx="48">
                  <c:v>-5.1511115352943104</c:v>
                </c:pt>
                <c:pt idx="49">
                  <c:v>-6.6488013424868901</c:v>
                </c:pt>
                <c:pt idx="50">
                  <c:v>-6.2717456483122103</c:v>
                </c:pt>
                <c:pt idx="51">
                  <c:v>-5.7401780220124197</c:v>
                </c:pt>
                <c:pt idx="52">
                  <c:v>-6.2730339732554601</c:v>
                </c:pt>
                <c:pt idx="53">
                  <c:v>-6.7317976991252895</c:v>
                </c:pt>
                <c:pt idx="54">
                  <c:v>-5.8730748567608302</c:v>
                </c:pt>
                <c:pt idx="55">
                  <c:v>-6.1409964280842102</c:v>
                </c:pt>
                <c:pt idx="56">
                  <c:v>-5.8787757135995804</c:v>
                </c:pt>
                <c:pt idx="57">
                  <c:v>-7.19974398749968</c:v>
                </c:pt>
                <c:pt idx="58">
                  <c:v>-6.272766448705009</c:v>
                </c:pt>
                <c:pt idx="59">
                  <c:v>-6.4238716048561502</c:v>
                </c:pt>
                <c:pt idx="60">
                  <c:v>-6.3964416695968103</c:v>
                </c:pt>
                <c:pt idx="61">
                  <c:v>-7.4046508333407202</c:v>
                </c:pt>
                <c:pt idx="62">
                  <c:v>-5.8955091090256397</c:v>
                </c:pt>
                <c:pt idx="63">
                  <c:v>-6.0199159439607106</c:v>
                </c:pt>
                <c:pt idx="64">
                  <c:v>-6.0308794109246193</c:v>
                </c:pt>
                <c:pt idx="65">
                  <c:v>-6.12295691080491</c:v>
                </c:pt>
                <c:pt idx="66">
                  <c:v>-6.1027109398933597</c:v>
                </c:pt>
                <c:pt idx="67">
                  <c:v>-6.4162324923397698</c:v>
                </c:pt>
                <c:pt idx="68">
                  <c:v>-6.2819347891873196</c:v>
                </c:pt>
                <c:pt idx="69">
                  <c:v>-7.3665118705713795</c:v>
                </c:pt>
                <c:pt idx="70">
                  <c:v>-5.5776427890266005</c:v>
                </c:pt>
                <c:pt idx="71">
                  <c:v>-5.9760808553031604</c:v>
                </c:pt>
                <c:pt idx="72">
                  <c:v>-6.0502651575048993</c:v>
                </c:pt>
                <c:pt idx="73">
                  <c:v>-5.4025372180391393</c:v>
                </c:pt>
                <c:pt idx="74">
                  <c:v>-5.8224383819244192</c:v>
                </c:pt>
                <c:pt idx="75">
                  <c:v>-6.5730864814583301</c:v>
                </c:pt>
                <c:pt idx="76">
                  <c:v>-5.9114261453014612</c:v>
                </c:pt>
                <c:pt idx="77">
                  <c:v>-6.1599047302025793</c:v>
                </c:pt>
                <c:pt idx="78">
                  <c:v>-6.3012363178226805</c:v>
                </c:pt>
                <c:pt idx="79">
                  <c:v>-6.1433481047903395</c:v>
                </c:pt>
              </c:numCache>
            </c:numRef>
          </c:yVal>
          <c:smooth val="0"/>
          <c:extLst>
            <c:ext xmlns:c16="http://schemas.microsoft.com/office/drawing/2014/chart" uri="{C3380CC4-5D6E-409C-BE32-E72D297353CC}">
              <c16:uniqueId val="{00000000-3E21-45CB-B3F8-C146537D4A38}"/>
            </c:ext>
          </c:extLst>
        </c:ser>
        <c:dLbls>
          <c:showLegendKey val="0"/>
          <c:showVal val="0"/>
          <c:showCatName val="0"/>
          <c:showSerName val="0"/>
          <c:showPercent val="0"/>
          <c:showBubbleSize val="0"/>
        </c:dLbls>
        <c:axId val="274780160"/>
        <c:axId val="274781696"/>
      </c:scatterChart>
      <c:valAx>
        <c:axId val="274780160"/>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274781696"/>
        <c:crosses val="autoZero"/>
        <c:crossBetween val="midCat"/>
      </c:valAx>
      <c:valAx>
        <c:axId val="274781696"/>
        <c:scaling>
          <c:orientation val="minMax"/>
        </c:scaling>
        <c:delete val="0"/>
        <c:axPos val="l"/>
        <c:majorGridlines/>
        <c:numFmt formatCode="0.00" sourceLinked="1"/>
        <c:majorTickMark val="out"/>
        <c:minorTickMark val="none"/>
        <c:tickLblPos val="nextTo"/>
        <c:crossAx val="274780160"/>
        <c:crosses val="autoZero"/>
        <c:crossBetween val="midCat"/>
      </c:valAx>
    </c:plotArea>
    <c:plotVisOnly val="1"/>
    <c:dispBlanksAs val="gap"/>
    <c:showDLblsOverMax val="0"/>
  </c:chart>
  <c:printSettings>
    <c:headerFooter/>
    <c:pageMargins b="0.75000000000000211" l="0.70000000000000062" r="0.70000000000000062" t="0.75000000000000211" header="0.30000000000000032" footer="0.30000000000000032"/>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3834418474441655E-2"/>
          <c:y val="0.13250935178105364"/>
          <c:w val="0.6729182365583003"/>
          <c:h val="0.71284029659820869"/>
        </c:manualLayout>
      </c:layout>
      <c:scatterChart>
        <c:scatterStyle val="lineMarker"/>
        <c:varyColors val="0"/>
        <c:ser>
          <c:idx val="0"/>
          <c:order val="0"/>
          <c:tx>
            <c:v> </c:v>
          </c:tx>
          <c:spPr>
            <a:ln w="28575">
              <a:noFill/>
            </a:ln>
          </c:spPr>
          <c:marker>
            <c:symbol val="circle"/>
            <c:size val="8"/>
            <c:spPr>
              <a:solidFill>
                <a:srgbClr val="000080"/>
              </a:solidFill>
              <a:ln>
                <a:solidFill>
                  <a:srgbClr val="000080"/>
                </a:solidFill>
                <a:prstDash val="solid"/>
              </a:ln>
            </c:spPr>
          </c:marker>
          <c:dLbls>
            <c:dLbl>
              <c:idx val="0"/>
              <c:tx>
                <c:rich>
                  <a:bodyPr/>
                  <a:lstStyle/>
                  <a:p>
                    <a:fld id="{4F96D2E9-AE60-442A-807D-D6C3609C5BCA}" type="CELLRANGE">
                      <a:rPr lang="en-US"/>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1F7-4EF3-8C0B-91F510A49CA0}"/>
                </c:ext>
              </c:extLst>
            </c:dLbl>
            <c:dLbl>
              <c:idx val="1"/>
              <c:tx>
                <c:rich>
                  <a:bodyPr/>
                  <a:lstStyle/>
                  <a:p>
                    <a:fld id="{172FBBC5-49DA-409D-9935-0922F0FF89E6}"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81F7-4EF3-8C0B-91F510A49CA0}"/>
                </c:ext>
              </c:extLst>
            </c:dLbl>
            <c:dLbl>
              <c:idx val="2"/>
              <c:tx>
                <c:rich>
                  <a:bodyPr/>
                  <a:lstStyle/>
                  <a:p>
                    <a:fld id="{A26B2236-6EB7-461F-A04C-B6A835462118}"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81F7-4EF3-8C0B-91F510A49CA0}"/>
                </c:ext>
              </c:extLst>
            </c:dLbl>
            <c:dLbl>
              <c:idx val="3"/>
              <c:tx>
                <c:rich>
                  <a:bodyPr/>
                  <a:lstStyle/>
                  <a:p>
                    <a:fld id="{285E2E37-CBFC-4AFF-9115-A1BB0E0FAA63}"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81F7-4EF3-8C0B-91F510A49CA0}"/>
                </c:ext>
              </c:extLst>
            </c:dLbl>
            <c:dLbl>
              <c:idx val="4"/>
              <c:tx>
                <c:rich>
                  <a:bodyPr/>
                  <a:lstStyle/>
                  <a:p>
                    <a:fld id="{34111018-EF4A-4AE6-AFD8-96BD8F617387}"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81F7-4EF3-8C0B-91F510A49CA0}"/>
                </c:ext>
              </c:extLst>
            </c:dLbl>
            <c:dLbl>
              <c:idx val="5"/>
              <c:tx>
                <c:rich>
                  <a:bodyPr/>
                  <a:lstStyle/>
                  <a:p>
                    <a:fld id="{4584FBE8-9F69-4418-ABB0-05D6EF57C964}"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81F7-4EF3-8C0B-91F510A49CA0}"/>
                </c:ext>
              </c:extLst>
            </c:dLbl>
            <c:dLbl>
              <c:idx val="6"/>
              <c:tx>
                <c:rich>
                  <a:bodyPr/>
                  <a:lstStyle/>
                  <a:p>
                    <a:fld id="{6652043C-52FC-4876-B1FF-3F8A02B39F23}"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81F7-4EF3-8C0B-91F510A49CA0}"/>
                </c:ext>
              </c:extLst>
            </c:dLbl>
            <c:dLbl>
              <c:idx val="7"/>
              <c:tx>
                <c:rich>
                  <a:bodyPr/>
                  <a:lstStyle/>
                  <a:p>
                    <a:fld id="{78168EDA-96EF-49CC-B866-F59ED44AD636}"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81F7-4EF3-8C0B-91F510A49CA0}"/>
                </c:ext>
              </c:extLst>
            </c:dLbl>
            <c:dLbl>
              <c:idx val="8"/>
              <c:tx>
                <c:rich>
                  <a:bodyPr/>
                  <a:lstStyle/>
                  <a:p>
                    <a:fld id="{09288B52-7F59-4621-A444-375932DE4CEE}"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81F7-4EF3-8C0B-91F510A49CA0}"/>
                </c:ext>
              </c:extLst>
            </c:dLbl>
            <c:dLbl>
              <c:idx val="9"/>
              <c:tx>
                <c:rich>
                  <a:bodyPr/>
                  <a:lstStyle/>
                  <a:p>
                    <a:fld id="{8710E224-0CCE-4734-8EFD-4A5D6D5CB5EF}"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81F7-4EF3-8C0B-91F510A49CA0}"/>
                </c:ext>
              </c:extLst>
            </c:dLbl>
            <c:dLbl>
              <c:idx val="10"/>
              <c:tx>
                <c:rich>
                  <a:bodyPr/>
                  <a:lstStyle/>
                  <a:p>
                    <a:fld id="{698DF225-750E-457F-8120-41AEFE180FEB}"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81F7-4EF3-8C0B-91F510A49CA0}"/>
                </c:ext>
              </c:extLst>
            </c:dLbl>
            <c:dLbl>
              <c:idx val="11"/>
              <c:tx>
                <c:rich>
                  <a:bodyPr/>
                  <a:lstStyle/>
                  <a:p>
                    <a:fld id="{83F5349A-5D45-409A-9E69-06545C391DD5}"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81F7-4EF3-8C0B-91F510A49CA0}"/>
                </c:ext>
              </c:extLst>
            </c:dLbl>
            <c:dLbl>
              <c:idx val="12"/>
              <c:tx>
                <c:rich>
                  <a:bodyPr/>
                  <a:lstStyle/>
                  <a:p>
                    <a:fld id="{6F7A4BCD-EE81-401F-9F1B-A45EB78EFD4E}"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81F7-4EF3-8C0B-91F510A49CA0}"/>
                </c:ext>
              </c:extLst>
            </c:dLbl>
            <c:dLbl>
              <c:idx val="13"/>
              <c:tx>
                <c:rich>
                  <a:bodyPr/>
                  <a:lstStyle/>
                  <a:p>
                    <a:fld id="{487FB813-A1B7-4461-ABDB-3F19DE1DE687}"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81F7-4EF3-8C0B-91F510A49CA0}"/>
                </c:ext>
              </c:extLst>
            </c:dLbl>
            <c:dLbl>
              <c:idx val="14"/>
              <c:tx>
                <c:rich>
                  <a:bodyPr/>
                  <a:lstStyle/>
                  <a:p>
                    <a:fld id="{96467180-64C8-4B45-971B-50F4B3B919C1}"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81F7-4EF3-8C0B-91F510A49CA0}"/>
                </c:ext>
              </c:extLst>
            </c:dLbl>
            <c:dLbl>
              <c:idx val="15"/>
              <c:tx>
                <c:rich>
                  <a:bodyPr/>
                  <a:lstStyle/>
                  <a:p>
                    <a:fld id="{256119E5-8694-4E2B-BBCE-6650AAECCDE3}"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81F7-4EF3-8C0B-91F510A49CA0}"/>
                </c:ext>
              </c:extLst>
            </c:dLbl>
            <c:dLbl>
              <c:idx val="16"/>
              <c:tx>
                <c:rich>
                  <a:bodyPr/>
                  <a:lstStyle/>
                  <a:p>
                    <a:fld id="{AE3DA29D-C0CB-45E8-8559-B1422FA6AF67}"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81F7-4EF3-8C0B-91F510A49CA0}"/>
                </c:ext>
              </c:extLst>
            </c:dLbl>
            <c:dLbl>
              <c:idx val="17"/>
              <c:tx>
                <c:rich>
                  <a:bodyPr/>
                  <a:lstStyle/>
                  <a:p>
                    <a:fld id="{E51EF3D7-7F07-44CE-A7D9-2712AB41E3A2}"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81F7-4EF3-8C0B-91F510A49CA0}"/>
                </c:ext>
              </c:extLst>
            </c:dLbl>
            <c:dLbl>
              <c:idx val="18"/>
              <c:tx>
                <c:rich>
                  <a:bodyPr/>
                  <a:lstStyle/>
                  <a:p>
                    <a:fld id="{D6D6B647-AE76-41BA-813D-0AE85E53FA5E}"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81F7-4EF3-8C0B-91F510A49CA0}"/>
                </c:ext>
              </c:extLst>
            </c:dLbl>
            <c:dLbl>
              <c:idx val="19"/>
              <c:tx>
                <c:rich>
                  <a:bodyPr/>
                  <a:lstStyle/>
                  <a:p>
                    <a:fld id="{65FAEE78-CC08-44B5-BDAA-3B564809AE92}"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81F7-4EF3-8C0B-91F510A49CA0}"/>
                </c:ext>
              </c:extLst>
            </c:dLbl>
            <c:dLbl>
              <c:idx val="20"/>
              <c:tx>
                <c:rich>
                  <a:bodyPr/>
                  <a:lstStyle/>
                  <a:p>
                    <a:fld id="{1F698C82-4B41-4C83-B3A2-3E4F4B2AE68A}"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81F7-4EF3-8C0B-91F510A49CA0}"/>
                </c:ext>
              </c:extLst>
            </c:dLbl>
            <c:dLbl>
              <c:idx val="21"/>
              <c:tx>
                <c:rich>
                  <a:bodyPr/>
                  <a:lstStyle/>
                  <a:p>
                    <a:fld id="{50C0D8EA-031E-4BA9-90DE-A803E8FA8E1F}"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81F7-4EF3-8C0B-91F510A49CA0}"/>
                </c:ext>
              </c:extLst>
            </c:dLbl>
            <c:dLbl>
              <c:idx val="22"/>
              <c:tx>
                <c:rich>
                  <a:bodyPr/>
                  <a:lstStyle/>
                  <a:p>
                    <a:fld id="{E0A9FC5C-07F6-4C38-A973-111324FC4A06}"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81F7-4EF3-8C0B-91F510A49CA0}"/>
                </c:ext>
              </c:extLst>
            </c:dLbl>
            <c:dLbl>
              <c:idx val="23"/>
              <c:tx>
                <c:rich>
                  <a:bodyPr/>
                  <a:lstStyle/>
                  <a:p>
                    <a:fld id="{FE13F8B3-DB01-40FD-9049-9B11EF2184E9}"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81F7-4EF3-8C0B-91F510A49CA0}"/>
                </c:ext>
              </c:extLst>
            </c:dLbl>
            <c:dLbl>
              <c:idx val="24"/>
              <c:tx>
                <c:rich>
                  <a:bodyPr/>
                  <a:lstStyle/>
                  <a:p>
                    <a:fld id="{BC361E3C-8ED1-48B4-863B-B151773FDA16}"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81F7-4EF3-8C0B-91F510A49CA0}"/>
                </c:ext>
              </c:extLst>
            </c:dLbl>
            <c:dLbl>
              <c:idx val="25"/>
              <c:tx>
                <c:rich>
                  <a:bodyPr/>
                  <a:lstStyle/>
                  <a:p>
                    <a:fld id="{CDCC9200-0DC4-4D9B-88D7-F905A68FBA9D}"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81F7-4EF3-8C0B-91F510A49CA0}"/>
                </c:ext>
              </c:extLst>
            </c:dLbl>
            <c:dLbl>
              <c:idx val="26"/>
              <c:tx>
                <c:rich>
                  <a:bodyPr/>
                  <a:lstStyle/>
                  <a:p>
                    <a:fld id="{7E4A7569-9997-4F7B-B182-C56D85B53031}"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81F7-4EF3-8C0B-91F510A49CA0}"/>
                </c:ext>
              </c:extLst>
            </c:dLbl>
            <c:dLbl>
              <c:idx val="27"/>
              <c:tx>
                <c:rich>
                  <a:bodyPr/>
                  <a:lstStyle/>
                  <a:p>
                    <a:fld id="{169F4A85-3716-46E3-A96E-5073B79A69F7}"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81F7-4EF3-8C0B-91F510A49CA0}"/>
                </c:ext>
              </c:extLst>
            </c:dLbl>
            <c:dLbl>
              <c:idx val="28"/>
              <c:tx>
                <c:rich>
                  <a:bodyPr/>
                  <a:lstStyle/>
                  <a:p>
                    <a:fld id="{34DB0C30-4B93-4564-8DE3-C4325FB5A4CA}"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81F7-4EF3-8C0B-91F510A49CA0}"/>
                </c:ext>
              </c:extLst>
            </c:dLbl>
            <c:dLbl>
              <c:idx val="29"/>
              <c:tx>
                <c:rich>
                  <a:bodyPr/>
                  <a:lstStyle/>
                  <a:p>
                    <a:fld id="{F45CAD60-FD7B-42A1-BA39-D62EFA6BAB05}"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81F7-4EF3-8C0B-91F510A49CA0}"/>
                </c:ext>
              </c:extLst>
            </c:dLbl>
            <c:dLbl>
              <c:idx val="30"/>
              <c:tx>
                <c:rich>
                  <a:bodyPr/>
                  <a:lstStyle/>
                  <a:p>
                    <a:fld id="{207809BC-332E-49B0-AE37-F9209E3DF093}"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81F7-4EF3-8C0B-91F510A49CA0}"/>
                </c:ext>
              </c:extLst>
            </c:dLbl>
            <c:dLbl>
              <c:idx val="31"/>
              <c:tx>
                <c:rich>
                  <a:bodyPr/>
                  <a:lstStyle/>
                  <a:p>
                    <a:fld id="{80EBAE7E-19F6-4BDE-A618-BC8A973C1A5E}"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81F7-4EF3-8C0B-91F510A49CA0}"/>
                </c:ext>
              </c:extLst>
            </c:dLbl>
            <c:dLbl>
              <c:idx val="32"/>
              <c:tx>
                <c:rich>
                  <a:bodyPr/>
                  <a:lstStyle/>
                  <a:p>
                    <a:fld id="{2EAC1FC7-5C5A-49AA-B377-6632D0F01B28}"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81F7-4EF3-8C0B-91F510A49CA0}"/>
                </c:ext>
              </c:extLst>
            </c:dLbl>
            <c:dLbl>
              <c:idx val="33"/>
              <c:tx>
                <c:rich>
                  <a:bodyPr/>
                  <a:lstStyle/>
                  <a:p>
                    <a:fld id="{18677C06-1E20-40F6-8E96-81C8C077F854}"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81F7-4EF3-8C0B-91F510A49CA0}"/>
                </c:ext>
              </c:extLst>
            </c:dLbl>
            <c:dLbl>
              <c:idx val="34"/>
              <c:tx>
                <c:rich>
                  <a:bodyPr/>
                  <a:lstStyle/>
                  <a:p>
                    <a:fld id="{89ACA146-C518-407C-A6FC-CBAB60F6DBAE}"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81F7-4EF3-8C0B-91F510A49CA0}"/>
                </c:ext>
              </c:extLst>
            </c:dLbl>
            <c:dLbl>
              <c:idx val="35"/>
              <c:tx>
                <c:rich>
                  <a:bodyPr/>
                  <a:lstStyle/>
                  <a:p>
                    <a:fld id="{7BEC6C5D-D6A0-4C29-97AA-64B811426B0D}"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81F7-4EF3-8C0B-91F510A49CA0}"/>
                </c:ext>
              </c:extLst>
            </c:dLbl>
            <c:dLbl>
              <c:idx val="36"/>
              <c:tx>
                <c:rich>
                  <a:bodyPr/>
                  <a:lstStyle/>
                  <a:p>
                    <a:fld id="{D55626ED-B68E-4385-A267-602310A970BB}"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81F7-4EF3-8C0B-91F510A49CA0}"/>
                </c:ext>
              </c:extLst>
            </c:dLbl>
            <c:dLbl>
              <c:idx val="37"/>
              <c:tx>
                <c:rich>
                  <a:bodyPr/>
                  <a:lstStyle/>
                  <a:p>
                    <a:fld id="{C21F484A-DBD3-4206-AF8E-6D00F67C95AF}"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81F7-4EF3-8C0B-91F510A49CA0}"/>
                </c:ext>
              </c:extLst>
            </c:dLbl>
            <c:dLbl>
              <c:idx val="38"/>
              <c:tx>
                <c:rich>
                  <a:bodyPr/>
                  <a:lstStyle/>
                  <a:p>
                    <a:fld id="{4A0FD81F-A3CB-4007-9029-254AFD08CFD7}"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81F7-4EF3-8C0B-91F510A49CA0}"/>
                </c:ext>
              </c:extLst>
            </c:dLbl>
            <c:dLbl>
              <c:idx val="39"/>
              <c:tx>
                <c:rich>
                  <a:bodyPr/>
                  <a:lstStyle/>
                  <a:p>
                    <a:fld id="{90A08F47-5623-4D0F-9087-C79DD759864C}"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81F7-4EF3-8C0B-91F510A49CA0}"/>
                </c:ext>
              </c:extLst>
            </c:dLbl>
            <c:dLbl>
              <c:idx val="40"/>
              <c:tx>
                <c:rich>
                  <a:bodyPr/>
                  <a:lstStyle/>
                  <a:p>
                    <a:fld id="{3A12D233-CD8F-47F3-AC52-DF296062AE45}"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81F7-4EF3-8C0B-91F510A49CA0}"/>
                </c:ext>
              </c:extLst>
            </c:dLbl>
            <c:dLbl>
              <c:idx val="41"/>
              <c:tx>
                <c:rich>
                  <a:bodyPr/>
                  <a:lstStyle/>
                  <a:p>
                    <a:fld id="{5D003F17-9CDD-4C8C-B4E4-D0C78BC816EE}"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81F7-4EF3-8C0B-91F510A49CA0}"/>
                </c:ext>
              </c:extLst>
            </c:dLbl>
            <c:dLbl>
              <c:idx val="42"/>
              <c:tx>
                <c:rich>
                  <a:bodyPr/>
                  <a:lstStyle/>
                  <a:p>
                    <a:fld id="{8B6CA62A-24F6-4FE5-8D0C-1C7E378A11F5}"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81F7-4EF3-8C0B-91F510A49CA0}"/>
                </c:ext>
              </c:extLst>
            </c:dLbl>
            <c:dLbl>
              <c:idx val="43"/>
              <c:tx>
                <c:rich>
                  <a:bodyPr/>
                  <a:lstStyle/>
                  <a:p>
                    <a:fld id="{5644FF3E-E911-4A9B-AB60-77AEE07D801F}"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81F7-4EF3-8C0B-91F510A49CA0}"/>
                </c:ext>
              </c:extLst>
            </c:dLbl>
            <c:dLbl>
              <c:idx val="44"/>
              <c:tx>
                <c:rich>
                  <a:bodyPr/>
                  <a:lstStyle/>
                  <a:p>
                    <a:fld id="{A41B8EE1-A2A1-430E-953B-AAF6B0AB5375}"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81F7-4EF3-8C0B-91F510A49CA0}"/>
                </c:ext>
              </c:extLst>
            </c:dLbl>
            <c:dLbl>
              <c:idx val="45"/>
              <c:tx>
                <c:rich>
                  <a:bodyPr/>
                  <a:lstStyle/>
                  <a:p>
                    <a:fld id="{2F05849E-F0F7-4DED-9930-1868FE76DD07}"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81F7-4EF3-8C0B-91F510A49CA0}"/>
                </c:ext>
              </c:extLst>
            </c:dLbl>
            <c:dLbl>
              <c:idx val="46"/>
              <c:tx>
                <c:rich>
                  <a:bodyPr/>
                  <a:lstStyle/>
                  <a:p>
                    <a:fld id="{8A6A63EB-78D0-4FC4-9479-D987875DE107}"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81F7-4EF3-8C0B-91F510A49CA0}"/>
                </c:ext>
              </c:extLst>
            </c:dLbl>
            <c:dLbl>
              <c:idx val="47"/>
              <c:tx>
                <c:rich>
                  <a:bodyPr/>
                  <a:lstStyle/>
                  <a:p>
                    <a:fld id="{4D6DC7B5-4C7D-4D0C-B1C8-82F4E22A03A4}"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81F7-4EF3-8C0B-91F510A49CA0}"/>
                </c:ext>
              </c:extLst>
            </c:dLbl>
            <c:dLbl>
              <c:idx val="48"/>
              <c:tx>
                <c:rich>
                  <a:bodyPr/>
                  <a:lstStyle/>
                  <a:p>
                    <a:fld id="{69533116-23E3-4F3B-9A0D-58FAE7BB1305}"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81F7-4EF3-8C0B-91F510A49CA0}"/>
                </c:ext>
              </c:extLst>
            </c:dLbl>
            <c:dLbl>
              <c:idx val="49"/>
              <c:tx>
                <c:rich>
                  <a:bodyPr/>
                  <a:lstStyle/>
                  <a:p>
                    <a:fld id="{CE445E9C-508B-45D5-8CAB-35E0328454FD}"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81F7-4EF3-8C0B-91F510A49CA0}"/>
                </c:ext>
              </c:extLst>
            </c:dLbl>
            <c:dLbl>
              <c:idx val="50"/>
              <c:tx>
                <c:rich>
                  <a:bodyPr/>
                  <a:lstStyle/>
                  <a:p>
                    <a:fld id="{0152B25A-F67C-4BBC-915A-AA9DF6A24FB6}"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81F7-4EF3-8C0B-91F510A49CA0}"/>
                </c:ext>
              </c:extLst>
            </c:dLbl>
            <c:dLbl>
              <c:idx val="51"/>
              <c:tx>
                <c:rich>
                  <a:bodyPr/>
                  <a:lstStyle/>
                  <a:p>
                    <a:fld id="{B7CC3694-2A8C-4B98-96C3-6B62C71AE73B}"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81F7-4EF3-8C0B-91F510A49CA0}"/>
                </c:ext>
              </c:extLst>
            </c:dLbl>
            <c:dLbl>
              <c:idx val="52"/>
              <c:tx>
                <c:rich>
                  <a:bodyPr/>
                  <a:lstStyle/>
                  <a:p>
                    <a:fld id="{F219FACA-5171-4634-AA26-43AD18E684B1}"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81F7-4EF3-8C0B-91F510A49CA0}"/>
                </c:ext>
              </c:extLst>
            </c:dLbl>
            <c:dLbl>
              <c:idx val="53"/>
              <c:tx>
                <c:rich>
                  <a:bodyPr/>
                  <a:lstStyle/>
                  <a:p>
                    <a:fld id="{D93669BE-22EB-4A18-AA59-531FEF3C4BC1}"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81F7-4EF3-8C0B-91F510A49CA0}"/>
                </c:ext>
              </c:extLst>
            </c:dLbl>
            <c:dLbl>
              <c:idx val="54"/>
              <c:tx>
                <c:rich>
                  <a:bodyPr/>
                  <a:lstStyle/>
                  <a:p>
                    <a:fld id="{E283DDCE-39E1-474A-9084-5C0548E929BE}"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81F7-4EF3-8C0B-91F510A49CA0}"/>
                </c:ext>
              </c:extLst>
            </c:dLbl>
            <c:dLbl>
              <c:idx val="55"/>
              <c:tx>
                <c:rich>
                  <a:bodyPr/>
                  <a:lstStyle/>
                  <a:p>
                    <a:fld id="{D4FD4011-CFE2-4BA9-91AD-8E19BDD087F1}"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81F7-4EF3-8C0B-91F510A49CA0}"/>
                </c:ext>
              </c:extLst>
            </c:dLbl>
            <c:dLbl>
              <c:idx val="56"/>
              <c:tx>
                <c:rich>
                  <a:bodyPr/>
                  <a:lstStyle/>
                  <a:p>
                    <a:fld id="{287F75BD-F087-44A2-8659-C28438ED676C}"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81F7-4EF3-8C0B-91F510A49CA0}"/>
                </c:ext>
              </c:extLst>
            </c:dLbl>
            <c:dLbl>
              <c:idx val="57"/>
              <c:tx>
                <c:rich>
                  <a:bodyPr/>
                  <a:lstStyle/>
                  <a:p>
                    <a:fld id="{32E7C37A-D635-4F90-831C-D30DDF0725A0}"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81F7-4EF3-8C0B-91F510A49CA0}"/>
                </c:ext>
              </c:extLst>
            </c:dLbl>
            <c:dLbl>
              <c:idx val="58"/>
              <c:tx>
                <c:rich>
                  <a:bodyPr/>
                  <a:lstStyle/>
                  <a:p>
                    <a:fld id="{69A395E8-4C3A-431B-A932-2A081385748D}"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A-81F7-4EF3-8C0B-91F510A49CA0}"/>
                </c:ext>
              </c:extLst>
            </c:dLbl>
            <c:dLbl>
              <c:idx val="59"/>
              <c:tx>
                <c:rich>
                  <a:bodyPr/>
                  <a:lstStyle/>
                  <a:p>
                    <a:fld id="{B6C4883D-410A-4995-997D-39BF90F0AF79}"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81F7-4EF3-8C0B-91F510A49CA0}"/>
                </c:ext>
              </c:extLst>
            </c:dLbl>
            <c:dLbl>
              <c:idx val="60"/>
              <c:tx>
                <c:rich>
                  <a:bodyPr/>
                  <a:lstStyle/>
                  <a:p>
                    <a:fld id="{7B373D3E-9E64-44BD-99EC-4E4DF9CBF55B}"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81F7-4EF3-8C0B-91F510A49CA0}"/>
                </c:ext>
              </c:extLst>
            </c:dLbl>
            <c:dLbl>
              <c:idx val="61"/>
              <c:tx>
                <c:rich>
                  <a:bodyPr/>
                  <a:lstStyle/>
                  <a:p>
                    <a:fld id="{DF8973B6-021F-4937-8F1F-CD44FF6D017D}"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81F7-4EF3-8C0B-91F510A49CA0}"/>
                </c:ext>
              </c:extLst>
            </c:dLbl>
            <c:dLbl>
              <c:idx val="62"/>
              <c:tx>
                <c:rich>
                  <a:bodyPr/>
                  <a:lstStyle/>
                  <a:p>
                    <a:fld id="{BD9D897A-B4B4-413E-BE2B-A6EA3FB802F7}"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81F7-4EF3-8C0B-91F510A49CA0}"/>
                </c:ext>
              </c:extLst>
            </c:dLbl>
            <c:dLbl>
              <c:idx val="63"/>
              <c:tx>
                <c:rich>
                  <a:bodyPr/>
                  <a:lstStyle/>
                  <a:p>
                    <a:fld id="{290A507C-A7C5-45BA-B5F8-5EED54827AB8}"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81F7-4EF3-8C0B-91F510A49CA0}"/>
                </c:ext>
              </c:extLst>
            </c:dLbl>
            <c:dLbl>
              <c:idx val="64"/>
              <c:tx>
                <c:rich>
                  <a:bodyPr/>
                  <a:lstStyle/>
                  <a:p>
                    <a:fld id="{3502B93E-B3B7-4463-983D-7199F76DF9C0}"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0-81F7-4EF3-8C0B-91F510A49CA0}"/>
                </c:ext>
              </c:extLst>
            </c:dLbl>
            <c:dLbl>
              <c:idx val="65"/>
              <c:tx>
                <c:rich>
                  <a:bodyPr/>
                  <a:lstStyle/>
                  <a:p>
                    <a:fld id="{49D34AA0-F873-4D19-842F-DCB29B148759}"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1-81F7-4EF3-8C0B-91F510A49CA0}"/>
                </c:ext>
              </c:extLst>
            </c:dLbl>
            <c:dLbl>
              <c:idx val="66"/>
              <c:tx>
                <c:rich>
                  <a:bodyPr/>
                  <a:lstStyle/>
                  <a:p>
                    <a:fld id="{772E8D93-394B-48CC-A948-06FD449DC0BE}"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81F7-4EF3-8C0B-91F510A49CA0}"/>
                </c:ext>
              </c:extLst>
            </c:dLbl>
            <c:dLbl>
              <c:idx val="67"/>
              <c:tx>
                <c:rich>
                  <a:bodyPr/>
                  <a:lstStyle/>
                  <a:p>
                    <a:fld id="{DDEE0100-08F1-499B-9F84-2ADB1E06879F}"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3-81F7-4EF3-8C0B-91F510A49CA0}"/>
                </c:ext>
              </c:extLst>
            </c:dLbl>
            <c:dLbl>
              <c:idx val="68"/>
              <c:tx>
                <c:rich>
                  <a:bodyPr/>
                  <a:lstStyle/>
                  <a:p>
                    <a:fld id="{E93AA17A-829D-4F86-9A33-97DEF0D85CF1}"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4-81F7-4EF3-8C0B-91F510A49CA0}"/>
                </c:ext>
              </c:extLst>
            </c:dLbl>
            <c:dLbl>
              <c:idx val="69"/>
              <c:tx>
                <c:rich>
                  <a:bodyPr/>
                  <a:lstStyle/>
                  <a:p>
                    <a:fld id="{4D1D770E-161F-4315-A828-F2D151937A23}"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5-81F7-4EF3-8C0B-91F510A49CA0}"/>
                </c:ext>
              </c:extLst>
            </c:dLbl>
            <c:dLbl>
              <c:idx val="70"/>
              <c:tx>
                <c:rich>
                  <a:bodyPr/>
                  <a:lstStyle/>
                  <a:p>
                    <a:fld id="{2EABFF9C-622A-411F-8DB8-2562C982282A}"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6-81F7-4EF3-8C0B-91F510A49CA0}"/>
                </c:ext>
              </c:extLst>
            </c:dLbl>
            <c:dLbl>
              <c:idx val="71"/>
              <c:tx>
                <c:rich>
                  <a:bodyPr/>
                  <a:lstStyle/>
                  <a:p>
                    <a:fld id="{2461FD11-9BE9-48A6-8C42-7EE04B87A36C}"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7-81F7-4EF3-8C0B-91F510A49CA0}"/>
                </c:ext>
              </c:extLst>
            </c:dLbl>
            <c:dLbl>
              <c:idx val="72"/>
              <c:tx>
                <c:rich>
                  <a:bodyPr/>
                  <a:lstStyle/>
                  <a:p>
                    <a:fld id="{33F8E7CF-F3D1-48DC-AF95-4DDF720DBCF4}"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8-81F7-4EF3-8C0B-91F510A49CA0}"/>
                </c:ext>
              </c:extLst>
            </c:dLbl>
            <c:dLbl>
              <c:idx val="73"/>
              <c:tx>
                <c:rich>
                  <a:bodyPr/>
                  <a:lstStyle/>
                  <a:p>
                    <a:fld id="{781F9502-24D5-4DE1-8D75-7B2128C8FEC6}"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9-81F7-4EF3-8C0B-91F510A49CA0}"/>
                </c:ext>
              </c:extLst>
            </c:dLbl>
            <c:dLbl>
              <c:idx val="74"/>
              <c:tx>
                <c:rich>
                  <a:bodyPr/>
                  <a:lstStyle/>
                  <a:p>
                    <a:fld id="{B0F17BFC-D64A-44BB-8617-50C2F757C08D}"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A-81F7-4EF3-8C0B-91F510A49CA0}"/>
                </c:ext>
              </c:extLst>
            </c:dLbl>
            <c:dLbl>
              <c:idx val="75"/>
              <c:tx>
                <c:rich>
                  <a:bodyPr/>
                  <a:lstStyle/>
                  <a:p>
                    <a:fld id="{59E23A7C-EED1-462D-A142-F264F247521C}"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B-81F7-4EF3-8C0B-91F510A49CA0}"/>
                </c:ext>
              </c:extLst>
            </c:dLbl>
            <c:dLbl>
              <c:idx val="76"/>
              <c:tx>
                <c:rich>
                  <a:bodyPr/>
                  <a:lstStyle/>
                  <a:p>
                    <a:fld id="{05A0FCC3-AC3B-4C3D-B83B-67EC00C512D5}"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C-81F7-4EF3-8C0B-91F510A49CA0}"/>
                </c:ext>
              </c:extLst>
            </c:dLbl>
            <c:dLbl>
              <c:idx val="77"/>
              <c:tx>
                <c:rich>
                  <a:bodyPr/>
                  <a:lstStyle/>
                  <a:p>
                    <a:fld id="{D4F8B8CF-3141-486B-85CB-3BA0B9C07C96}"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D-81F7-4EF3-8C0B-91F510A49CA0}"/>
                </c:ext>
              </c:extLst>
            </c:dLbl>
            <c:dLbl>
              <c:idx val="78"/>
              <c:tx>
                <c:rich>
                  <a:bodyPr/>
                  <a:lstStyle/>
                  <a:p>
                    <a:fld id="{8949201F-2471-46DF-854B-B987C145AAB9}"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E-81F7-4EF3-8C0B-91F510A49CA0}"/>
                </c:ext>
              </c:extLst>
            </c:dLbl>
            <c:dLbl>
              <c:idx val="79"/>
              <c:tx>
                <c:rich>
                  <a:bodyPr/>
                  <a:lstStyle/>
                  <a:p>
                    <a:fld id="{793E9710-6D7F-4A42-A9C1-AF6C71B12DB7}"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F-81F7-4EF3-8C0B-91F510A49CA0}"/>
                </c:ext>
              </c:extLst>
            </c:dLbl>
            <c:dLbl>
              <c:idx val="80"/>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0-81F7-4EF3-8C0B-91F510A49CA0}"/>
                </c:ext>
              </c:extLst>
            </c:dLbl>
            <c:dLbl>
              <c:idx val="81"/>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1-81F7-4EF3-8C0B-91F510A49CA0}"/>
                </c:ext>
              </c:extLst>
            </c:dLbl>
            <c:dLbl>
              <c:idx val="82"/>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2-81F7-4EF3-8C0B-91F510A49CA0}"/>
                </c:ext>
              </c:extLst>
            </c:dLbl>
            <c:dLbl>
              <c:idx val="83"/>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3-81F7-4EF3-8C0B-91F510A49CA0}"/>
                </c:ext>
              </c:extLst>
            </c:dLbl>
            <c:dLbl>
              <c:idx val="84"/>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4-81F7-4EF3-8C0B-91F510A49CA0}"/>
                </c:ext>
              </c:extLst>
            </c:dLbl>
            <c:dLbl>
              <c:idx val="85"/>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5-81F7-4EF3-8C0B-91F510A49CA0}"/>
                </c:ext>
              </c:extLst>
            </c:dLbl>
            <c:dLbl>
              <c:idx val="86"/>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6-81F7-4EF3-8C0B-91F510A49CA0}"/>
                </c:ext>
              </c:extLst>
            </c:dLbl>
            <c:dLbl>
              <c:idx val="87"/>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7-81F7-4EF3-8C0B-91F510A49CA0}"/>
                </c:ext>
              </c:extLst>
            </c:dLbl>
            <c:dLbl>
              <c:idx val="88"/>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8-81F7-4EF3-8C0B-91F510A49CA0}"/>
                </c:ext>
              </c:extLst>
            </c:dLbl>
            <c:dLbl>
              <c:idx val="89"/>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9-81F7-4EF3-8C0B-91F510A49CA0}"/>
                </c:ext>
              </c:extLst>
            </c:dLbl>
            <c:dLbl>
              <c:idx val="90"/>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A-81F7-4EF3-8C0B-91F510A49CA0}"/>
                </c:ext>
              </c:extLst>
            </c:dLbl>
            <c:dLbl>
              <c:idx val="91"/>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B-81F7-4EF3-8C0B-91F510A49CA0}"/>
                </c:ext>
              </c:extLst>
            </c:dLbl>
            <c:dLbl>
              <c:idx val="92"/>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C-81F7-4EF3-8C0B-91F510A49CA0}"/>
                </c:ext>
              </c:extLst>
            </c:dLbl>
            <c:dLbl>
              <c:idx val="93"/>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D-81F7-4EF3-8C0B-91F510A49CA0}"/>
                </c:ext>
              </c:extLst>
            </c:dLbl>
            <c:spPr>
              <a:noFill/>
              <a:ln>
                <a:noFill/>
              </a:ln>
              <a:effectLst/>
            </c:spPr>
            <c:txPr>
              <a:bodyPr wrap="square" lIns="38100" tIns="19050" rIns="38100" bIns="19050" anchor="ctr">
                <a:spAutoFit/>
              </a:bodyPr>
              <a:lstStyle/>
              <a:p>
                <a:pPr>
                  <a:defRPr sz="1000" baseline="0">
                    <a:solidFill>
                      <a:schemeClr val="bg1">
                        <a:lumMod val="75000"/>
                      </a:schemeClr>
                    </a:solidFill>
                  </a:defRPr>
                </a:pPr>
                <a:endParaRPr lang="fr-FR"/>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trendline>
            <c:spPr>
              <a:ln w="38100">
                <a:solidFill>
                  <a:srgbClr val="000000"/>
                </a:solidFill>
                <a:prstDash val="sysDash"/>
              </a:ln>
            </c:spPr>
            <c:trendlineType val="linear"/>
            <c:dispRSqr val="0"/>
            <c:dispEq val="0"/>
          </c:trendline>
          <c:trendline>
            <c:trendlineType val="linear"/>
            <c:dispRSqr val="0"/>
            <c:dispEq val="0"/>
          </c:trendline>
          <c:xVal>
            <c:numRef>
              <c:f>'A Florent'!$F$63:$F$156</c:f>
              <c:numCache>
                <c:formatCode>0.00E+00</c:formatCode>
                <c:ptCount val="94"/>
                <c:pt idx="0">
                  <c:v>9.0625896713696008</c:v>
                </c:pt>
                <c:pt idx="1">
                  <c:v>10.5420423201424</c:v>
                </c:pt>
                <c:pt idx="2">
                  <c:v>13.6895891712623</c:v>
                </c:pt>
                <c:pt idx="3">
                  <c:v>10.8685303111828</c:v>
                </c:pt>
                <c:pt idx="4">
                  <c:v>10.41710269855</c:v>
                </c:pt>
                <c:pt idx="5">
                  <c:v>9.8602687616274807</c:v>
                </c:pt>
                <c:pt idx="6">
                  <c:v>9.9977053838128995</c:v>
                </c:pt>
                <c:pt idx="7">
                  <c:v>10.2867588295834</c:v>
                </c:pt>
                <c:pt idx="8">
                  <c:v>10.9237035324185</c:v>
                </c:pt>
                <c:pt idx="9">
                  <c:v>8.9305767205936597</c:v>
                </c:pt>
                <c:pt idx="10">
                  <c:v>8.5351220596706607</c:v>
                </c:pt>
                <c:pt idx="11">
                  <c:v>8.9314769856467002</c:v>
                </c:pt>
                <c:pt idx="12">
                  <c:v>7.7655570885551697</c:v>
                </c:pt>
                <c:pt idx="13">
                  <c:v>8.0892916795619296</c:v>
                </c:pt>
                <c:pt idx="14">
                  <c:v>11.257513230185101</c:v>
                </c:pt>
                <c:pt idx="15">
                  <c:v>10.202233605609001</c:v>
                </c:pt>
                <c:pt idx="16">
                  <c:v>7.7379180220965296</c:v>
                </c:pt>
                <c:pt idx="17">
                  <c:v>7.2312106955643003</c:v>
                </c:pt>
                <c:pt idx="18">
                  <c:v>10.4091173763025</c:v>
                </c:pt>
                <c:pt idx="19">
                  <c:v>12.948008854337001</c:v>
                </c:pt>
                <c:pt idx="20">
                  <c:v>11.2381123303799</c:v>
                </c:pt>
                <c:pt idx="21">
                  <c:v>9.8599946883248109</c:v>
                </c:pt>
                <c:pt idx="22">
                  <c:v>10.887315804682499</c:v>
                </c:pt>
                <c:pt idx="23">
                  <c:v>7.9129987444256296</c:v>
                </c:pt>
                <c:pt idx="24">
                  <c:v>11.542877601457599</c:v>
                </c:pt>
                <c:pt idx="25">
                  <c:v>9.8025179137946594</c:v>
                </c:pt>
                <c:pt idx="26">
                  <c:v>10.5842338885315</c:v>
                </c:pt>
                <c:pt idx="27">
                  <c:v>10.9995087586538</c:v>
                </c:pt>
                <c:pt idx="28">
                  <c:v>9.0324146579382703</c:v>
                </c:pt>
                <c:pt idx="29">
                  <c:v>11.578740314624</c:v>
                </c:pt>
                <c:pt idx="30">
                  <c:v>10.2417620927685</c:v>
                </c:pt>
                <c:pt idx="31">
                  <c:v>10.450939644340901</c:v>
                </c:pt>
                <c:pt idx="32">
                  <c:v>8.7339566547538592</c:v>
                </c:pt>
                <c:pt idx="33">
                  <c:v>10.032643155220301</c:v>
                </c:pt>
                <c:pt idx="34">
                  <c:v>14.7025397424043</c:v>
                </c:pt>
                <c:pt idx="35">
                  <c:v>9.3897751739422297</c:v>
                </c:pt>
                <c:pt idx="36">
                  <c:v>9.9515914135360095</c:v>
                </c:pt>
                <c:pt idx="37">
                  <c:v>7.3163234628926102</c:v>
                </c:pt>
                <c:pt idx="38">
                  <c:v>13.582369479381301</c:v>
                </c:pt>
                <c:pt idx="39">
                  <c:v>12.345237016144999</c:v>
                </c:pt>
                <c:pt idx="40">
                  <c:v>9.1188953267059301</c:v>
                </c:pt>
                <c:pt idx="41">
                  <c:v>9.2872239213412602</c:v>
                </c:pt>
                <c:pt idx="42">
                  <c:v>9.5519855044575195</c:v>
                </c:pt>
                <c:pt idx="43">
                  <c:v>9.0931854504746603</c:v>
                </c:pt>
                <c:pt idx="44">
                  <c:v>12.451571548045299</c:v>
                </c:pt>
                <c:pt idx="45">
                  <c:v>9.0186863565542197</c:v>
                </c:pt>
                <c:pt idx="46">
                  <c:v>11.214771775984801</c:v>
                </c:pt>
                <c:pt idx="47">
                  <c:v>7.59405362605749</c:v>
                </c:pt>
                <c:pt idx="48">
                  <c:v>8.3539354033207296</c:v>
                </c:pt>
                <c:pt idx="49">
                  <c:v>13.904277852202</c:v>
                </c:pt>
                <c:pt idx="50">
                  <c:v>11.0599568454112</c:v>
                </c:pt>
                <c:pt idx="51">
                  <c:v>8.3485926758529398</c:v>
                </c:pt>
                <c:pt idx="52">
                  <c:v>14.5397575505964</c:v>
                </c:pt>
                <c:pt idx="53">
                  <c:v>12.3196155490728</c:v>
                </c:pt>
                <c:pt idx="54">
                  <c:v>10.348862325968501</c:v>
                </c:pt>
                <c:pt idx="55">
                  <c:v>11.4470383042827</c:v>
                </c:pt>
                <c:pt idx="56">
                  <c:v>9.2962491938384009</c:v>
                </c:pt>
                <c:pt idx="57">
                  <c:v>10.1269138764712</c:v>
                </c:pt>
                <c:pt idx="58">
                  <c:v>12.5907585236715</c:v>
                </c:pt>
                <c:pt idx="59">
                  <c:v>11.662733223259099</c:v>
                </c:pt>
                <c:pt idx="60">
                  <c:v>13.591154207466399</c:v>
                </c:pt>
                <c:pt idx="61">
                  <c:v>12.9117470636594</c:v>
                </c:pt>
                <c:pt idx="62">
                  <c:v>11.290227982475599</c:v>
                </c:pt>
                <c:pt idx="63">
                  <c:v>13.473295918604499</c:v>
                </c:pt>
                <c:pt idx="64">
                  <c:v>10.5944735071631</c:v>
                </c:pt>
                <c:pt idx="65">
                  <c:v>13.064556810066099</c:v>
                </c:pt>
                <c:pt idx="66">
                  <c:v>12.512574130432199</c:v>
                </c:pt>
                <c:pt idx="67">
                  <c:v>11.9813028540652</c:v>
                </c:pt>
                <c:pt idx="68">
                  <c:v>13.631443642217199</c:v>
                </c:pt>
                <c:pt idx="69">
                  <c:v>15.565314589798099</c:v>
                </c:pt>
                <c:pt idx="70">
                  <c:v>8.4164573414968906</c:v>
                </c:pt>
                <c:pt idx="71">
                  <c:v>11.260610281674801</c:v>
                </c:pt>
                <c:pt idx="72">
                  <c:v>14.7436885977597</c:v>
                </c:pt>
                <c:pt idx="73">
                  <c:v>10.7018628813343</c:v>
                </c:pt>
                <c:pt idx="74">
                  <c:v>11.7376942906136</c:v>
                </c:pt>
                <c:pt idx="75">
                  <c:v>13.076619753064101</c:v>
                </c:pt>
                <c:pt idx="76">
                  <c:v>12.2913721692246</c:v>
                </c:pt>
                <c:pt idx="77">
                  <c:v>11.5983900862503</c:v>
                </c:pt>
                <c:pt idx="78">
                  <c:v>11.067704074610401</c:v>
                </c:pt>
                <c:pt idx="79">
                  <c:v>12.659280358302</c:v>
                </c:pt>
              </c:numCache>
            </c:numRef>
          </c:xVal>
          <c:yVal>
            <c:numRef>
              <c:f>'A Florent'!$D$63:$D$156</c:f>
              <c:numCache>
                <c:formatCode>General</c:formatCode>
                <c:ptCount val="94"/>
                <c:pt idx="0">
                  <c:v>9.9399996000000002</c:v>
                </c:pt>
                <c:pt idx="1">
                  <c:v>10.0200005</c:v>
                </c:pt>
                <c:pt idx="2">
                  <c:v>10</c:v>
                </c:pt>
                <c:pt idx="3">
                  <c:v>10.5</c:v>
                </c:pt>
                <c:pt idx="4">
                  <c:v>10.779999699999999</c:v>
                </c:pt>
                <c:pt idx="5">
                  <c:v>10.449999800000001</c:v>
                </c:pt>
                <c:pt idx="6">
                  <c:v>11.0200005</c:v>
                </c:pt>
                <c:pt idx="7">
                  <c:v>10.800000199999999</c:v>
                </c:pt>
                <c:pt idx="8">
                  <c:v>10.8800001</c:v>
                </c:pt>
                <c:pt idx="9">
                  <c:v>11.0600004</c:v>
                </c:pt>
                <c:pt idx="10">
                  <c:v>11.0900002</c:v>
                </c:pt>
                <c:pt idx="11">
                  <c:v>11.6199999</c:v>
                </c:pt>
                <c:pt idx="12">
                  <c:v>9.9600000000000009</c:v>
                </c:pt>
                <c:pt idx="13">
                  <c:v>9.5</c:v>
                </c:pt>
                <c:pt idx="14">
                  <c:v>9.9899997999999997</c:v>
                </c:pt>
                <c:pt idx="15">
                  <c:v>10.0100002</c:v>
                </c:pt>
                <c:pt idx="16">
                  <c:v>9.8299999000000007</c:v>
                </c:pt>
                <c:pt idx="17">
                  <c:v>9.5699997000000003</c:v>
                </c:pt>
                <c:pt idx="18">
                  <c:v>9.9200000999999993</c:v>
                </c:pt>
                <c:pt idx="19">
                  <c:v>11.670000099999999</c:v>
                </c:pt>
                <c:pt idx="20">
                  <c:v>11.5</c:v>
                </c:pt>
                <c:pt idx="21">
                  <c:v>11.3699999</c:v>
                </c:pt>
                <c:pt idx="22">
                  <c:v>11.5900002</c:v>
                </c:pt>
                <c:pt idx="23">
                  <c:v>9.8800001000000002</c:v>
                </c:pt>
                <c:pt idx="24">
                  <c:v>11.8400002</c:v>
                </c:pt>
                <c:pt idx="25">
                  <c:v>10</c:v>
                </c:pt>
                <c:pt idx="26">
                  <c:v>10.100000400000001</c:v>
                </c:pt>
                <c:pt idx="27">
                  <c:v>11.399999599999999</c:v>
                </c:pt>
                <c:pt idx="28">
                  <c:v>10.279999699999999</c:v>
                </c:pt>
                <c:pt idx="29">
                  <c:v>12.21</c:v>
                </c:pt>
                <c:pt idx="30">
                  <c:v>11.9399996</c:v>
                </c:pt>
                <c:pt idx="31">
                  <c:v>10.3699999</c:v>
                </c:pt>
                <c:pt idx="32">
                  <c:v>10.3800001</c:v>
                </c:pt>
                <c:pt idx="33">
                  <c:v>9.8800001000000002</c:v>
                </c:pt>
                <c:pt idx="34">
                  <c:v>12.079999900000001</c:v>
                </c:pt>
                <c:pt idx="35">
                  <c:v>9.0799999000000007</c:v>
                </c:pt>
                <c:pt idx="36">
                  <c:v>10.800000199999999</c:v>
                </c:pt>
                <c:pt idx="37">
                  <c:v>9.3599996999999995</c:v>
                </c:pt>
                <c:pt idx="38">
                  <c:v>12.449999800000001</c:v>
                </c:pt>
                <c:pt idx="39">
                  <c:v>10.920000099999999</c:v>
                </c:pt>
                <c:pt idx="40">
                  <c:v>10.949999800000001</c:v>
                </c:pt>
                <c:pt idx="41">
                  <c:v>10.9899998</c:v>
                </c:pt>
                <c:pt idx="42">
                  <c:v>11</c:v>
                </c:pt>
                <c:pt idx="43">
                  <c:v>9.9700003000000006</c:v>
                </c:pt>
                <c:pt idx="44">
                  <c:v>12.899999599999999</c:v>
                </c:pt>
                <c:pt idx="45">
                  <c:v>10.529999699999999</c:v>
                </c:pt>
                <c:pt idx="46">
                  <c:v>11.0600004</c:v>
                </c:pt>
                <c:pt idx="47">
                  <c:v>9.1000004000000008</c:v>
                </c:pt>
                <c:pt idx="48">
                  <c:v>8.9700003000000006</c:v>
                </c:pt>
                <c:pt idx="49">
                  <c:v>11.1199999</c:v>
                </c:pt>
                <c:pt idx="50">
                  <c:v>9.2299994999999999</c:v>
                </c:pt>
                <c:pt idx="51">
                  <c:v>11.2299995</c:v>
                </c:pt>
                <c:pt idx="52">
                  <c:v>11.2299995</c:v>
                </c:pt>
                <c:pt idx="53">
                  <c:v>11.2399998</c:v>
                </c:pt>
                <c:pt idx="54">
                  <c:v>12.5600004</c:v>
                </c:pt>
                <c:pt idx="55">
                  <c:v>10.0699997</c:v>
                </c:pt>
                <c:pt idx="56">
                  <c:v>9.9399996000000002</c:v>
                </c:pt>
                <c:pt idx="57">
                  <c:v>10.2399998</c:v>
                </c:pt>
                <c:pt idx="58">
                  <c:v>11.420000099999999</c:v>
                </c:pt>
                <c:pt idx="59">
                  <c:v>10.5</c:v>
                </c:pt>
                <c:pt idx="60">
                  <c:v>13.140000300000001</c:v>
                </c:pt>
                <c:pt idx="61">
                  <c:v>11.699999800000001</c:v>
                </c:pt>
                <c:pt idx="62">
                  <c:v>10.3800001</c:v>
                </c:pt>
                <c:pt idx="63">
                  <c:v>13.350000400000001</c:v>
                </c:pt>
                <c:pt idx="64">
                  <c:v>12.6599998</c:v>
                </c:pt>
                <c:pt idx="65">
                  <c:v>11.9899998</c:v>
                </c:pt>
                <c:pt idx="66">
                  <c:v>12</c:v>
                </c:pt>
                <c:pt idx="67">
                  <c:v>12</c:v>
                </c:pt>
                <c:pt idx="68">
                  <c:v>13.1599998</c:v>
                </c:pt>
                <c:pt idx="69">
                  <c:v>12.170000099999999</c:v>
                </c:pt>
                <c:pt idx="70">
                  <c:v>10.970000300000001</c:v>
                </c:pt>
                <c:pt idx="71">
                  <c:v>12.2600002</c:v>
                </c:pt>
                <c:pt idx="72">
                  <c:v>13.029999699999999</c:v>
                </c:pt>
                <c:pt idx="73">
                  <c:v>12.359999699999999</c:v>
                </c:pt>
                <c:pt idx="74">
                  <c:v>12.399999599999999</c:v>
                </c:pt>
                <c:pt idx="75">
                  <c:v>12.5</c:v>
                </c:pt>
                <c:pt idx="76">
                  <c:v>12.600000400000001</c:v>
                </c:pt>
                <c:pt idx="77">
                  <c:v>12.670000099999999</c:v>
                </c:pt>
                <c:pt idx="78">
                  <c:v>12.699999800000001</c:v>
                </c:pt>
                <c:pt idx="79">
                  <c:v>14.4300003</c:v>
                </c:pt>
              </c:numCache>
            </c:numRef>
          </c:yVal>
          <c:smooth val="0"/>
          <c:extLst>
            <c:ext xmlns:c15="http://schemas.microsoft.com/office/drawing/2012/chart" uri="{02D57815-91ED-43cb-92C2-25804820EDAC}">
              <c15:datalabelsRange>
                <c15:f>'A Florent'!$B$63:$B$142</c15:f>
                <c15:dlblRangeCache>
                  <c:ptCount val="8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15:dlblRangeCache>
              </c15:datalabelsRange>
            </c:ext>
            <c:ext xmlns:c16="http://schemas.microsoft.com/office/drawing/2014/chart" uri="{C3380CC4-5D6E-409C-BE32-E72D297353CC}">
              <c16:uniqueId val="{00000060-81F7-4EF3-8C0B-91F510A49CA0}"/>
            </c:ext>
          </c:extLst>
        </c:ser>
        <c:ser>
          <c:idx val="1"/>
          <c:order val="1"/>
          <c:tx>
            <c:v>45°</c:v>
          </c:tx>
          <c:spPr>
            <a:ln w="25400">
              <a:solidFill>
                <a:srgbClr val="FF0000"/>
              </a:solidFill>
              <a:prstDash val="solid"/>
            </a:ln>
          </c:spPr>
          <c:marker>
            <c:symbol val="none"/>
          </c:marker>
          <c:xVal>
            <c:numRef>
              <c:f>'A Florent'!$E$10:$E$11</c:f>
              <c:numCache>
                <c:formatCode>0.00</c:formatCode>
                <c:ptCount val="2"/>
                <c:pt idx="0">
                  <c:v>7</c:v>
                </c:pt>
                <c:pt idx="1">
                  <c:v>17</c:v>
                </c:pt>
              </c:numCache>
            </c:numRef>
          </c:xVal>
          <c:yVal>
            <c:numRef>
              <c:f>'A Florent'!$E$10:$E$11</c:f>
              <c:numCache>
                <c:formatCode>0.00</c:formatCode>
                <c:ptCount val="2"/>
                <c:pt idx="0">
                  <c:v>7</c:v>
                </c:pt>
                <c:pt idx="1">
                  <c:v>17</c:v>
                </c:pt>
              </c:numCache>
            </c:numRef>
          </c:yVal>
          <c:smooth val="0"/>
          <c:extLst>
            <c:ext xmlns:c16="http://schemas.microsoft.com/office/drawing/2014/chart" uri="{C3380CC4-5D6E-409C-BE32-E72D297353CC}">
              <c16:uniqueId val="{00000061-81F7-4EF3-8C0B-91F510A49CA0}"/>
            </c:ext>
          </c:extLst>
        </c:ser>
        <c:ser>
          <c:idx val="2"/>
          <c:order val="2"/>
          <c:tx>
            <c:v>45°-Bias</c:v>
          </c:tx>
          <c:spPr>
            <a:ln w="38100">
              <a:solidFill>
                <a:srgbClr val="0000FF"/>
              </a:solidFill>
              <a:prstDash val="lgDashDotDot"/>
            </a:ln>
          </c:spPr>
          <c:marker>
            <c:symbol val="none"/>
          </c:marker>
          <c:xVal>
            <c:numRef>
              <c:f>'A Florent'!$W$10:$W$11</c:f>
              <c:numCache>
                <c:formatCode>0.00</c:formatCode>
                <c:ptCount val="2"/>
                <c:pt idx="0">
                  <c:v>6.7076375813764564</c:v>
                </c:pt>
                <c:pt idx="1">
                  <c:v>16.707637581376456</c:v>
                </c:pt>
              </c:numCache>
            </c:numRef>
          </c:xVal>
          <c:yVal>
            <c:numRef>
              <c:f>'A Florent'!$E$10:$E$11</c:f>
              <c:numCache>
                <c:formatCode>0.00</c:formatCode>
                <c:ptCount val="2"/>
                <c:pt idx="0">
                  <c:v>7</c:v>
                </c:pt>
                <c:pt idx="1">
                  <c:v>17</c:v>
                </c:pt>
              </c:numCache>
            </c:numRef>
          </c:yVal>
          <c:smooth val="0"/>
          <c:extLst>
            <c:ext xmlns:c16="http://schemas.microsoft.com/office/drawing/2014/chart" uri="{C3380CC4-5D6E-409C-BE32-E72D297353CC}">
              <c16:uniqueId val="{00000062-81F7-4EF3-8C0B-91F510A49CA0}"/>
            </c:ext>
          </c:extLst>
        </c:ser>
        <c:ser>
          <c:idx val="3"/>
          <c:order val="3"/>
          <c:tx>
            <c:v>Least Rec </c:v>
          </c:tx>
          <c:spPr>
            <a:ln w="25400">
              <a:solidFill>
                <a:srgbClr val="FF9900"/>
              </a:solidFill>
              <a:prstDash val="sysDash"/>
            </a:ln>
          </c:spPr>
          <c:marker>
            <c:symbol val="none"/>
          </c:marker>
          <c:xVal>
            <c:numRef>
              <c:f>'A Florent'!$Y$19:$Y$20</c:f>
              <c:numCache>
                <c:formatCode>General</c:formatCode>
                <c:ptCount val="2"/>
                <c:pt idx="0">
                  <c:v>7</c:v>
                </c:pt>
                <c:pt idx="1">
                  <c:v>17</c:v>
                </c:pt>
              </c:numCache>
            </c:numRef>
          </c:xVal>
          <c:yVal>
            <c:numRef>
              <c:f>'A Florent'!$X$19:$X$20</c:f>
              <c:numCache>
                <c:formatCode>0.000</c:formatCode>
                <c:ptCount val="2"/>
                <c:pt idx="0">
                  <c:v>8.7916279566316291</c:v>
                </c:pt>
                <c:pt idx="1">
                  <c:v>14.863905903388545</c:v>
                </c:pt>
              </c:numCache>
            </c:numRef>
          </c:yVal>
          <c:smooth val="0"/>
          <c:extLst>
            <c:ext xmlns:c16="http://schemas.microsoft.com/office/drawing/2014/chart" uri="{C3380CC4-5D6E-409C-BE32-E72D297353CC}">
              <c16:uniqueId val="{00000063-81F7-4EF3-8C0B-91F510A49CA0}"/>
            </c:ext>
          </c:extLst>
        </c:ser>
        <c:dLbls>
          <c:showLegendKey val="0"/>
          <c:showVal val="0"/>
          <c:showCatName val="0"/>
          <c:showSerName val="0"/>
          <c:showPercent val="0"/>
          <c:showBubbleSize val="0"/>
        </c:dLbls>
        <c:axId val="159636864"/>
        <c:axId val="201328128"/>
      </c:scatterChart>
      <c:valAx>
        <c:axId val="159636864"/>
        <c:scaling>
          <c:orientation val="minMax"/>
          <c:max val="18"/>
          <c:min val="5"/>
        </c:scaling>
        <c:delete val="0"/>
        <c:axPos val="b"/>
        <c:numFmt formatCode="0.00E+00" sourceLinked="1"/>
        <c:majorTickMark val="out"/>
        <c:minorTickMark val="none"/>
        <c:tickLblPos val="nextTo"/>
        <c:spPr>
          <a:ln w="3175">
            <a:solidFill>
              <a:srgbClr val="000000"/>
            </a:solidFill>
            <a:prstDash val="solid"/>
          </a:ln>
        </c:spPr>
        <c:txPr>
          <a:bodyPr rot="0" vert="horz"/>
          <a:lstStyle/>
          <a:p>
            <a:pPr>
              <a:defRPr sz="1775" b="0" i="0" u="none" strike="noStrike" baseline="0">
                <a:solidFill>
                  <a:srgbClr val="000000"/>
                </a:solidFill>
                <a:latin typeface="Arial"/>
                <a:ea typeface="Arial"/>
                <a:cs typeface="Arial"/>
              </a:defRPr>
            </a:pPr>
            <a:endParaRPr lang="fr-FR"/>
          </a:p>
        </c:txPr>
        <c:crossAx val="201328128"/>
        <c:crosses val="autoZero"/>
        <c:crossBetween val="midCat"/>
      </c:valAx>
      <c:valAx>
        <c:axId val="201328128"/>
        <c:scaling>
          <c:orientation val="minMax"/>
          <c:max val="16"/>
          <c:min val="8"/>
        </c:scaling>
        <c:delete val="0"/>
        <c:axPos val="l"/>
        <c:numFmt formatCode="General" sourceLinked="1"/>
        <c:majorTickMark val="out"/>
        <c:minorTickMark val="none"/>
        <c:tickLblPos val="nextTo"/>
        <c:spPr>
          <a:ln w="3175">
            <a:solidFill>
              <a:srgbClr val="000000"/>
            </a:solidFill>
            <a:prstDash val="solid"/>
          </a:ln>
        </c:spPr>
        <c:txPr>
          <a:bodyPr rot="0" vert="horz"/>
          <a:lstStyle/>
          <a:p>
            <a:pPr>
              <a:defRPr sz="1775" b="0" i="0" u="none" strike="noStrike" baseline="0">
                <a:solidFill>
                  <a:srgbClr val="000000"/>
                </a:solidFill>
                <a:latin typeface="Arial"/>
                <a:ea typeface="Arial"/>
                <a:cs typeface="Arial"/>
              </a:defRPr>
            </a:pPr>
            <a:endParaRPr lang="fr-FR"/>
          </a:p>
        </c:txPr>
        <c:crossAx val="159636864"/>
        <c:crosses val="autoZero"/>
        <c:crossBetween val="midCat"/>
      </c:valAx>
      <c:spPr>
        <a:noFill/>
        <a:ln w="12700">
          <a:solidFill>
            <a:srgbClr val="808080"/>
          </a:solidFill>
          <a:prstDash val="solid"/>
        </a:ln>
      </c:spPr>
    </c:plotArea>
    <c:legend>
      <c:legendPos val="r"/>
      <c:legendEntry>
        <c:idx val="5"/>
        <c:delete val="1"/>
      </c:legendEntry>
      <c:layout>
        <c:manualLayout>
          <c:xMode val="edge"/>
          <c:yMode val="edge"/>
          <c:x val="0.79767434134024384"/>
          <c:y val="0.33862478127734036"/>
          <c:w val="0.15397255752001976"/>
          <c:h val="0.2372110830586843"/>
        </c:manualLayout>
      </c:layout>
      <c:overlay val="0"/>
      <c:spPr>
        <a:solidFill>
          <a:srgbClr val="FFFFFF"/>
        </a:solidFill>
        <a:ln w="3175">
          <a:solidFill>
            <a:srgbClr val="000000"/>
          </a:solidFill>
          <a:prstDash val="solid"/>
        </a:ln>
      </c:spPr>
      <c:txPr>
        <a:bodyPr/>
        <a:lstStyle/>
        <a:p>
          <a:pPr>
            <a:defRPr sz="1350" b="1" i="0" u="none" strike="noStrike" baseline="0">
              <a:solidFill>
                <a:srgbClr val="000000"/>
              </a:solidFill>
              <a:latin typeface="Arial"/>
              <a:ea typeface="Arial"/>
              <a:cs typeface="Arial"/>
            </a:defRPr>
          </a:pPr>
          <a:endParaRPr lang="fr-FR"/>
        </a:p>
      </c:txPr>
    </c:legend>
    <c:plotVisOnly val="1"/>
    <c:dispBlanksAs val="gap"/>
    <c:showDLblsOverMax val="0"/>
  </c:chart>
  <c:spPr>
    <a:solidFill>
      <a:srgbClr val="FFFFFF"/>
    </a:solidFill>
    <a:ln w="25400">
      <a:solidFill>
        <a:srgbClr val="000000"/>
      </a:solidFill>
      <a:prstDash val="solid"/>
    </a:ln>
  </c:spPr>
  <c:txPr>
    <a:bodyPr/>
    <a:lstStyle/>
    <a:p>
      <a:pPr>
        <a:defRPr sz="1775" b="0" i="0" u="none" strike="noStrike" baseline="0">
          <a:solidFill>
            <a:srgbClr val="000000"/>
          </a:solidFill>
          <a:latin typeface="Arial"/>
          <a:ea typeface="Arial"/>
          <a:cs typeface="Arial"/>
        </a:defRPr>
      </a:pPr>
      <a:endParaRPr lang="fr-FR"/>
    </a:p>
  </c:txPr>
  <c:printSettings>
    <c:headerFooter alignWithMargins="0"/>
    <c:pageMargins b="1" l="0.75000000000000377" r="0.75000000000000377" t="1" header="0.5" footer="0.5"/>
    <c:pageSetup paperSize="9" orientation="landscape"/>
  </c:printSettings>
  <c:userShapes r:id="rId1"/>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400" baseline="0"/>
              <a:t>Residuals vs References</a:t>
            </a:r>
          </a:p>
        </c:rich>
      </c:tx>
      <c:layout>
        <c:manualLayout>
          <c:xMode val="edge"/>
          <c:yMode val="edge"/>
          <c:x val="0.56681818181818189"/>
          <c:y val="3.53109202638453E-3"/>
        </c:manualLayout>
      </c:layout>
      <c:overlay val="1"/>
    </c:title>
    <c:autoTitleDeleted val="0"/>
    <c:plotArea>
      <c:layout/>
      <c:scatterChart>
        <c:scatterStyle val="lineMarker"/>
        <c:varyColors val="0"/>
        <c:ser>
          <c:idx val="0"/>
          <c:order val="0"/>
          <c:spPr>
            <a:ln>
              <a:noFill/>
            </a:ln>
          </c:spPr>
          <c:trendline>
            <c:trendlineType val="linear"/>
            <c:dispRSqr val="0"/>
            <c:dispEq val="1"/>
            <c:trendlineLbl>
              <c:layout>
                <c:manualLayout>
                  <c:x val="5.4747515059074582E-2"/>
                  <c:y val="0.43633237847491585"/>
                </c:manualLayout>
              </c:layout>
              <c:numFmt formatCode="General" sourceLinked="0"/>
            </c:trendlineLbl>
          </c:trendline>
          <c:xVal>
            <c:numRef>
              <c:f>'A Florent'!$D$63:$D$156</c:f>
              <c:numCache>
                <c:formatCode>General</c:formatCode>
                <c:ptCount val="94"/>
                <c:pt idx="0">
                  <c:v>9.9399996000000002</c:v>
                </c:pt>
                <c:pt idx="1">
                  <c:v>10.0200005</c:v>
                </c:pt>
                <c:pt idx="2">
                  <c:v>10</c:v>
                </c:pt>
                <c:pt idx="3">
                  <c:v>10.5</c:v>
                </c:pt>
                <c:pt idx="4">
                  <c:v>10.779999699999999</c:v>
                </c:pt>
                <c:pt idx="5">
                  <c:v>10.449999800000001</c:v>
                </c:pt>
                <c:pt idx="6">
                  <c:v>11.0200005</c:v>
                </c:pt>
                <c:pt idx="7">
                  <c:v>10.800000199999999</c:v>
                </c:pt>
                <c:pt idx="8">
                  <c:v>10.8800001</c:v>
                </c:pt>
                <c:pt idx="9">
                  <c:v>11.0600004</c:v>
                </c:pt>
                <c:pt idx="10">
                  <c:v>11.0900002</c:v>
                </c:pt>
                <c:pt idx="11">
                  <c:v>11.6199999</c:v>
                </c:pt>
                <c:pt idx="12">
                  <c:v>9.9600000000000009</c:v>
                </c:pt>
                <c:pt idx="13">
                  <c:v>9.5</c:v>
                </c:pt>
                <c:pt idx="14">
                  <c:v>9.9899997999999997</c:v>
                </c:pt>
                <c:pt idx="15">
                  <c:v>10.0100002</c:v>
                </c:pt>
                <c:pt idx="16">
                  <c:v>9.8299999000000007</c:v>
                </c:pt>
                <c:pt idx="17">
                  <c:v>9.5699997000000003</c:v>
                </c:pt>
                <c:pt idx="18">
                  <c:v>9.9200000999999993</c:v>
                </c:pt>
                <c:pt idx="19">
                  <c:v>11.670000099999999</c:v>
                </c:pt>
                <c:pt idx="20">
                  <c:v>11.5</c:v>
                </c:pt>
                <c:pt idx="21">
                  <c:v>11.3699999</c:v>
                </c:pt>
                <c:pt idx="22">
                  <c:v>11.5900002</c:v>
                </c:pt>
                <c:pt idx="23">
                  <c:v>9.8800001000000002</c:v>
                </c:pt>
                <c:pt idx="24">
                  <c:v>11.8400002</c:v>
                </c:pt>
                <c:pt idx="25">
                  <c:v>10</c:v>
                </c:pt>
                <c:pt idx="26">
                  <c:v>10.100000400000001</c:v>
                </c:pt>
                <c:pt idx="27">
                  <c:v>11.399999599999999</c:v>
                </c:pt>
                <c:pt idx="28">
                  <c:v>10.279999699999999</c:v>
                </c:pt>
                <c:pt idx="29">
                  <c:v>12.21</c:v>
                </c:pt>
                <c:pt idx="30">
                  <c:v>11.9399996</c:v>
                </c:pt>
                <c:pt idx="31">
                  <c:v>10.3699999</c:v>
                </c:pt>
                <c:pt idx="32">
                  <c:v>10.3800001</c:v>
                </c:pt>
                <c:pt idx="33">
                  <c:v>9.8800001000000002</c:v>
                </c:pt>
                <c:pt idx="34">
                  <c:v>12.079999900000001</c:v>
                </c:pt>
                <c:pt idx="35">
                  <c:v>9.0799999000000007</c:v>
                </c:pt>
                <c:pt idx="36">
                  <c:v>10.800000199999999</c:v>
                </c:pt>
                <c:pt idx="37">
                  <c:v>9.3599996999999995</c:v>
                </c:pt>
                <c:pt idx="38">
                  <c:v>12.449999800000001</c:v>
                </c:pt>
                <c:pt idx="39">
                  <c:v>10.920000099999999</c:v>
                </c:pt>
                <c:pt idx="40">
                  <c:v>10.949999800000001</c:v>
                </c:pt>
                <c:pt idx="41">
                  <c:v>10.9899998</c:v>
                </c:pt>
                <c:pt idx="42">
                  <c:v>11</c:v>
                </c:pt>
                <c:pt idx="43">
                  <c:v>9.9700003000000006</c:v>
                </c:pt>
                <c:pt idx="44">
                  <c:v>12.899999599999999</c:v>
                </c:pt>
                <c:pt idx="45">
                  <c:v>10.529999699999999</c:v>
                </c:pt>
                <c:pt idx="46">
                  <c:v>11.0600004</c:v>
                </c:pt>
                <c:pt idx="47">
                  <c:v>9.1000004000000008</c:v>
                </c:pt>
                <c:pt idx="48">
                  <c:v>8.9700003000000006</c:v>
                </c:pt>
                <c:pt idx="49">
                  <c:v>11.1199999</c:v>
                </c:pt>
                <c:pt idx="50">
                  <c:v>9.2299994999999999</c:v>
                </c:pt>
                <c:pt idx="51">
                  <c:v>11.2299995</c:v>
                </c:pt>
                <c:pt idx="52">
                  <c:v>11.2299995</c:v>
                </c:pt>
                <c:pt idx="53">
                  <c:v>11.2399998</c:v>
                </c:pt>
                <c:pt idx="54">
                  <c:v>12.5600004</c:v>
                </c:pt>
                <c:pt idx="55">
                  <c:v>10.0699997</c:v>
                </c:pt>
                <c:pt idx="56">
                  <c:v>9.9399996000000002</c:v>
                </c:pt>
                <c:pt idx="57">
                  <c:v>10.2399998</c:v>
                </c:pt>
                <c:pt idx="58">
                  <c:v>11.420000099999999</c:v>
                </c:pt>
                <c:pt idx="59">
                  <c:v>10.5</c:v>
                </c:pt>
                <c:pt idx="60">
                  <c:v>13.140000300000001</c:v>
                </c:pt>
                <c:pt idx="61">
                  <c:v>11.699999800000001</c:v>
                </c:pt>
                <c:pt idx="62">
                  <c:v>10.3800001</c:v>
                </c:pt>
                <c:pt idx="63">
                  <c:v>13.350000400000001</c:v>
                </c:pt>
                <c:pt idx="64">
                  <c:v>12.6599998</c:v>
                </c:pt>
                <c:pt idx="65">
                  <c:v>11.9899998</c:v>
                </c:pt>
                <c:pt idx="66">
                  <c:v>12</c:v>
                </c:pt>
                <c:pt idx="67">
                  <c:v>12</c:v>
                </c:pt>
                <c:pt idx="68">
                  <c:v>13.1599998</c:v>
                </c:pt>
                <c:pt idx="69">
                  <c:v>12.170000099999999</c:v>
                </c:pt>
                <c:pt idx="70">
                  <c:v>10.970000300000001</c:v>
                </c:pt>
                <c:pt idx="71">
                  <c:v>12.2600002</c:v>
                </c:pt>
                <c:pt idx="72">
                  <c:v>13.029999699999999</c:v>
                </c:pt>
                <c:pt idx="73">
                  <c:v>12.359999699999999</c:v>
                </c:pt>
                <c:pt idx="74">
                  <c:v>12.399999599999999</c:v>
                </c:pt>
                <c:pt idx="75">
                  <c:v>12.5</c:v>
                </c:pt>
                <c:pt idx="76">
                  <c:v>12.600000400000001</c:v>
                </c:pt>
                <c:pt idx="77">
                  <c:v>12.670000099999999</c:v>
                </c:pt>
                <c:pt idx="78">
                  <c:v>12.699999800000001</c:v>
                </c:pt>
                <c:pt idx="79">
                  <c:v>14.4300003</c:v>
                </c:pt>
              </c:numCache>
            </c:numRef>
          </c:xVal>
          <c:yVal>
            <c:numRef>
              <c:f>'A Florent'!$G$63:$G$156</c:f>
              <c:numCache>
                <c:formatCode>0.00</c:formatCode>
                <c:ptCount val="94"/>
                <c:pt idx="0">
                  <c:v>-0.87740992863039935</c:v>
                </c:pt>
                <c:pt idx="1">
                  <c:v>0.52204182014239997</c:v>
                </c:pt>
                <c:pt idx="2">
                  <c:v>3.6895891712623001</c:v>
                </c:pt>
                <c:pt idx="3">
                  <c:v>0.36853031118280022</c:v>
                </c:pt>
                <c:pt idx="4">
                  <c:v>-0.36289700144999948</c:v>
                </c:pt>
                <c:pt idx="5">
                  <c:v>-0.58973103837251983</c:v>
                </c:pt>
                <c:pt idx="6">
                  <c:v>-1.0222951161871006</c:v>
                </c:pt>
                <c:pt idx="7">
                  <c:v>-0.51324137041659945</c:v>
                </c:pt>
                <c:pt idx="8">
                  <c:v>4.3703432418499943E-2</c:v>
                </c:pt>
                <c:pt idx="9">
                  <c:v>-2.1294236794063401</c:v>
                </c:pt>
                <c:pt idx="10">
                  <c:v>-2.5548781403293397</c:v>
                </c:pt>
                <c:pt idx="11">
                  <c:v>-2.6885229143532996</c:v>
                </c:pt>
                <c:pt idx="12">
                  <c:v>-2.1944429114448312</c:v>
                </c:pt>
                <c:pt idx="13">
                  <c:v>-1.4107083204380704</c:v>
                </c:pt>
                <c:pt idx="14">
                  <c:v>1.267513430185101</c:v>
                </c:pt>
                <c:pt idx="15">
                  <c:v>0.19223340560900049</c:v>
                </c:pt>
                <c:pt idx="16">
                  <c:v>-2.0920818779034711</c:v>
                </c:pt>
                <c:pt idx="17">
                  <c:v>-2.3387890044357</c:v>
                </c:pt>
                <c:pt idx="18">
                  <c:v>0.48911727630250112</c:v>
                </c:pt>
                <c:pt idx="19">
                  <c:v>1.2780087543370016</c:v>
                </c:pt>
                <c:pt idx="20">
                  <c:v>-0.26188766962009957</c:v>
                </c:pt>
                <c:pt idx="21">
                  <c:v>-1.510005211675189</c:v>
                </c:pt>
                <c:pt idx="22">
                  <c:v>-0.70268439531750104</c:v>
                </c:pt>
                <c:pt idx="23">
                  <c:v>-1.9670013555743706</c:v>
                </c:pt>
                <c:pt idx="24">
                  <c:v>-0.29712259854240131</c:v>
                </c:pt>
                <c:pt idx="25">
                  <c:v>-0.19748208620534058</c:v>
                </c:pt>
                <c:pt idx="26">
                  <c:v>0.48423348853149939</c:v>
                </c:pt>
                <c:pt idx="27">
                  <c:v>-0.40049084134619939</c:v>
                </c:pt>
                <c:pt idx="28">
                  <c:v>-1.2475850420617292</c:v>
                </c:pt>
                <c:pt idx="29">
                  <c:v>-0.6312596853760013</c:v>
                </c:pt>
                <c:pt idx="30">
                  <c:v>-1.6982375072315001</c:v>
                </c:pt>
                <c:pt idx="31">
                  <c:v>8.0939744340900788E-2</c:v>
                </c:pt>
                <c:pt idx="32">
                  <c:v>-1.646043445246141</c:v>
                </c:pt>
                <c:pt idx="33">
                  <c:v>0.15264305522030064</c:v>
                </c:pt>
                <c:pt idx="34">
                  <c:v>2.6225398424042989</c:v>
                </c:pt>
                <c:pt idx="35">
                  <c:v>0.30977527394222903</c:v>
                </c:pt>
                <c:pt idx="36">
                  <c:v>-0.84840878646398998</c:v>
                </c:pt>
                <c:pt idx="37">
                  <c:v>-2.0436762371073893</c:v>
                </c:pt>
                <c:pt idx="38">
                  <c:v>1.1323696793813003</c:v>
                </c:pt>
                <c:pt idx="39">
                  <c:v>1.4252369161449998</c:v>
                </c:pt>
                <c:pt idx="40">
                  <c:v>-1.8311044732940704</c:v>
                </c:pt>
                <c:pt idx="41">
                  <c:v>-1.7027758786587395</c:v>
                </c:pt>
                <c:pt idx="42">
                  <c:v>-1.4480144955424805</c:v>
                </c:pt>
                <c:pt idx="43">
                  <c:v>-0.87681484952534028</c:v>
                </c:pt>
                <c:pt idx="44">
                  <c:v>-0.44842805195469992</c:v>
                </c:pt>
                <c:pt idx="45">
                  <c:v>-1.5113133434457797</c:v>
                </c:pt>
                <c:pt idx="46">
                  <c:v>0.15477137598480084</c:v>
                </c:pt>
                <c:pt idx="47">
                  <c:v>-1.5059467739425108</c:v>
                </c:pt>
                <c:pt idx="48">
                  <c:v>-0.616064896679271</c:v>
                </c:pt>
                <c:pt idx="49">
                  <c:v>2.7842779522020003</c:v>
                </c:pt>
                <c:pt idx="50">
                  <c:v>1.8299573454112004</c:v>
                </c:pt>
                <c:pt idx="51">
                  <c:v>-2.8814068241470601</c:v>
                </c:pt>
                <c:pt idx="52">
                  <c:v>3.3097580505964004</c:v>
                </c:pt>
                <c:pt idx="53">
                  <c:v>1.0796157490728007</c:v>
                </c:pt>
                <c:pt idx="54">
                  <c:v>-2.2111380740314992</c:v>
                </c:pt>
                <c:pt idx="55">
                  <c:v>1.3770386042826992</c:v>
                </c:pt>
                <c:pt idx="56">
                  <c:v>-0.64375040616159929</c:v>
                </c:pt>
                <c:pt idx="57">
                  <c:v>-0.11308592352879998</c:v>
                </c:pt>
                <c:pt idx="58">
                  <c:v>1.1707584236715007</c:v>
                </c:pt>
                <c:pt idx="59">
                  <c:v>1.1627332232590994</c:v>
                </c:pt>
                <c:pt idx="60">
                  <c:v>0.45115390746639861</c:v>
                </c:pt>
                <c:pt idx="61">
                  <c:v>1.2117472636593991</c:v>
                </c:pt>
                <c:pt idx="62">
                  <c:v>0.91022788247559916</c:v>
                </c:pt>
                <c:pt idx="63">
                  <c:v>0.12329551860449861</c:v>
                </c:pt>
                <c:pt idx="64">
                  <c:v>-2.0655262928368998</c:v>
                </c:pt>
                <c:pt idx="65">
                  <c:v>1.0745570100660995</c:v>
                </c:pt>
                <c:pt idx="66">
                  <c:v>0.51257413043219913</c:v>
                </c:pt>
                <c:pt idx="67">
                  <c:v>-1.8697145934799764E-2</c:v>
                </c:pt>
                <c:pt idx="68">
                  <c:v>0.47144384221719982</c:v>
                </c:pt>
                <c:pt idx="69">
                  <c:v>3.3953144897980998</c:v>
                </c:pt>
                <c:pt idx="70">
                  <c:v>-2.55354295850311</c:v>
                </c:pt>
                <c:pt idx="71">
                  <c:v>-0.99938991832519974</c:v>
                </c:pt>
                <c:pt idx="72">
                  <c:v>1.7136888977597007</c:v>
                </c:pt>
                <c:pt idx="73">
                  <c:v>-1.6581368186656995</c:v>
                </c:pt>
                <c:pt idx="74">
                  <c:v>-0.66230530938639909</c:v>
                </c:pt>
                <c:pt idx="75">
                  <c:v>0.57661975306410085</c:v>
                </c:pt>
                <c:pt idx="76">
                  <c:v>-0.30862823077540114</c:v>
                </c:pt>
                <c:pt idx="77">
                  <c:v>-1.0716100137496998</c:v>
                </c:pt>
                <c:pt idx="78">
                  <c:v>-1.6322957253896</c:v>
                </c:pt>
                <c:pt idx="79">
                  <c:v>-1.7707199416979993</c:v>
                </c:pt>
              </c:numCache>
            </c:numRef>
          </c:yVal>
          <c:smooth val="0"/>
          <c:extLst>
            <c:ext xmlns:c16="http://schemas.microsoft.com/office/drawing/2014/chart" uri="{C3380CC4-5D6E-409C-BE32-E72D297353CC}">
              <c16:uniqueId val="{00000001-E091-4FA3-97FA-B53910FDC88E}"/>
            </c:ext>
          </c:extLst>
        </c:ser>
        <c:dLbls>
          <c:showLegendKey val="0"/>
          <c:showVal val="0"/>
          <c:showCatName val="0"/>
          <c:showSerName val="0"/>
          <c:showPercent val="0"/>
          <c:showBubbleSize val="0"/>
        </c:dLbls>
        <c:axId val="244482048"/>
        <c:axId val="244483968"/>
      </c:scatterChart>
      <c:valAx>
        <c:axId val="244482048"/>
        <c:scaling>
          <c:orientation val="minMax"/>
        </c:scaling>
        <c:delete val="0"/>
        <c:axPos val="b"/>
        <c:title>
          <c:tx>
            <c:rich>
              <a:bodyPr/>
              <a:lstStyle/>
              <a:p>
                <a:pPr>
                  <a:defRPr/>
                </a:pPr>
                <a:r>
                  <a:rPr lang="en-US"/>
                  <a:t>REFERENCE VALUES</a:t>
                </a:r>
              </a:p>
            </c:rich>
          </c:tx>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244483968"/>
        <c:crosses val="autoZero"/>
        <c:crossBetween val="midCat"/>
      </c:valAx>
      <c:valAx>
        <c:axId val="244483968"/>
        <c:scaling>
          <c:orientation val="minMax"/>
        </c:scaling>
        <c:delete val="0"/>
        <c:axPos val="l"/>
        <c:majorGridlines/>
        <c:numFmt formatCode="0.00" sourceLinked="1"/>
        <c:majorTickMark val="out"/>
        <c:minorTickMark val="none"/>
        <c:tickLblPos val="nextTo"/>
        <c:crossAx val="244482048"/>
        <c:crosses val="autoZero"/>
        <c:crossBetween val="midCat"/>
      </c:valAx>
    </c:plotArea>
    <c:plotVisOnly val="1"/>
    <c:dispBlanksAs val="gap"/>
    <c:showDLblsOverMax val="0"/>
  </c:chart>
  <c:printSettings>
    <c:headerFooter/>
    <c:pageMargins b="0.750000000000004" l="0.70000000000000062" r="0.70000000000000062" t="0.750000000000004" header="0.30000000000000032" footer="0.30000000000000032"/>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400" baseline="0"/>
              <a:t>Residuals vs predicted</a:t>
            </a:r>
          </a:p>
        </c:rich>
      </c:tx>
      <c:layout>
        <c:manualLayout>
          <c:xMode val="edge"/>
          <c:yMode val="edge"/>
          <c:x val="0.59043500709952246"/>
          <c:y val="0"/>
        </c:manualLayout>
      </c:layout>
      <c:overlay val="1"/>
    </c:title>
    <c:autoTitleDeleted val="0"/>
    <c:plotArea>
      <c:layout/>
      <c:scatterChart>
        <c:scatterStyle val="lineMarker"/>
        <c:varyColors val="0"/>
        <c:ser>
          <c:idx val="0"/>
          <c:order val="0"/>
          <c:spPr>
            <a:ln>
              <a:noFill/>
            </a:ln>
          </c:spPr>
          <c:trendline>
            <c:trendlineType val="linear"/>
            <c:dispRSqr val="0"/>
            <c:dispEq val="1"/>
            <c:trendlineLbl>
              <c:layout>
                <c:manualLayout>
                  <c:x val="8.6646154745701892E-3"/>
                  <c:y val="0.32626926854701888"/>
                </c:manualLayout>
              </c:layout>
              <c:numFmt formatCode="General" sourceLinked="0"/>
            </c:trendlineLbl>
          </c:trendline>
          <c:xVal>
            <c:numRef>
              <c:f>'A Florent'!$F$63:$F$156</c:f>
              <c:numCache>
                <c:formatCode>0.00E+00</c:formatCode>
                <c:ptCount val="94"/>
                <c:pt idx="0">
                  <c:v>9.0625896713696008</c:v>
                </c:pt>
                <c:pt idx="1">
                  <c:v>10.5420423201424</c:v>
                </c:pt>
                <c:pt idx="2">
                  <c:v>13.6895891712623</c:v>
                </c:pt>
                <c:pt idx="3">
                  <c:v>10.8685303111828</c:v>
                </c:pt>
                <c:pt idx="4">
                  <c:v>10.41710269855</c:v>
                </c:pt>
                <c:pt idx="5">
                  <c:v>9.8602687616274807</c:v>
                </c:pt>
                <c:pt idx="6">
                  <c:v>9.9977053838128995</c:v>
                </c:pt>
                <c:pt idx="7">
                  <c:v>10.2867588295834</c:v>
                </c:pt>
                <c:pt idx="8">
                  <c:v>10.9237035324185</c:v>
                </c:pt>
                <c:pt idx="9">
                  <c:v>8.9305767205936597</c:v>
                </c:pt>
                <c:pt idx="10">
                  <c:v>8.5351220596706607</c:v>
                </c:pt>
                <c:pt idx="11">
                  <c:v>8.9314769856467002</c:v>
                </c:pt>
                <c:pt idx="12">
                  <c:v>7.7655570885551697</c:v>
                </c:pt>
                <c:pt idx="13">
                  <c:v>8.0892916795619296</c:v>
                </c:pt>
                <c:pt idx="14">
                  <c:v>11.257513230185101</c:v>
                </c:pt>
                <c:pt idx="15">
                  <c:v>10.202233605609001</c:v>
                </c:pt>
                <c:pt idx="16">
                  <c:v>7.7379180220965296</c:v>
                </c:pt>
                <c:pt idx="17">
                  <c:v>7.2312106955643003</c:v>
                </c:pt>
                <c:pt idx="18">
                  <c:v>10.4091173763025</c:v>
                </c:pt>
                <c:pt idx="19">
                  <c:v>12.948008854337001</c:v>
                </c:pt>
                <c:pt idx="20">
                  <c:v>11.2381123303799</c:v>
                </c:pt>
                <c:pt idx="21">
                  <c:v>9.8599946883248109</c:v>
                </c:pt>
                <c:pt idx="22">
                  <c:v>10.887315804682499</c:v>
                </c:pt>
                <c:pt idx="23">
                  <c:v>7.9129987444256296</c:v>
                </c:pt>
                <c:pt idx="24">
                  <c:v>11.542877601457599</c:v>
                </c:pt>
                <c:pt idx="25">
                  <c:v>9.8025179137946594</c:v>
                </c:pt>
                <c:pt idx="26">
                  <c:v>10.5842338885315</c:v>
                </c:pt>
                <c:pt idx="27">
                  <c:v>10.9995087586538</c:v>
                </c:pt>
                <c:pt idx="28">
                  <c:v>9.0324146579382703</c:v>
                </c:pt>
                <c:pt idx="29">
                  <c:v>11.578740314624</c:v>
                </c:pt>
                <c:pt idx="30">
                  <c:v>10.2417620927685</c:v>
                </c:pt>
                <c:pt idx="31">
                  <c:v>10.450939644340901</c:v>
                </c:pt>
                <c:pt idx="32">
                  <c:v>8.7339566547538592</c:v>
                </c:pt>
                <c:pt idx="33">
                  <c:v>10.032643155220301</c:v>
                </c:pt>
                <c:pt idx="34">
                  <c:v>14.7025397424043</c:v>
                </c:pt>
                <c:pt idx="35">
                  <c:v>9.3897751739422297</c:v>
                </c:pt>
                <c:pt idx="36">
                  <c:v>9.9515914135360095</c:v>
                </c:pt>
                <c:pt idx="37">
                  <c:v>7.3163234628926102</c:v>
                </c:pt>
                <c:pt idx="38">
                  <c:v>13.582369479381301</c:v>
                </c:pt>
                <c:pt idx="39">
                  <c:v>12.345237016144999</c:v>
                </c:pt>
                <c:pt idx="40">
                  <c:v>9.1188953267059301</c:v>
                </c:pt>
                <c:pt idx="41">
                  <c:v>9.2872239213412602</c:v>
                </c:pt>
                <c:pt idx="42">
                  <c:v>9.5519855044575195</c:v>
                </c:pt>
                <c:pt idx="43">
                  <c:v>9.0931854504746603</c:v>
                </c:pt>
                <c:pt idx="44">
                  <c:v>12.451571548045299</c:v>
                </c:pt>
                <c:pt idx="45">
                  <c:v>9.0186863565542197</c:v>
                </c:pt>
                <c:pt idx="46">
                  <c:v>11.214771775984801</c:v>
                </c:pt>
                <c:pt idx="47">
                  <c:v>7.59405362605749</c:v>
                </c:pt>
                <c:pt idx="48">
                  <c:v>8.3539354033207296</c:v>
                </c:pt>
                <c:pt idx="49">
                  <c:v>13.904277852202</c:v>
                </c:pt>
                <c:pt idx="50">
                  <c:v>11.0599568454112</c:v>
                </c:pt>
                <c:pt idx="51">
                  <c:v>8.3485926758529398</c:v>
                </c:pt>
                <c:pt idx="52">
                  <c:v>14.5397575505964</c:v>
                </c:pt>
                <c:pt idx="53">
                  <c:v>12.3196155490728</c:v>
                </c:pt>
                <c:pt idx="54">
                  <c:v>10.348862325968501</c:v>
                </c:pt>
                <c:pt idx="55">
                  <c:v>11.4470383042827</c:v>
                </c:pt>
                <c:pt idx="56">
                  <c:v>9.2962491938384009</c:v>
                </c:pt>
                <c:pt idx="57">
                  <c:v>10.1269138764712</c:v>
                </c:pt>
                <c:pt idx="58">
                  <c:v>12.5907585236715</c:v>
                </c:pt>
                <c:pt idx="59">
                  <c:v>11.662733223259099</c:v>
                </c:pt>
                <c:pt idx="60">
                  <c:v>13.591154207466399</c:v>
                </c:pt>
                <c:pt idx="61">
                  <c:v>12.9117470636594</c:v>
                </c:pt>
                <c:pt idx="62">
                  <c:v>11.290227982475599</c:v>
                </c:pt>
                <c:pt idx="63">
                  <c:v>13.473295918604499</c:v>
                </c:pt>
                <c:pt idx="64">
                  <c:v>10.5944735071631</c:v>
                </c:pt>
                <c:pt idx="65">
                  <c:v>13.064556810066099</c:v>
                </c:pt>
                <c:pt idx="66">
                  <c:v>12.512574130432199</c:v>
                </c:pt>
                <c:pt idx="67">
                  <c:v>11.9813028540652</c:v>
                </c:pt>
                <c:pt idx="68">
                  <c:v>13.631443642217199</c:v>
                </c:pt>
                <c:pt idx="69">
                  <c:v>15.565314589798099</c:v>
                </c:pt>
                <c:pt idx="70">
                  <c:v>8.4164573414968906</c:v>
                </c:pt>
                <c:pt idx="71">
                  <c:v>11.260610281674801</c:v>
                </c:pt>
                <c:pt idx="72">
                  <c:v>14.7436885977597</c:v>
                </c:pt>
                <c:pt idx="73">
                  <c:v>10.7018628813343</c:v>
                </c:pt>
                <c:pt idx="74">
                  <c:v>11.7376942906136</c:v>
                </c:pt>
                <c:pt idx="75">
                  <c:v>13.076619753064101</c:v>
                </c:pt>
                <c:pt idx="76">
                  <c:v>12.2913721692246</c:v>
                </c:pt>
                <c:pt idx="77">
                  <c:v>11.5983900862503</c:v>
                </c:pt>
                <c:pt idx="78">
                  <c:v>11.067704074610401</c:v>
                </c:pt>
                <c:pt idx="79">
                  <c:v>12.659280358302</c:v>
                </c:pt>
              </c:numCache>
            </c:numRef>
          </c:xVal>
          <c:yVal>
            <c:numRef>
              <c:f>'A Florent'!$G$63:$G$156</c:f>
              <c:numCache>
                <c:formatCode>0.00</c:formatCode>
                <c:ptCount val="94"/>
                <c:pt idx="0">
                  <c:v>-0.87740992863039935</c:v>
                </c:pt>
                <c:pt idx="1">
                  <c:v>0.52204182014239997</c:v>
                </c:pt>
                <c:pt idx="2">
                  <c:v>3.6895891712623001</c:v>
                </c:pt>
                <c:pt idx="3">
                  <c:v>0.36853031118280022</c:v>
                </c:pt>
                <c:pt idx="4">
                  <c:v>-0.36289700144999948</c:v>
                </c:pt>
                <c:pt idx="5">
                  <c:v>-0.58973103837251983</c:v>
                </c:pt>
                <c:pt idx="6">
                  <c:v>-1.0222951161871006</c:v>
                </c:pt>
                <c:pt idx="7">
                  <c:v>-0.51324137041659945</c:v>
                </c:pt>
                <c:pt idx="8">
                  <c:v>4.3703432418499943E-2</c:v>
                </c:pt>
                <c:pt idx="9">
                  <c:v>-2.1294236794063401</c:v>
                </c:pt>
                <c:pt idx="10">
                  <c:v>-2.5548781403293397</c:v>
                </c:pt>
                <c:pt idx="11">
                  <c:v>-2.6885229143532996</c:v>
                </c:pt>
                <c:pt idx="12">
                  <c:v>-2.1944429114448312</c:v>
                </c:pt>
                <c:pt idx="13">
                  <c:v>-1.4107083204380704</c:v>
                </c:pt>
                <c:pt idx="14">
                  <c:v>1.267513430185101</c:v>
                </c:pt>
                <c:pt idx="15">
                  <c:v>0.19223340560900049</c:v>
                </c:pt>
                <c:pt idx="16">
                  <c:v>-2.0920818779034711</c:v>
                </c:pt>
                <c:pt idx="17">
                  <c:v>-2.3387890044357</c:v>
                </c:pt>
                <c:pt idx="18">
                  <c:v>0.48911727630250112</c:v>
                </c:pt>
                <c:pt idx="19">
                  <c:v>1.2780087543370016</c:v>
                </c:pt>
                <c:pt idx="20">
                  <c:v>-0.26188766962009957</c:v>
                </c:pt>
                <c:pt idx="21">
                  <c:v>-1.510005211675189</c:v>
                </c:pt>
                <c:pt idx="22">
                  <c:v>-0.70268439531750104</c:v>
                </c:pt>
                <c:pt idx="23">
                  <c:v>-1.9670013555743706</c:v>
                </c:pt>
                <c:pt idx="24">
                  <c:v>-0.29712259854240131</c:v>
                </c:pt>
                <c:pt idx="25">
                  <c:v>-0.19748208620534058</c:v>
                </c:pt>
                <c:pt idx="26">
                  <c:v>0.48423348853149939</c:v>
                </c:pt>
                <c:pt idx="27">
                  <c:v>-0.40049084134619939</c:v>
                </c:pt>
                <c:pt idx="28">
                  <c:v>-1.2475850420617292</c:v>
                </c:pt>
                <c:pt idx="29">
                  <c:v>-0.6312596853760013</c:v>
                </c:pt>
                <c:pt idx="30">
                  <c:v>-1.6982375072315001</c:v>
                </c:pt>
                <c:pt idx="31">
                  <c:v>8.0939744340900788E-2</c:v>
                </c:pt>
                <c:pt idx="32">
                  <c:v>-1.646043445246141</c:v>
                </c:pt>
                <c:pt idx="33">
                  <c:v>0.15264305522030064</c:v>
                </c:pt>
                <c:pt idx="34">
                  <c:v>2.6225398424042989</c:v>
                </c:pt>
                <c:pt idx="35">
                  <c:v>0.30977527394222903</c:v>
                </c:pt>
                <c:pt idx="36">
                  <c:v>-0.84840878646398998</c:v>
                </c:pt>
                <c:pt idx="37">
                  <c:v>-2.0436762371073893</c:v>
                </c:pt>
                <c:pt idx="38">
                  <c:v>1.1323696793813003</c:v>
                </c:pt>
                <c:pt idx="39">
                  <c:v>1.4252369161449998</c:v>
                </c:pt>
                <c:pt idx="40">
                  <c:v>-1.8311044732940704</c:v>
                </c:pt>
                <c:pt idx="41">
                  <c:v>-1.7027758786587395</c:v>
                </c:pt>
                <c:pt idx="42">
                  <c:v>-1.4480144955424805</c:v>
                </c:pt>
                <c:pt idx="43">
                  <c:v>-0.87681484952534028</c:v>
                </c:pt>
                <c:pt idx="44">
                  <c:v>-0.44842805195469992</c:v>
                </c:pt>
                <c:pt idx="45">
                  <c:v>-1.5113133434457797</c:v>
                </c:pt>
                <c:pt idx="46">
                  <c:v>0.15477137598480084</c:v>
                </c:pt>
                <c:pt idx="47">
                  <c:v>-1.5059467739425108</c:v>
                </c:pt>
                <c:pt idx="48">
                  <c:v>-0.616064896679271</c:v>
                </c:pt>
                <c:pt idx="49">
                  <c:v>2.7842779522020003</c:v>
                </c:pt>
                <c:pt idx="50">
                  <c:v>1.8299573454112004</c:v>
                </c:pt>
                <c:pt idx="51">
                  <c:v>-2.8814068241470601</c:v>
                </c:pt>
                <c:pt idx="52">
                  <c:v>3.3097580505964004</c:v>
                </c:pt>
                <c:pt idx="53">
                  <c:v>1.0796157490728007</c:v>
                </c:pt>
                <c:pt idx="54">
                  <c:v>-2.2111380740314992</c:v>
                </c:pt>
                <c:pt idx="55">
                  <c:v>1.3770386042826992</c:v>
                </c:pt>
                <c:pt idx="56">
                  <c:v>-0.64375040616159929</c:v>
                </c:pt>
                <c:pt idx="57">
                  <c:v>-0.11308592352879998</c:v>
                </c:pt>
                <c:pt idx="58">
                  <c:v>1.1707584236715007</c:v>
                </c:pt>
                <c:pt idx="59">
                  <c:v>1.1627332232590994</c:v>
                </c:pt>
                <c:pt idx="60">
                  <c:v>0.45115390746639861</c:v>
                </c:pt>
                <c:pt idx="61">
                  <c:v>1.2117472636593991</c:v>
                </c:pt>
                <c:pt idx="62">
                  <c:v>0.91022788247559916</c:v>
                </c:pt>
                <c:pt idx="63">
                  <c:v>0.12329551860449861</c:v>
                </c:pt>
                <c:pt idx="64">
                  <c:v>-2.0655262928368998</c:v>
                </c:pt>
                <c:pt idx="65">
                  <c:v>1.0745570100660995</c:v>
                </c:pt>
                <c:pt idx="66">
                  <c:v>0.51257413043219913</c:v>
                </c:pt>
                <c:pt idx="67">
                  <c:v>-1.8697145934799764E-2</c:v>
                </c:pt>
                <c:pt idx="68">
                  <c:v>0.47144384221719982</c:v>
                </c:pt>
                <c:pt idx="69">
                  <c:v>3.3953144897980998</c:v>
                </c:pt>
                <c:pt idx="70">
                  <c:v>-2.55354295850311</c:v>
                </c:pt>
                <c:pt idx="71">
                  <c:v>-0.99938991832519974</c:v>
                </c:pt>
                <c:pt idx="72">
                  <c:v>1.7136888977597007</c:v>
                </c:pt>
                <c:pt idx="73">
                  <c:v>-1.6581368186656995</c:v>
                </c:pt>
                <c:pt idx="74">
                  <c:v>-0.66230530938639909</c:v>
                </c:pt>
                <c:pt idx="75">
                  <c:v>0.57661975306410085</c:v>
                </c:pt>
                <c:pt idx="76">
                  <c:v>-0.30862823077540114</c:v>
                </c:pt>
                <c:pt idx="77">
                  <c:v>-1.0716100137496998</c:v>
                </c:pt>
                <c:pt idx="78">
                  <c:v>-1.6322957253896</c:v>
                </c:pt>
                <c:pt idx="79">
                  <c:v>-1.7707199416979993</c:v>
                </c:pt>
              </c:numCache>
            </c:numRef>
          </c:yVal>
          <c:smooth val="0"/>
          <c:extLst>
            <c:ext xmlns:c16="http://schemas.microsoft.com/office/drawing/2014/chart" uri="{C3380CC4-5D6E-409C-BE32-E72D297353CC}">
              <c16:uniqueId val="{00000001-5963-4BD7-8E1C-C8A1C80CAAD3}"/>
            </c:ext>
          </c:extLst>
        </c:ser>
        <c:dLbls>
          <c:showLegendKey val="0"/>
          <c:showVal val="0"/>
          <c:showCatName val="0"/>
          <c:showSerName val="0"/>
          <c:showPercent val="0"/>
          <c:showBubbleSize val="0"/>
        </c:dLbls>
        <c:axId val="251667584"/>
        <c:axId val="251669504"/>
      </c:scatterChart>
      <c:valAx>
        <c:axId val="251667584"/>
        <c:scaling>
          <c:orientation val="minMax"/>
        </c:scaling>
        <c:delete val="0"/>
        <c:axPos val="b"/>
        <c:title>
          <c:tx>
            <c:rich>
              <a:bodyPr/>
              <a:lstStyle/>
              <a:p>
                <a:pPr>
                  <a:defRPr/>
                </a:pPr>
                <a:r>
                  <a:rPr lang="en-US"/>
                  <a:t>PREDICTED NIRS</a:t>
                </a:r>
              </a:p>
            </c:rich>
          </c:tx>
          <c:overlay val="0"/>
        </c:title>
        <c:numFmt formatCode="0.00E+0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251669504"/>
        <c:crosses val="autoZero"/>
        <c:crossBetween val="midCat"/>
      </c:valAx>
      <c:valAx>
        <c:axId val="251669504"/>
        <c:scaling>
          <c:orientation val="minMax"/>
        </c:scaling>
        <c:delete val="0"/>
        <c:axPos val="l"/>
        <c:majorGridlines/>
        <c:numFmt formatCode="0.00" sourceLinked="1"/>
        <c:majorTickMark val="out"/>
        <c:minorTickMark val="none"/>
        <c:tickLblPos val="nextTo"/>
        <c:crossAx val="251667584"/>
        <c:crosses val="autoZero"/>
        <c:crossBetween val="midCat"/>
      </c:valAx>
    </c:plotArea>
    <c:plotVisOnly val="1"/>
    <c:dispBlanksAs val="gap"/>
    <c:showDLblsOverMax val="0"/>
  </c:chart>
  <c:printSettings>
    <c:headerFooter/>
    <c:pageMargins b="0.75000000000000422" l="0.70000000000000062" r="0.70000000000000062" t="0.75000000000000422" header="0.30000000000000032" footer="0.30000000000000032"/>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400" baseline="0"/>
              <a:t>Residuals vs position</a:t>
            </a:r>
          </a:p>
        </c:rich>
      </c:tx>
      <c:layout>
        <c:manualLayout>
          <c:xMode val="edge"/>
          <c:yMode val="edge"/>
          <c:x val="0.61770845220434401"/>
          <c:y val="9.2592592592592587E-3"/>
        </c:manualLayout>
      </c:layout>
      <c:overlay val="1"/>
    </c:title>
    <c:autoTitleDeleted val="0"/>
    <c:plotArea>
      <c:layout>
        <c:manualLayout>
          <c:layoutTarget val="inner"/>
          <c:xMode val="edge"/>
          <c:yMode val="edge"/>
          <c:x val="9.7295231451277789E-2"/>
          <c:y val="4.1365688184682434E-2"/>
          <c:w val="0.8505582003234009"/>
          <c:h val="0.89909093674129181"/>
        </c:manualLayout>
      </c:layout>
      <c:scatterChart>
        <c:scatterStyle val="lineMarker"/>
        <c:varyColors val="0"/>
        <c:ser>
          <c:idx val="0"/>
          <c:order val="0"/>
          <c:spPr>
            <a:ln w="28575">
              <a:noFill/>
            </a:ln>
          </c:spPr>
          <c:xVal>
            <c:numRef>
              <c:f>'A Florent'!$B$63:$B$156</c:f>
              <c:numCache>
                <c:formatCode>General</c:formatCode>
                <c:ptCount val="9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numCache>
            </c:numRef>
          </c:xVal>
          <c:yVal>
            <c:numRef>
              <c:f>'A Florent'!$G$63:$G$156</c:f>
              <c:numCache>
                <c:formatCode>0.00</c:formatCode>
                <c:ptCount val="94"/>
                <c:pt idx="0">
                  <c:v>-0.87740992863039935</c:v>
                </c:pt>
                <c:pt idx="1">
                  <c:v>0.52204182014239997</c:v>
                </c:pt>
                <c:pt idx="2">
                  <c:v>3.6895891712623001</c:v>
                </c:pt>
                <c:pt idx="3">
                  <c:v>0.36853031118280022</c:v>
                </c:pt>
                <c:pt idx="4">
                  <c:v>-0.36289700144999948</c:v>
                </c:pt>
                <c:pt idx="5">
                  <c:v>-0.58973103837251983</c:v>
                </c:pt>
                <c:pt idx="6">
                  <c:v>-1.0222951161871006</c:v>
                </c:pt>
                <c:pt idx="7">
                  <c:v>-0.51324137041659945</c:v>
                </c:pt>
                <c:pt idx="8">
                  <c:v>4.3703432418499943E-2</c:v>
                </c:pt>
                <c:pt idx="9">
                  <c:v>-2.1294236794063401</c:v>
                </c:pt>
                <c:pt idx="10">
                  <c:v>-2.5548781403293397</c:v>
                </c:pt>
                <c:pt idx="11">
                  <c:v>-2.6885229143532996</c:v>
                </c:pt>
                <c:pt idx="12">
                  <c:v>-2.1944429114448312</c:v>
                </c:pt>
                <c:pt idx="13">
                  <c:v>-1.4107083204380704</c:v>
                </c:pt>
                <c:pt idx="14">
                  <c:v>1.267513430185101</c:v>
                </c:pt>
                <c:pt idx="15">
                  <c:v>0.19223340560900049</c:v>
                </c:pt>
                <c:pt idx="16">
                  <c:v>-2.0920818779034711</c:v>
                </c:pt>
                <c:pt idx="17">
                  <c:v>-2.3387890044357</c:v>
                </c:pt>
                <c:pt idx="18">
                  <c:v>0.48911727630250112</c:v>
                </c:pt>
                <c:pt idx="19">
                  <c:v>1.2780087543370016</c:v>
                </c:pt>
                <c:pt idx="20">
                  <c:v>-0.26188766962009957</c:v>
                </c:pt>
                <c:pt idx="21">
                  <c:v>-1.510005211675189</c:v>
                </c:pt>
                <c:pt idx="22">
                  <c:v>-0.70268439531750104</c:v>
                </c:pt>
                <c:pt idx="23">
                  <c:v>-1.9670013555743706</c:v>
                </c:pt>
                <c:pt idx="24">
                  <c:v>-0.29712259854240131</c:v>
                </c:pt>
                <c:pt idx="25">
                  <c:v>-0.19748208620534058</c:v>
                </c:pt>
                <c:pt idx="26">
                  <c:v>0.48423348853149939</c:v>
                </c:pt>
                <c:pt idx="27">
                  <c:v>-0.40049084134619939</c:v>
                </c:pt>
                <c:pt idx="28">
                  <c:v>-1.2475850420617292</c:v>
                </c:pt>
                <c:pt idx="29">
                  <c:v>-0.6312596853760013</c:v>
                </c:pt>
                <c:pt idx="30">
                  <c:v>-1.6982375072315001</c:v>
                </c:pt>
                <c:pt idx="31">
                  <c:v>8.0939744340900788E-2</c:v>
                </c:pt>
                <c:pt idx="32">
                  <c:v>-1.646043445246141</c:v>
                </c:pt>
                <c:pt idx="33">
                  <c:v>0.15264305522030064</c:v>
                </c:pt>
                <c:pt idx="34">
                  <c:v>2.6225398424042989</c:v>
                </c:pt>
                <c:pt idx="35">
                  <c:v>0.30977527394222903</c:v>
                </c:pt>
                <c:pt idx="36">
                  <c:v>-0.84840878646398998</c:v>
                </c:pt>
                <c:pt idx="37">
                  <c:v>-2.0436762371073893</c:v>
                </c:pt>
                <c:pt idx="38">
                  <c:v>1.1323696793813003</c:v>
                </c:pt>
                <c:pt idx="39">
                  <c:v>1.4252369161449998</c:v>
                </c:pt>
                <c:pt idx="40">
                  <c:v>-1.8311044732940704</c:v>
                </c:pt>
                <c:pt idx="41">
                  <c:v>-1.7027758786587395</c:v>
                </c:pt>
                <c:pt idx="42">
                  <c:v>-1.4480144955424805</c:v>
                </c:pt>
                <c:pt idx="43">
                  <c:v>-0.87681484952534028</c:v>
                </c:pt>
                <c:pt idx="44">
                  <c:v>-0.44842805195469992</c:v>
                </c:pt>
                <c:pt idx="45">
                  <c:v>-1.5113133434457797</c:v>
                </c:pt>
                <c:pt idx="46">
                  <c:v>0.15477137598480084</c:v>
                </c:pt>
                <c:pt idx="47">
                  <c:v>-1.5059467739425108</c:v>
                </c:pt>
                <c:pt idx="48">
                  <c:v>-0.616064896679271</c:v>
                </c:pt>
                <c:pt idx="49">
                  <c:v>2.7842779522020003</c:v>
                </c:pt>
                <c:pt idx="50">
                  <c:v>1.8299573454112004</c:v>
                </c:pt>
                <c:pt idx="51">
                  <c:v>-2.8814068241470601</c:v>
                </c:pt>
                <c:pt idx="52">
                  <c:v>3.3097580505964004</c:v>
                </c:pt>
                <c:pt idx="53">
                  <c:v>1.0796157490728007</c:v>
                </c:pt>
                <c:pt idx="54">
                  <c:v>-2.2111380740314992</c:v>
                </c:pt>
                <c:pt idx="55">
                  <c:v>1.3770386042826992</c:v>
                </c:pt>
                <c:pt idx="56">
                  <c:v>-0.64375040616159929</c:v>
                </c:pt>
                <c:pt idx="57">
                  <c:v>-0.11308592352879998</c:v>
                </c:pt>
                <c:pt idx="58">
                  <c:v>1.1707584236715007</c:v>
                </c:pt>
                <c:pt idx="59">
                  <c:v>1.1627332232590994</c:v>
                </c:pt>
                <c:pt idx="60">
                  <c:v>0.45115390746639861</c:v>
                </c:pt>
                <c:pt idx="61">
                  <c:v>1.2117472636593991</c:v>
                </c:pt>
                <c:pt idx="62">
                  <c:v>0.91022788247559916</c:v>
                </c:pt>
                <c:pt idx="63">
                  <c:v>0.12329551860449861</c:v>
                </c:pt>
                <c:pt idx="64">
                  <c:v>-2.0655262928368998</c:v>
                </c:pt>
                <c:pt idx="65">
                  <c:v>1.0745570100660995</c:v>
                </c:pt>
                <c:pt idx="66">
                  <c:v>0.51257413043219913</c:v>
                </c:pt>
                <c:pt idx="67">
                  <c:v>-1.8697145934799764E-2</c:v>
                </c:pt>
                <c:pt idx="68">
                  <c:v>0.47144384221719982</c:v>
                </c:pt>
                <c:pt idx="69">
                  <c:v>3.3953144897980998</c:v>
                </c:pt>
                <c:pt idx="70">
                  <c:v>-2.55354295850311</c:v>
                </c:pt>
                <c:pt idx="71">
                  <c:v>-0.99938991832519974</c:v>
                </c:pt>
                <c:pt idx="72">
                  <c:v>1.7136888977597007</c:v>
                </c:pt>
                <c:pt idx="73">
                  <c:v>-1.6581368186656995</c:v>
                </c:pt>
                <c:pt idx="74">
                  <c:v>-0.66230530938639909</c:v>
                </c:pt>
                <c:pt idx="75">
                  <c:v>0.57661975306410085</c:v>
                </c:pt>
                <c:pt idx="76">
                  <c:v>-0.30862823077540114</c:v>
                </c:pt>
                <c:pt idx="77">
                  <c:v>-1.0716100137496998</c:v>
                </c:pt>
                <c:pt idx="78">
                  <c:v>-1.6322957253896</c:v>
                </c:pt>
                <c:pt idx="79">
                  <c:v>-1.7707199416979993</c:v>
                </c:pt>
              </c:numCache>
            </c:numRef>
          </c:yVal>
          <c:smooth val="0"/>
          <c:extLst>
            <c:ext xmlns:c16="http://schemas.microsoft.com/office/drawing/2014/chart" uri="{C3380CC4-5D6E-409C-BE32-E72D297353CC}">
              <c16:uniqueId val="{00000000-B2B8-43AF-9EAA-6BF8DF6EE01E}"/>
            </c:ext>
          </c:extLst>
        </c:ser>
        <c:dLbls>
          <c:showLegendKey val="0"/>
          <c:showVal val="0"/>
          <c:showCatName val="0"/>
          <c:showSerName val="0"/>
          <c:showPercent val="0"/>
          <c:showBubbleSize val="0"/>
        </c:dLbls>
        <c:axId val="274780160"/>
        <c:axId val="274781696"/>
      </c:scatterChart>
      <c:valAx>
        <c:axId val="274780160"/>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274781696"/>
        <c:crosses val="autoZero"/>
        <c:crossBetween val="midCat"/>
      </c:valAx>
      <c:valAx>
        <c:axId val="274781696"/>
        <c:scaling>
          <c:orientation val="minMax"/>
        </c:scaling>
        <c:delete val="0"/>
        <c:axPos val="l"/>
        <c:majorGridlines/>
        <c:numFmt formatCode="0.00" sourceLinked="1"/>
        <c:majorTickMark val="out"/>
        <c:minorTickMark val="none"/>
        <c:tickLblPos val="nextTo"/>
        <c:crossAx val="274780160"/>
        <c:crosses val="autoZero"/>
        <c:crossBetween val="midCat"/>
      </c:valAx>
    </c:plotArea>
    <c:plotVisOnly val="1"/>
    <c:dispBlanksAs val="gap"/>
    <c:showDLblsOverMax val="0"/>
  </c:chart>
  <c:printSettings>
    <c:headerFooter/>
    <c:pageMargins b="0.75000000000000211" l="0.70000000000000062" r="0.70000000000000062" t="0.75000000000000211" header="0.30000000000000032" footer="0.30000000000000032"/>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3834418474441655E-2"/>
          <c:y val="0.13250935178105364"/>
          <c:w val="0.6729182365583003"/>
          <c:h val="0.71284029659820869"/>
        </c:manualLayout>
      </c:layout>
      <c:scatterChart>
        <c:scatterStyle val="lineMarker"/>
        <c:varyColors val="0"/>
        <c:ser>
          <c:idx val="0"/>
          <c:order val="0"/>
          <c:tx>
            <c:v> </c:v>
          </c:tx>
          <c:spPr>
            <a:ln w="28575">
              <a:noFill/>
            </a:ln>
          </c:spPr>
          <c:marker>
            <c:symbol val="circle"/>
            <c:size val="8"/>
            <c:spPr>
              <a:solidFill>
                <a:srgbClr val="000080"/>
              </a:solidFill>
              <a:ln>
                <a:solidFill>
                  <a:srgbClr val="000080"/>
                </a:solidFill>
                <a:prstDash val="solid"/>
              </a:ln>
            </c:spPr>
          </c:marker>
          <c:dLbls>
            <c:dLbl>
              <c:idx val="0"/>
              <c:tx>
                <c:rich>
                  <a:bodyPr/>
                  <a:lstStyle/>
                  <a:p>
                    <a:fld id="{90BE6431-BBE4-48E8-A98D-5496680A672A}" type="CELLRANGE">
                      <a:rPr lang="en-US"/>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2637-4068-97B6-D1A86BF44E05}"/>
                </c:ext>
              </c:extLst>
            </c:dLbl>
            <c:dLbl>
              <c:idx val="1"/>
              <c:tx>
                <c:rich>
                  <a:bodyPr/>
                  <a:lstStyle/>
                  <a:p>
                    <a:fld id="{482A8F08-F739-45D6-977E-6B1453F4FC7E}"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2637-4068-97B6-D1A86BF44E05}"/>
                </c:ext>
              </c:extLst>
            </c:dLbl>
            <c:dLbl>
              <c:idx val="2"/>
              <c:tx>
                <c:rich>
                  <a:bodyPr/>
                  <a:lstStyle/>
                  <a:p>
                    <a:fld id="{1BBC9D56-2C22-4070-B573-223D8CC6C5EF}"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2637-4068-97B6-D1A86BF44E05}"/>
                </c:ext>
              </c:extLst>
            </c:dLbl>
            <c:dLbl>
              <c:idx val="3"/>
              <c:tx>
                <c:rich>
                  <a:bodyPr/>
                  <a:lstStyle/>
                  <a:p>
                    <a:fld id="{94D151CA-9716-4024-B632-D52021B22C46}"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2637-4068-97B6-D1A86BF44E05}"/>
                </c:ext>
              </c:extLst>
            </c:dLbl>
            <c:dLbl>
              <c:idx val="4"/>
              <c:tx>
                <c:rich>
                  <a:bodyPr/>
                  <a:lstStyle/>
                  <a:p>
                    <a:fld id="{3ED12440-5A2C-47B9-B651-A98C9D8285DC}"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2637-4068-97B6-D1A86BF44E05}"/>
                </c:ext>
              </c:extLst>
            </c:dLbl>
            <c:dLbl>
              <c:idx val="5"/>
              <c:tx>
                <c:rich>
                  <a:bodyPr/>
                  <a:lstStyle/>
                  <a:p>
                    <a:fld id="{4C1CB297-0006-4341-8B63-2C32D8328A60}"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2637-4068-97B6-D1A86BF44E05}"/>
                </c:ext>
              </c:extLst>
            </c:dLbl>
            <c:dLbl>
              <c:idx val="6"/>
              <c:tx>
                <c:rich>
                  <a:bodyPr/>
                  <a:lstStyle/>
                  <a:p>
                    <a:fld id="{BBB1DCA0-22BB-4851-A9B4-B43928C72F5D}"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2637-4068-97B6-D1A86BF44E05}"/>
                </c:ext>
              </c:extLst>
            </c:dLbl>
            <c:dLbl>
              <c:idx val="7"/>
              <c:tx>
                <c:rich>
                  <a:bodyPr/>
                  <a:lstStyle/>
                  <a:p>
                    <a:fld id="{F73B49F7-9AF5-49F3-A4C3-D5973419041B}"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2637-4068-97B6-D1A86BF44E05}"/>
                </c:ext>
              </c:extLst>
            </c:dLbl>
            <c:dLbl>
              <c:idx val="8"/>
              <c:tx>
                <c:rich>
                  <a:bodyPr/>
                  <a:lstStyle/>
                  <a:p>
                    <a:fld id="{FD6C25DA-D346-49DE-BEEA-A6D64F2C8545}"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2637-4068-97B6-D1A86BF44E05}"/>
                </c:ext>
              </c:extLst>
            </c:dLbl>
            <c:dLbl>
              <c:idx val="9"/>
              <c:tx>
                <c:rich>
                  <a:bodyPr/>
                  <a:lstStyle/>
                  <a:p>
                    <a:fld id="{DE1E40B8-CF12-4C04-BE9C-37BFEED84DC8}"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2637-4068-97B6-D1A86BF44E05}"/>
                </c:ext>
              </c:extLst>
            </c:dLbl>
            <c:dLbl>
              <c:idx val="10"/>
              <c:tx>
                <c:rich>
                  <a:bodyPr/>
                  <a:lstStyle/>
                  <a:p>
                    <a:fld id="{1043B879-4326-4E3E-9AA6-B5826372A7D4}"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2637-4068-97B6-D1A86BF44E05}"/>
                </c:ext>
              </c:extLst>
            </c:dLbl>
            <c:dLbl>
              <c:idx val="11"/>
              <c:tx>
                <c:rich>
                  <a:bodyPr/>
                  <a:lstStyle/>
                  <a:p>
                    <a:fld id="{7573BD0C-1544-4934-8B74-D53D481CED0D}"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2637-4068-97B6-D1A86BF44E05}"/>
                </c:ext>
              </c:extLst>
            </c:dLbl>
            <c:dLbl>
              <c:idx val="12"/>
              <c:tx>
                <c:rich>
                  <a:bodyPr/>
                  <a:lstStyle/>
                  <a:p>
                    <a:fld id="{BF656EA4-A422-421F-AF37-6F640A2A7102}"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2637-4068-97B6-D1A86BF44E05}"/>
                </c:ext>
              </c:extLst>
            </c:dLbl>
            <c:dLbl>
              <c:idx val="13"/>
              <c:tx>
                <c:rich>
                  <a:bodyPr/>
                  <a:lstStyle/>
                  <a:p>
                    <a:fld id="{D1AB307A-57D4-4D71-89B8-2EEA7E99615D}"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2637-4068-97B6-D1A86BF44E05}"/>
                </c:ext>
              </c:extLst>
            </c:dLbl>
            <c:dLbl>
              <c:idx val="14"/>
              <c:tx>
                <c:rich>
                  <a:bodyPr/>
                  <a:lstStyle/>
                  <a:p>
                    <a:fld id="{943BA0E0-00CF-4190-B842-A203014E056B}"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2637-4068-97B6-D1A86BF44E05}"/>
                </c:ext>
              </c:extLst>
            </c:dLbl>
            <c:dLbl>
              <c:idx val="15"/>
              <c:tx>
                <c:rich>
                  <a:bodyPr/>
                  <a:lstStyle/>
                  <a:p>
                    <a:fld id="{FDF142DA-8877-4433-9C57-EDDE844A5FBA}"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2637-4068-97B6-D1A86BF44E05}"/>
                </c:ext>
              </c:extLst>
            </c:dLbl>
            <c:dLbl>
              <c:idx val="16"/>
              <c:tx>
                <c:rich>
                  <a:bodyPr/>
                  <a:lstStyle/>
                  <a:p>
                    <a:fld id="{84F31038-C66E-4674-921E-9C4E9912EC50}"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2637-4068-97B6-D1A86BF44E05}"/>
                </c:ext>
              </c:extLst>
            </c:dLbl>
            <c:dLbl>
              <c:idx val="17"/>
              <c:tx>
                <c:rich>
                  <a:bodyPr/>
                  <a:lstStyle/>
                  <a:p>
                    <a:fld id="{BEF39A0E-5A78-4058-9036-151D5A15A6DA}"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2637-4068-97B6-D1A86BF44E05}"/>
                </c:ext>
              </c:extLst>
            </c:dLbl>
            <c:dLbl>
              <c:idx val="18"/>
              <c:tx>
                <c:rich>
                  <a:bodyPr/>
                  <a:lstStyle/>
                  <a:p>
                    <a:fld id="{ABC0A14F-92C6-4D9B-AC66-506E94FD3C2C}"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2637-4068-97B6-D1A86BF44E05}"/>
                </c:ext>
              </c:extLst>
            </c:dLbl>
            <c:dLbl>
              <c:idx val="19"/>
              <c:tx>
                <c:rich>
                  <a:bodyPr/>
                  <a:lstStyle/>
                  <a:p>
                    <a:fld id="{E74ED393-E96F-4700-AA4A-56415716F4CB}"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2637-4068-97B6-D1A86BF44E05}"/>
                </c:ext>
              </c:extLst>
            </c:dLbl>
            <c:dLbl>
              <c:idx val="20"/>
              <c:tx>
                <c:rich>
                  <a:bodyPr/>
                  <a:lstStyle/>
                  <a:p>
                    <a:fld id="{19932A53-0C82-4CB2-8D5F-9D12634D620B}"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2637-4068-97B6-D1A86BF44E05}"/>
                </c:ext>
              </c:extLst>
            </c:dLbl>
            <c:dLbl>
              <c:idx val="21"/>
              <c:tx>
                <c:rich>
                  <a:bodyPr/>
                  <a:lstStyle/>
                  <a:p>
                    <a:fld id="{D83AD91D-22B8-408E-8422-0624E01F3195}"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2637-4068-97B6-D1A86BF44E05}"/>
                </c:ext>
              </c:extLst>
            </c:dLbl>
            <c:dLbl>
              <c:idx val="22"/>
              <c:tx>
                <c:rich>
                  <a:bodyPr/>
                  <a:lstStyle/>
                  <a:p>
                    <a:fld id="{DD94029E-8F30-4BB6-A468-F6B42560C6AD}"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2637-4068-97B6-D1A86BF44E05}"/>
                </c:ext>
              </c:extLst>
            </c:dLbl>
            <c:dLbl>
              <c:idx val="23"/>
              <c:tx>
                <c:rich>
                  <a:bodyPr/>
                  <a:lstStyle/>
                  <a:p>
                    <a:fld id="{6392B526-4DC0-4101-AE71-DF9876F61CC3}"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2637-4068-97B6-D1A86BF44E05}"/>
                </c:ext>
              </c:extLst>
            </c:dLbl>
            <c:dLbl>
              <c:idx val="24"/>
              <c:tx>
                <c:rich>
                  <a:bodyPr/>
                  <a:lstStyle/>
                  <a:p>
                    <a:fld id="{9486C513-8787-4BB5-BB87-A4FAD57A4238}"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2637-4068-97B6-D1A86BF44E05}"/>
                </c:ext>
              </c:extLst>
            </c:dLbl>
            <c:dLbl>
              <c:idx val="25"/>
              <c:tx>
                <c:rich>
                  <a:bodyPr/>
                  <a:lstStyle/>
                  <a:p>
                    <a:fld id="{00049AF8-1AD0-4CFC-9D80-552552C840F5}"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2637-4068-97B6-D1A86BF44E05}"/>
                </c:ext>
              </c:extLst>
            </c:dLbl>
            <c:dLbl>
              <c:idx val="26"/>
              <c:tx>
                <c:rich>
                  <a:bodyPr/>
                  <a:lstStyle/>
                  <a:p>
                    <a:fld id="{D4DA069E-7641-482B-AD18-886D56CCB11D}"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2637-4068-97B6-D1A86BF44E05}"/>
                </c:ext>
              </c:extLst>
            </c:dLbl>
            <c:dLbl>
              <c:idx val="27"/>
              <c:tx>
                <c:rich>
                  <a:bodyPr/>
                  <a:lstStyle/>
                  <a:p>
                    <a:fld id="{14C6367A-D69F-4AFC-89BC-2C06220E4466}"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2637-4068-97B6-D1A86BF44E05}"/>
                </c:ext>
              </c:extLst>
            </c:dLbl>
            <c:dLbl>
              <c:idx val="28"/>
              <c:tx>
                <c:rich>
                  <a:bodyPr/>
                  <a:lstStyle/>
                  <a:p>
                    <a:fld id="{3DD4906D-9C1B-45F5-94CA-4A9430D71E7C}"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2637-4068-97B6-D1A86BF44E05}"/>
                </c:ext>
              </c:extLst>
            </c:dLbl>
            <c:dLbl>
              <c:idx val="29"/>
              <c:tx>
                <c:rich>
                  <a:bodyPr/>
                  <a:lstStyle/>
                  <a:p>
                    <a:fld id="{BB2D8FBE-7F9F-4D65-9570-5D25074D9AEE}"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2637-4068-97B6-D1A86BF44E05}"/>
                </c:ext>
              </c:extLst>
            </c:dLbl>
            <c:dLbl>
              <c:idx val="30"/>
              <c:tx>
                <c:rich>
                  <a:bodyPr/>
                  <a:lstStyle/>
                  <a:p>
                    <a:fld id="{7C6C5C61-52E0-472A-B0FA-7A4E99482BE4}"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2637-4068-97B6-D1A86BF44E05}"/>
                </c:ext>
              </c:extLst>
            </c:dLbl>
            <c:dLbl>
              <c:idx val="31"/>
              <c:tx>
                <c:rich>
                  <a:bodyPr/>
                  <a:lstStyle/>
                  <a:p>
                    <a:fld id="{2D7431EC-D4F5-4D6B-A328-D0E23395CA0B}"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2637-4068-97B6-D1A86BF44E05}"/>
                </c:ext>
              </c:extLst>
            </c:dLbl>
            <c:dLbl>
              <c:idx val="32"/>
              <c:tx>
                <c:rich>
                  <a:bodyPr/>
                  <a:lstStyle/>
                  <a:p>
                    <a:fld id="{1C2FE60B-1BC3-4E1E-94A2-7026ABE869AD}"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2637-4068-97B6-D1A86BF44E05}"/>
                </c:ext>
              </c:extLst>
            </c:dLbl>
            <c:dLbl>
              <c:idx val="33"/>
              <c:tx>
                <c:rich>
                  <a:bodyPr/>
                  <a:lstStyle/>
                  <a:p>
                    <a:fld id="{74BD2427-192E-4A50-8A07-DBD7E85C53C7}"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2637-4068-97B6-D1A86BF44E05}"/>
                </c:ext>
              </c:extLst>
            </c:dLbl>
            <c:dLbl>
              <c:idx val="34"/>
              <c:tx>
                <c:rich>
                  <a:bodyPr/>
                  <a:lstStyle/>
                  <a:p>
                    <a:fld id="{979EF48B-B7E3-470D-B4DA-1BBC3FF5A9E7}"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2637-4068-97B6-D1A86BF44E05}"/>
                </c:ext>
              </c:extLst>
            </c:dLbl>
            <c:dLbl>
              <c:idx val="35"/>
              <c:tx>
                <c:rich>
                  <a:bodyPr/>
                  <a:lstStyle/>
                  <a:p>
                    <a:fld id="{0CBA5DB2-864F-4D82-9D85-40E8C12306B3}"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2637-4068-97B6-D1A86BF44E05}"/>
                </c:ext>
              </c:extLst>
            </c:dLbl>
            <c:dLbl>
              <c:idx val="36"/>
              <c:tx>
                <c:rich>
                  <a:bodyPr/>
                  <a:lstStyle/>
                  <a:p>
                    <a:fld id="{4DDE8A47-3C93-40C0-95B7-BC8B16976BBA}"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2637-4068-97B6-D1A86BF44E05}"/>
                </c:ext>
              </c:extLst>
            </c:dLbl>
            <c:dLbl>
              <c:idx val="37"/>
              <c:tx>
                <c:rich>
                  <a:bodyPr/>
                  <a:lstStyle/>
                  <a:p>
                    <a:fld id="{A1FD4280-91FF-414F-89AD-D1C8EA2675F4}"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2637-4068-97B6-D1A86BF44E05}"/>
                </c:ext>
              </c:extLst>
            </c:dLbl>
            <c:dLbl>
              <c:idx val="38"/>
              <c:tx>
                <c:rich>
                  <a:bodyPr/>
                  <a:lstStyle/>
                  <a:p>
                    <a:fld id="{DE02F13B-B36C-41BD-9CC4-D4DC8A688082}"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2637-4068-97B6-D1A86BF44E05}"/>
                </c:ext>
              </c:extLst>
            </c:dLbl>
            <c:dLbl>
              <c:idx val="39"/>
              <c:tx>
                <c:rich>
                  <a:bodyPr/>
                  <a:lstStyle/>
                  <a:p>
                    <a:fld id="{33F72C86-FE60-41DB-8BCD-B6857614CF37}"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2637-4068-97B6-D1A86BF44E05}"/>
                </c:ext>
              </c:extLst>
            </c:dLbl>
            <c:dLbl>
              <c:idx val="40"/>
              <c:tx>
                <c:rich>
                  <a:bodyPr/>
                  <a:lstStyle/>
                  <a:p>
                    <a:fld id="{F9077F16-2E95-400C-BE83-D5F0145D6878}"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2637-4068-97B6-D1A86BF44E05}"/>
                </c:ext>
              </c:extLst>
            </c:dLbl>
            <c:dLbl>
              <c:idx val="41"/>
              <c:tx>
                <c:rich>
                  <a:bodyPr/>
                  <a:lstStyle/>
                  <a:p>
                    <a:fld id="{AAD15522-6F06-4A24-8DBA-FCE079AE2647}"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2637-4068-97B6-D1A86BF44E05}"/>
                </c:ext>
              </c:extLst>
            </c:dLbl>
            <c:dLbl>
              <c:idx val="42"/>
              <c:tx>
                <c:rich>
                  <a:bodyPr/>
                  <a:lstStyle/>
                  <a:p>
                    <a:fld id="{6FA6FF08-B86A-487D-B6B1-34994BFC0829}"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2637-4068-97B6-D1A86BF44E05}"/>
                </c:ext>
              </c:extLst>
            </c:dLbl>
            <c:dLbl>
              <c:idx val="43"/>
              <c:tx>
                <c:rich>
                  <a:bodyPr/>
                  <a:lstStyle/>
                  <a:p>
                    <a:fld id="{10FDC9DB-0FDD-4C92-93E1-441733E5CB5B}"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2637-4068-97B6-D1A86BF44E05}"/>
                </c:ext>
              </c:extLst>
            </c:dLbl>
            <c:dLbl>
              <c:idx val="44"/>
              <c:tx>
                <c:rich>
                  <a:bodyPr/>
                  <a:lstStyle/>
                  <a:p>
                    <a:fld id="{8FD9A413-1B1B-47EB-8D2C-506DB75EB2FD}"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2637-4068-97B6-D1A86BF44E05}"/>
                </c:ext>
              </c:extLst>
            </c:dLbl>
            <c:dLbl>
              <c:idx val="45"/>
              <c:tx>
                <c:rich>
                  <a:bodyPr/>
                  <a:lstStyle/>
                  <a:p>
                    <a:fld id="{78BE8504-2944-431D-AFF2-96EF5F14C329}"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2637-4068-97B6-D1A86BF44E05}"/>
                </c:ext>
              </c:extLst>
            </c:dLbl>
            <c:dLbl>
              <c:idx val="46"/>
              <c:tx>
                <c:rich>
                  <a:bodyPr/>
                  <a:lstStyle/>
                  <a:p>
                    <a:fld id="{E854109A-3D19-4DA0-A3AB-316A1ECA3F02}"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2637-4068-97B6-D1A86BF44E05}"/>
                </c:ext>
              </c:extLst>
            </c:dLbl>
            <c:dLbl>
              <c:idx val="47"/>
              <c:tx>
                <c:rich>
                  <a:bodyPr/>
                  <a:lstStyle/>
                  <a:p>
                    <a:fld id="{F1A64AEC-6EFF-49F1-8CDA-56A4120B16B3}"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2637-4068-97B6-D1A86BF44E05}"/>
                </c:ext>
              </c:extLst>
            </c:dLbl>
            <c:dLbl>
              <c:idx val="48"/>
              <c:tx>
                <c:rich>
                  <a:bodyPr/>
                  <a:lstStyle/>
                  <a:p>
                    <a:fld id="{F14CD6F2-5DEA-4254-9F6B-9B7DF9658D24}"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2637-4068-97B6-D1A86BF44E05}"/>
                </c:ext>
              </c:extLst>
            </c:dLbl>
            <c:dLbl>
              <c:idx val="49"/>
              <c:tx>
                <c:rich>
                  <a:bodyPr/>
                  <a:lstStyle/>
                  <a:p>
                    <a:fld id="{9C8A144A-8B19-4461-9820-875B1E8A45F3}"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2637-4068-97B6-D1A86BF44E05}"/>
                </c:ext>
              </c:extLst>
            </c:dLbl>
            <c:dLbl>
              <c:idx val="50"/>
              <c:tx>
                <c:rich>
                  <a:bodyPr/>
                  <a:lstStyle/>
                  <a:p>
                    <a:fld id="{60D07F33-5FEC-4792-AD1D-8247002E8E6A}"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2637-4068-97B6-D1A86BF44E05}"/>
                </c:ext>
              </c:extLst>
            </c:dLbl>
            <c:dLbl>
              <c:idx val="51"/>
              <c:tx>
                <c:rich>
                  <a:bodyPr/>
                  <a:lstStyle/>
                  <a:p>
                    <a:fld id="{07520EFF-410F-4E24-8C93-3884A306AC22}"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2637-4068-97B6-D1A86BF44E05}"/>
                </c:ext>
              </c:extLst>
            </c:dLbl>
            <c:dLbl>
              <c:idx val="52"/>
              <c:tx>
                <c:rich>
                  <a:bodyPr/>
                  <a:lstStyle/>
                  <a:p>
                    <a:fld id="{1D36E95D-B59F-414F-9A5B-4DCE7EA5FC09}"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2637-4068-97B6-D1A86BF44E05}"/>
                </c:ext>
              </c:extLst>
            </c:dLbl>
            <c:dLbl>
              <c:idx val="53"/>
              <c:tx>
                <c:rich>
                  <a:bodyPr/>
                  <a:lstStyle/>
                  <a:p>
                    <a:fld id="{7AB55DB8-8694-4126-A187-39BF3CD9C26C}"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2637-4068-97B6-D1A86BF44E05}"/>
                </c:ext>
              </c:extLst>
            </c:dLbl>
            <c:dLbl>
              <c:idx val="54"/>
              <c:tx>
                <c:rich>
                  <a:bodyPr/>
                  <a:lstStyle/>
                  <a:p>
                    <a:fld id="{B81169F7-8D70-434B-BC9B-80B1DECDE0CF}"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2637-4068-97B6-D1A86BF44E05}"/>
                </c:ext>
              </c:extLst>
            </c:dLbl>
            <c:dLbl>
              <c:idx val="55"/>
              <c:tx>
                <c:rich>
                  <a:bodyPr/>
                  <a:lstStyle/>
                  <a:p>
                    <a:fld id="{5AAF07F2-738C-42FA-A070-95719C802197}"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2637-4068-97B6-D1A86BF44E05}"/>
                </c:ext>
              </c:extLst>
            </c:dLbl>
            <c:dLbl>
              <c:idx val="56"/>
              <c:tx>
                <c:rich>
                  <a:bodyPr/>
                  <a:lstStyle/>
                  <a:p>
                    <a:fld id="{855D695D-4CEF-40C1-A926-54A3368594DD}"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2637-4068-97B6-D1A86BF44E05}"/>
                </c:ext>
              </c:extLst>
            </c:dLbl>
            <c:dLbl>
              <c:idx val="57"/>
              <c:tx>
                <c:rich>
                  <a:bodyPr/>
                  <a:lstStyle/>
                  <a:p>
                    <a:fld id="{6B5126E2-857E-423A-ADE3-9341B8AFC8AB}"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2637-4068-97B6-D1A86BF44E05}"/>
                </c:ext>
              </c:extLst>
            </c:dLbl>
            <c:dLbl>
              <c:idx val="58"/>
              <c:tx>
                <c:rich>
                  <a:bodyPr/>
                  <a:lstStyle/>
                  <a:p>
                    <a:fld id="{A5C75D5B-8961-41CC-95C9-3597D89200C3}"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A-2637-4068-97B6-D1A86BF44E05}"/>
                </c:ext>
              </c:extLst>
            </c:dLbl>
            <c:dLbl>
              <c:idx val="59"/>
              <c:tx>
                <c:rich>
                  <a:bodyPr/>
                  <a:lstStyle/>
                  <a:p>
                    <a:fld id="{AAE2385E-F795-40FB-82F8-C87FC1AD3BE7}"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2637-4068-97B6-D1A86BF44E05}"/>
                </c:ext>
              </c:extLst>
            </c:dLbl>
            <c:dLbl>
              <c:idx val="60"/>
              <c:tx>
                <c:rich>
                  <a:bodyPr/>
                  <a:lstStyle/>
                  <a:p>
                    <a:fld id="{0B52643A-EE4B-4BB7-AA30-CF13C616720C}"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2637-4068-97B6-D1A86BF44E05}"/>
                </c:ext>
              </c:extLst>
            </c:dLbl>
            <c:dLbl>
              <c:idx val="61"/>
              <c:tx>
                <c:rich>
                  <a:bodyPr/>
                  <a:lstStyle/>
                  <a:p>
                    <a:fld id="{58D52357-3892-401B-8172-01E7D6E46C16}"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2637-4068-97B6-D1A86BF44E05}"/>
                </c:ext>
              </c:extLst>
            </c:dLbl>
            <c:dLbl>
              <c:idx val="62"/>
              <c:tx>
                <c:rich>
                  <a:bodyPr/>
                  <a:lstStyle/>
                  <a:p>
                    <a:fld id="{9EBDC34F-216B-4C63-9CF7-CE307F8E28F0}"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2637-4068-97B6-D1A86BF44E05}"/>
                </c:ext>
              </c:extLst>
            </c:dLbl>
            <c:dLbl>
              <c:idx val="63"/>
              <c:tx>
                <c:rich>
                  <a:bodyPr/>
                  <a:lstStyle/>
                  <a:p>
                    <a:fld id="{54BC6FEC-8D14-4A95-A7CC-60C3DA168E0A}"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2637-4068-97B6-D1A86BF44E05}"/>
                </c:ext>
              </c:extLst>
            </c:dLbl>
            <c:dLbl>
              <c:idx val="64"/>
              <c:tx>
                <c:rich>
                  <a:bodyPr/>
                  <a:lstStyle/>
                  <a:p>
                    <a:fld id="{D5FB9594-5EF0-439B-A583-435B35D052CE}"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0-2637-4068-97B6-D1A86BF44E05}"/>
                </c:ext>
              </c:extLst>
            </c:dLbl>
            <c:dLbl>
              <c:idx val="65"/>
              <c:tx>
                <c:rich>
                  <a:bodyPr/>
                  <a:lstStyle/>
                  <a:p>
                    <a:fld id="{7F78D3DC-1338-4D3C-8852-5547A5305655}"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1-2637-4068-97B6-D1A86BF44E05}"/>
                </c:ext>
              </c:extLst>
            </c:dLbl>
            <c:dLbl>
              <c:idx val="66"/>
              <c:tx>
                <c:rich>
                  <a:bodyPr/>
                  <a:lstStyle/>
                  <a:p>
                    <a:fld id="{96055984-1EAE-4B04-957B-ED458695F521}"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2637-4068-97B6-D1A86BF44E05}"/>
                </c:ext>
              </c:extLst>
            </c:dLbl>
            <c:dLbl>
              <c:idx val="67"/>
              <c:tx>
                <c:rich>
                  <a:bodyPr/>
                  <a:lstStyle/>
                  <a:p>
                    <a:fld id="{B1A059C8-A77D-4C22-88EB-1333ABD40592}"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3-2637-4068-97B6-D1A86BF44E05}"/>
                </c:ext>
              </c:extLst>
            </c:dLbl>
            <c:dLbl>
              <c:idx val="68"/>
              <c:tx>
                <c:rich>
                  <a:bodyPr/>
                  <a:lstStyle/>
                  <a:p>
                    <a:fld id="{B0563FBB-DA6E-4F0C-881C-F4FB3771EBA0}"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4-2637-4068-97B6-D1A86BF44E05}"/>
                </c:ext>
              </c:extLst>
            </c:dLbl>
            <c:dLbl>
              <c:idx val="69"/>
              <c:tx>
                <c:rich>
                  <a:bodyPr/>
                  <a:lstStyle/>
                  <a:p>
                    <a:fld id="{B38CE3E5-5A26-41D8-B993-1A70499151E5}"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5-2637-4068-97B6-D1A86BF44E05}"/>
                </c:ext>
              </c:extLst>
            </c:dLbl>
            <c:dLbl>
              <c:idx val="70"/>
              <c:tx>
                <c:rich>
                  <a:bodyPr/>
                  <a:lstStyle/>
                  <a:p>
                    <a:fld id="{34AA7C7F-1A9E-40B1-B9B0-1B53FC9E6EED}"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6-2637-4068-97B6-D1A86BF44E05}"/>
                </c:ext>
              </c:extLst>
            </c:dLbl>
            <c:dLbl>
              <c:idx val="71"/>
              <c:tx>
                <c:rich>
                  <a:bodyPr/>
                  <a:lstStyle/>
                  <a:p>
                    <a:fld id="{F91BEFCE-97F6-4196-B3E4-D89CF0314328}"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7-2637-4068-97B6-D1A86BF44E05}"/>
                </c:ext>
              </c:extLst>
            </c:dLbl>
            <c:dLbl>
              <c:idx val="72"/>
              <c:tx>
                <c:rich>
                  <a:bodyPr/>
                  <a:lstStyle/>
                  <a:p>
                    <a:fld id="{56DC2F4A-65A0-46C7-8999-29BFA243EDB8}"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8-2637-4068-97B6-D1A86BF44E05}"/>
                </c:ext>
              </c:extLst>
            </c:dLbl>
            <c:dLbl>
              <c:idx val="73"/>
              <c:tx>
                <c:rich>
                  <a:bodyPr/>
                  <a:lstStyle/>
                  <a:p>
                    <a:fld id="{B9C3EB7D-6A37-44C9-AD9F-D18376CF99E4}"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9-2637-4068-97B6-D1A86BF44E05}"/>
                </c:ext>
              </c:extLst>
            </c:dLbl>
            <c:dLbl>
              <c:idx val="74"/>
              <c:tx>
                <c:rich>
                  <a:bodyPr/>
                  <a:lstStyle/>
                  <a:p>
                    <a:fld id="{82A07D5F-8F69-46BB-96DF-008486350DA2}"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A-2637-4068-97B6-D1A86BF44E05}"/>
                </c:ext>
              </c:extLst>
            </c:dLbl>
            <c:dLbl>
              <c:idx val="75"/>
              <c:tx>
                <c:rich>
                  <a:bodyPr/>
                  <a:lstStyle/>
                  <a:p>
                    <a:fld id="{CEFDE0DC-C4CF-4B8D-98F4-E4207391C314}"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B-2637-4068-97B6-D1A86BF44E05}"/>
                </c:ext>
              </c:extLst>
            </c:dLbl>
            <c:dLbl>
              <c:idx val="76"/>
              <c:tx>
                <c:rich>
                  <a:bodyPr/>
                  <a:lstStyle/>
                  <a:p>
                    <a:fld id="{065EC676-58DD-4410-8CF7-869AD9E1E46F}"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C-2637-4068-97B6-D1A86BF44E05}"/>
                </c:ext>
              </c:extLst>
            </c:dLbl>
            <c:dLbl>
              <c:idx val="77"/>
              <c:tx>
                <c:rich>
                  <a:bodyPr/>
                  <a:lstStyle/>
                  <a:p>
                    <a:fld id="{7FFE030D-7F3B-4001-9556-DA40E2E9B6F3}"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D-2637-4068-97B6-D1A86BF44E05}"/>
                </c:ext>
              </c:extLst>
            </c:dLbl>
            <c:dLbl>
              <c:idx val="78"/>
              <c:tx>
                <c:rich>
                  <a:bodyPr/>
                  <a:lstStyle/>
                  <a:p>
                    <a:fld id="{32F8937A-4511-40E9-BEA6-67B380E05524}"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E-2637-4068-97B6-D1A86BF44E05}"/>
                </c:ext>
              </c:extLst>
            </c:dLbl>
            <c:dLbl>
              <c:idx val="79"/>
              <c:tx>
                <c:rich>
                  <a:bodyPr/>
                  <a:lstStyle/>
                  <a:p>
                    <a:fld id="{0D0B1D54-EE18-445C-958C-D4D440EDEFCC}"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F-2637-4068-97B6-D1A86BF44E05}"/>
                </c:ext>
              </c:extLst>
            </c:dLbl>
            <c:dLbl>
              <c:idx val="80"/>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0-2637-4068-97B6-D1A86BF44E05}"/>
                </c:ext>
              </c:extLst>
            </c:dLbl>
            <c:dLbl>
              <c:idx val="81"/>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1-2637-4068-97B6-D1A86BF44E05}"/>
                </c:ext>
              </c:extLst>
            </c:dLbl>
            <c:dLbl>
              <c:idx val="82"/>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2-2637-4068-97B6-D1A86BF44E05}"/>
                </c:ext>
              </c:extLst>
            </c:dLbl>
            <c:dLbl>
              <c:idx val="83"/>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3-2637-4068-97B6-D1A86BF44E05}"/>
                </c:ext>
              </c:extLst>
            </c:dLbl>
            <c:dLbl>
              <c:idx val="84"/>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4-2637-4068-97B6-D1A86BF44E05}"/>
                </c:ext>
              </c:extLst>
            </c:dLbl>
            <c:dLbl>
              <c:idx val="85"/>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5-2637-4068-97B6-D1A86BF44E05}"/>
                </c:ext>
              </c:extLst>
            </c:dLbl>
            <c:dLbl>
              <c:idx val="86"/>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6-2637-4068-97B6-D1A86BF44E05}"/>
                </c:ext>
              </c:extLst>
            </c:dLbl>
            <c:dLbl>
              <c:idx val="87"/>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7-2637-4068-97B6-D1A86BF44E05}"/>
                </c:ext>
              </c:extLst>
            </c:dLbl>
            <c:dLbl>
              <c:idx val="88"/>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8-2637-4068-97B6-D1A86BF44E05}"/>
                </c:ext>
              </c:extLst>
            </c:dLbl>
            <c:dLbl>
              <c:idx val="89"/>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9-2637-4068-97B6-D1A86BF44E05}"/>
                </c:ext>
              </c:extLst>
            </c:dLbl>
            <c:dLbl>
              <c:idx val="90"/>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A-2637-4068-97B6-D1A86BF44E05}"/>
                </c:ext>
              </c:extLst>
            </c:dLbl>
            <c:dLbl>
              <c:idx val="91"/>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B-2637-4068-97B6-D1A86BF44E05}"/>
                </c:ext>
              </c:extLst>
            </c:dLbl>
            <c:dLbl>
              <c:idx val="92"/>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C-2637-4068-97B6-D1A86BF44E05}"/>
                </c:ext>
              </c:extLst>
            </c:dLbl>
            <c:dLbl>
              <c:idx val="93"/>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D-2637-4068-97B6-D1A86BF44E05}"/>
                </c:ext>
              </c:extLst>
            </c:dLbl>
            <c:spPr>
              <a:noFill/>
              <a:ln>
                <a:noFill/>
              </a:ln>
              <a:effectLst/>
            </c:spPr>
            <c:txPr>
              <a:bodyPr wrap="square" lIns="38100" tIns="19050" rIns="38100" bIns="19050" anchor="ctr">
                <a:spAutoFit/>
              </a:bodyPr>
              <a:lstStyle/>
              <a:p>
                <a:pPr>
                  <a:defRPr sz="1000" baseline="0">
                    <a:solidFill>
                      <a:schemeClr val="bg1">
                        <a:lumMod val="75000"/>
                      </a:schemeClr>
                    </a:solidFill>
                  </a:defRPr>
                </a:pPr>
                <a:endParaRPr lang="fr-FR"/>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trendline>
            <c:spPr>
              <a:ln w="38100">
                <a:solidFill>
                  <a:srgbClr val="000000"/>
                </a:solidFill>
                <a:prstDash val="sysDash"/>
              </a:ln>
            </c:spPr>
            <c:trendlineType val="linear"/>
            <c:dispRSqr val="0"/>
            <c:dispEq val="0"/>
          </c:trendline>
          <c:trendline>
            <c:trendlineType val="linear"/>
            <c:dispRSqr val="0"/>
            <c:dispEq val="0"/>
          </c:trendline>
          <c:xVal>
            <c:numRef>
              <c:f>'Joris R'!$F$63:$F$156</c:f>
              <c:numCache>
                <c:formatCode>General</c:formatCode>
                <c:ptCount val="94"/>
                <c:pt idx="0">
                  <c:v>11.001961888372531</c:v>
                </c:pt>
                <c:pt idx="1">
                  <c:v>10.99806748945004</c:v>
                </c:pt>
                <c:pt idx="2">
                  <c:v>11.84716994810624</c:v>
                </c:pt>
                <c:pt idx="3">
                  <c:v>12.22830864286138</c:v>
                </c:pt>
                <c:pt idx="4">
                  <c:v>13.354394542486171</c:v>
                </c:pt>
                <c:pt idx="5">
                  <c:v>10.665983524245309</c:v>
                </c:pt>
                <c:pt idx="6">
                  <c:v>14.71213284531647</c:v>
                </c:pt>
                <c:pt idx="7">
                  <c:v>12.81764657246098</c:v>
                </c:pt>
                <c:pt idx="8">
                  <c:v>10.78576975566012</c:v>
                </c:pt>
                <c:pt idx="9">
                  <c:v>12.46666730032203</c:v>
                </c:pt>
                <c:pt idx="10">
                  <c:v>11.181603893253611</c:v>
                </c:pt>
                <c:pt idx="11">
                  <c:v>13.25622823416357</c:v>
                </c:pt>
                <c:pt idx="12">
                  <c:v>11.00596659240153</c:v>
                </c:pt>
                <c:pt idx="13">
                  <c:v>11.261369683439341</c:v>
                </c:pt>
                <c:pt idx="14">
                  <c:v>11.112319274127969</c:v>
                </c:pt>
                <c:pt idx="15">
                  <c:v>10.958001479586089</c:v>
                </c:pt>
                <c:pt idx="16">
                  <c:v>10.556504632829309</c:v>
                </c:pt>
                <c:pt idx="17">
                  <c:v>10.71083687349411</c:v>
                </c:pt>
                <c:pt idx="18">
                  <c:v>10.612861552170621</c:v>
                </c:pt>
                <c:pt idx="19">
                  <c:v>13.802318450583471</c:v>
                </c:pt>
                <c:pt idx="20">
                  <c:v>13.718942195769801</c:v>
                </c:pt>
                <c:pt idx="21">
                  <c:v>12.133810942924679</c:v>
                </c:pt>
                <c:pt idx="22">
                  <c:v>13.31393854148906</c:v>
                </c:pt>
                <c:pt idx="23">
                  <c:v>11.066709165907479</c:v>
                </c:pt>
                <c:pt idx="24">
                  <c:v>13.113774023772841</c:v>
                </c:pt>
                <c:pt idx="25">
                  <c:v>10.468783802706559</c:v>
                </c:pt>
                <c:pt idx="26">
                  <c:v>10.170732378091641</c:v>
                </c:pt>
                <c:pt idx="27">
                  <c:v>11.442023817097811</c:v>
                </c:pt>
                <c:pt idx="28">
                  <c:v>12.154008647872431</c:v>
                </c:pt>
                <c:pt idx="29">
                  <c:v>14.37744433091399</c:v>
                </c:pt>
                <c:pt idx="30">
                  <c:v>12.474578084412309</c:v>
                </c:pt>
                <c:pt idx="31">
                  <c:v>11.24834753373827</c:v>
                </c:pt>
                <c:pt idx="32">
                  <c:v>11.39560976928643</c:v>
                </c:pt>
                <c:pt idx="33">
                  <c:v>9.4032088645367633</c:v>
                </c:pt>
                <c:pt idx="34">
                  <c:v>14.252654087026359</c:v>
                </c:pt>
                <c:pt idx="35">
                  <c:v>10.445976935567471</c:v>
                </c:pt>
                <c:pt idx="36">
                  <c:v>10.753096537771709</c:v>
                </c:pt>
                <c:pt idx="37">
                  <c:v>9.7780950437025869</c:v>
                </c:pt>
                <c:pt idx="38">
                  <c:v>13.55444805845706</c:v>
                </c:pt>
                <c:pt idx="39">
                  <c:v>11.53030349200726</c:v>
                </c:pt>
                <c:pt idx="40">
                  <c:v>11.70577621102745</c:v>
                </c:pt>
                <c:pt idx="41">
                  <c:v>10.731389153681789</c:v>
                </c:pt>
                <c:pt idx="42">
                  <c:v>11.247159419024189</c:v>
                </c:pt>
                <c:pt idx="43">
                  <c:v>8.1680052345295273</c:v>
                </c:pt>
                <c:pt idx="44">
                  <c:v>13.89182593084085</c:v>
                </c:pt>
                <c:pt idx="45">
                  <c:v>10.309878925360641</c:v>
                </c:pt>
                <c:pt idx="46">
                  <c:v>11.618621068577751</c:v>
                </c:pt>
                <c:pt idx="47">
                  <c:v>8.6402524412987241</c:v>
                </c:pt>
                <c:pt idx="48">
                  <c:v>10.562898291373751</c:v>
                </c:pt>
                <c:pt idx="49">
                  <c:v>11.776452879877519</c:v>
                </c:pt>
                <c:pt idx="50">
                  <c:v>12.678063667501</c:v>
                </c:pt>
                <c:pt idx="51">
                  <c:v>11.478648514832839</c:v>
                </c:pt>
                <c:pt idx="52">
                  <c:v>12.30154084361666</c:v>
                </c:pt>
                <c:pt idx="53">
                  <c:v>10.22643388603375</c:v>
                </c:pt>
                <c:pt idx="54">
                  <c:v>12.74964137580006</c:v>
                </c:pt>
                <c:pt idx="55">
                  <c:v>10.49443098714157</c:v>
                </c:pt>
                <c:pt idx="56">
                  <c:v>8.850432525959226</c:v>
                </c:pt>
                <c:pt idx="57">
                  <c:v>11.14136743582544</c:v>
                </c:pt>
                <c:pt idx="58">
                  <c:v>10.19699686104317</c:v>
                </c:pt>
                <c:pt idx="59">
                  <c:v>10.74786607106072</c:v>
                </c:pt>
                <c:pt idx="60">
                  <c:v>13.686896839229449</c:v>
                </c:pt>
                <c:pt idx="61">
                  <c:v>13.714080370576211</c:v>
                </c:pt>
                <c:pt idx="62">
                  <c:v>11.92211860601444</c:v>
                </c:pt>
                <c:pt idx="63">
                  <c:v>13.463153712288181</c:v>
                </c:pt>
                <c:pt idx="64">
                  <c:v>12.375870373909519</c:v>
                </c:pt>
                <c:pt idx="65">
                  <c:v>13.460662490205729</c:v>
                </c:pt>
                <c:pt idx="66">
                  <c:v>11.88095607391703</c:v>
                </c:pt>
                <c:pt idx="67">
                  <c:v>12.737558517183739</c:v>
                </c:pt>
                <c:pt idx="68">
                  <c:v>13.88641456313136</c:v>
                </c:pt>
                <c:pt idx="69">
                  <c:v>13.281714806811349</c:v>
                </c:pt>
                <c:pt idx="70">
                  <c:v>12.12215888525462</c:v>
                </c:pt>
                <c:pt idx="71">
                  <c:v>13.50146434312513</c:v>
                </c:pt>
                <c:pt idx="72">
                  <c:v>13.76291276050166</c:v>
                </c:pt>
                <c:pt idx="73">
                  <c:v>11.585650576961131</c:v>
                </c:pt>
                <c:pt idx="74">
                  <c:v>12.456111567664591</c:v>
                </c:pt>
                <c:pt idx="75">
                  <c:v>12.15136948167779</c:v>
                </c:pt>
                <c:pt idx="76">
                  <c:v>12.94907781177867</c:v>
                </c:pt>
                <c:pt idx="77">
                  <c:v>12.02993895099382</c:v>
                </c:pt>
                <c:pt idx="78">
                  <c:v>12.14676317540907</c:v>
                </c:pt>
                <c:pt idx="79">
                  <c:v>14.91752573122316</c:v>
                </c:pt>
              </c:numCache>
            </c:numRef>
          </c:xVal>
          <c:yVal>
            <c:numRef>
              <c:f>'Joris R'!$D$63:$D$156</c:f>
              <c:numCache>
                <c:formatCode>General</c:formatCode>
                <c:ptCount val="94"/>
                <c:pt idx="0">
                  <c:v>9.9399996000000002</c:v>
                </c:pt>
                <c:pt idx="1">
                  <c:v>10.0200005</c:v>
                </c:pt>
                <c:pt idx="2">
                  <c:v>10</c:v>
                </c:pt>
                <c:pt idx="3">
                  <c:v>10.5</c:v>
                </c:pt>
                <c:pt idx="4">
                  <c:v>10.779999699999999</c:v>
                </c:pt>
                <c:pt idx="5">
                  <c:v>10.449999800000001</c:v>
                </c:pt>
                <c:pt idx="6">
                  <c:v>11.0200005</c:v>
                </c:pt>
                <c:pt idx="7">
                  <c:v>10.800000199999999</c:v>
                </c:pt>
                <c:pt idx="8">
                  <c:v>10.8800001</c:v>
                </c:pt>
                <c:pt idx="9">
                  <c:v>11.0600004</c:v>
                </c:pt>
                <c:pt idx="10">
                  <c:v>11.0900002</c:v>
                </c:pt>
                <c:pt idx="11">
                  <c:v>11.6199999</c:v>
                </c:pt>
                <c:pt idx="12">
                  <c:v>9.9600000000000009</c:v>
                </c:pt>
                <c:pt idx="13">
                  <c:v>9.5</c:v>
                </c:pt>
                <c:pt idx="14">
                  <c:v>9.9899997999999997</c:v>
                </c:pt>
                <c:pt idx="15">
                  <c:v>10.0100002</c:v>
                </c:pt>
                <c:pt idx="16">
                  <c:v>9.8299999000000007</c:v>
                </c:pt>
                <c:pt idx="17">
                  <c:v>9.5699997000000003</c:v>
                </c:pt>
                <c:pt idx="18">
                  <c:v>9.9200000999999993</c:v>
                </c:pt>
                <c:pt idx="19">
                  <c:v>11.670000099999999</c:v>
                </c:pt>
                <c:pt idx="20">
                  <c:v>11.5</c:v>
                </c:pt>
                <c:pt idx="21">
                  <c:v>11.3699999</c:v>
                </c:pt>
                <c:pt idx="22">
                  <c:v>11.5900002</c:v>
                </c:pt>
                <c:pt idx="23">
                  <c:v>9.8800001000000002</c:v>
                </c:pt>
                <c:pt idx="24">
                  <c:v>11.8400002</c:v>
                </c:pt>
                <c:pt idx="25">
                  <c:v>10</c:v>
                </c:pt>
                <c:pt idx="26">
                  <c:v>10.100000400000001</c:v>
                </c:pt>
                <c:pt idx="27">
                  <c:v>11.399999599999999</c:v>
                </c:pt>
                <c:pt idx="28">
                  <c:v>10.279999699999999</c:v>
                </c:pt>
                <c:pt idx="29">
                  <c:v>12.21</c:v>
                </c:pt>
                <c:pt idx="30">
                  <c:v>11.9399996</c:v>
                </c:pt>
                <c:pt idx="31">
                  <c:v>10.3699999</c:v>
                </c:pt>
                <c:pt idx="32">
                  <c:v>10.3800001</c:v>
                </c:pt>
                <c:pt idx="33">
                  <c:v>9.8800001000000002</c:v>
                </c:pt>
                <c:pt idx="34">
                  <c:v>12.079999900000001</c:v>
                </c:pt>
                <c:pt idx="35">
                  <c:v>9.0799999000000007</c:v>
                </c:pt>
                <c:pt idx="36">
                  <c:v>10.800000199999999</c:v>
                </c:pt>
                <c:pt idx="37">
                  <c:v>9.3599996999999995</c:v>
                </c:pt>
                <c:pt idx="38">
                  <c:v>12.449999800000001</c:v>
                </c:pt>
                <c:pt idx="39">
                  <c:v>10.920000099999999</c:v>
                </c:pt>
                <c:pt idx="40">
                  <c:v>10.949999800000001</c:v>
                </c:pt>
                <c:pt idx="41">
                  <c:v>10.9899998</c:v>
                </c:pt>
                <c:pt idx="42">
                  <c:v>11</c:v>
                </c:pt>
                <c:pt idx="43">
                  <c:v>9.9700003000000006</c:v>
                </c:pt>
                <c:pt idx="44">
                  <c:v>12.899999599999999</c:v>
                </c:pt>
                <c:pt idx="45">
                  <c:v>10.529999699999999</c:v>
                </c:pt>
                <c:pt idx="46">
                  <c:v>11.0600004</c:v>
                </c:pt>
                <c:pt idx="47">
                  <c:v>9.1000004000000008</c:v>
                </c:pt>
                <c:pt idx="48">
                  <c:v>8.9700003000000006</c:v>
                </c:pt>
                <c:pt idx="49">
                  <c:v>11.1199999</c:v>
                </c:pt>
                <c:pt idx="50">
                  <c:v>9.2299994999999999</c:v>
                </c:pt>
                <c:pt idx="51">
                  <c:v>11.2299995</c:v>
                </c:pt>
                <c:pt idx="52">
                  <c:v>11.2299995</c:v>
                </c:pt>
                <c:pt idx="53">
                  <c:v>11.2399998</c:v>
                </c:pt>
                <c:pt idx="54">
                  <c:v>12.5600004</c:v>
                </c:pt>
                <c:pt idx="55">
                  <c:v>10.0699997</c:v>
                </c:pt>
                <c:pt idx="56">
                  <c:v>9.9399996000000002</c:v>
                </c:pt>
                <c:pt idx="57">
                  <c:v>10.2399998</c:v>
                </c:pt>
                <c:pt idx="58">
                  <c:v>11.420000099999999</c:v>
                </c:pt>
                <c:pt idx="59">
                  <c:v>10.5</c:v>
                </c:pt>
                <c:pt idx="60">
                  <c:v>13.140000300000001</c:v>
                </c:pt>
                <c:pt idx="61">
                  <c:v>11.699999800000001</c:v>
                </c:pt>
                <c:pt idx="62">
                  <c:v>10.3800001</c:v>
                </c:pt>
                <c:pt idx="63">
                  <c:v>13.350000400000001</c:v>
                </c:pt>
                <c:pt idx="64">
                  <c:v>12.6599998</c:v>
                </c:pt>
                <c:pt idx="65">
                  <c:v>11.9899998</c:v>
                </c:pt>
                <c:pt idx="66">
                  <c:v>12</c:v>
                </c:pt>
                <c:pt idx="67">
                  <c:v>12</c:v>
                </c:pt>
                <c:pt idx="68">
                  <c:v>13.1599998</c:v>
                </c:pt>
                <c:pt idx="69">
                  <c:v>12.170000099999999</c:v>
                </c:pt>
                <c:pt idx="70">
                  <c:v>10.970000300000001</c:v>
                </c:pt>
                <c:pt idx="71">
                  <c:v>12.2600002</c:v>
                </c:pt>
                <c:pt idx="72">
                  <c:v>13.029999699999999</c:v>
                </c:pt>
                <c:pt idx="73">
                  <c:v>12.359999699999999</c:v>
                </c:pt>
                <c:pt idx="74">
                  <c:v>12.399999599999999</c:v>
                </c:pt>
                <c:pt idx="75">
                  <c:v>12.5</c:v>
                </c:pt>
                <c:pt idx="76">
                  <c:v>12.600000400000001</c:v>
                </c:pt>
                <c:pt idx="77">
                  <c:v>12.670000099999999</c:v>
                </c:pt>
                <c:pt idx="78">
                  <c:v>12.699999800000001</c:v>
                </c:pt>
                <c:pt idx="79">
                  <c:v>14.4300003</c:v>
                </c:pt>
              </c:numCache>
            </c:numRef>
          </c:yVal>
          <c:smooth val="0"/>
          <c:extLst>
            <c:ext xmlns:c15="http://schemas.microsoft.com/office/drawing/2012/chart" uri="{02D57815-91ED-43cb-92C2-25804820EDAC}">
              <c15:datalabelsRange>
                <c15:f>'Joris R'!$B$63:$B$142</c15:f>
                <c15:dlblRangeCache>
                  <c:ptCount val="8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15:dlblRangeCache>
              </c15:datalabelsRange>
            </c:ext>
            <c:ext xmlns:c16="http://schemas.microsoft.com/office/drawing/2014/chart" uri="{C3380CC4-5D6E-409C-BE32-E72D297353CC}">
              <c16:uniqueId val="{00000060-2637-4068-97B6-D1A86BF44E05}"/>
            </c:ext>
          </c:extLst>
        </c:ser>
        <c:ser>
          <c:idx val="1"/>
          <c:order val="1"/>
          <c:tx>
            <c:v>45°</c:v>
          </c:tx>
          <c:spPr>
            <a:ln w="25400">
              <a:solidFill>
                <a:srgbClr val="FF0000"/>
              </a:solidFill>
              <a:prstDash val="solid"/>
            </a:ln>
          </c:spPr>
          <c:marker>
            <c:symbol val="none"/>
          </c:marker>
          <c:xVal>
            <c:numRef>
              <c:f>'Joris R'!$E$10:$E$11</c:f>
              <c:numCache>
                <c:formatCode>0.00</c:formatCode>
                <c:ptCount val="2"/>
                <c:pt idx="0">
                  <c:v>8</c:v>
                </c:pt>
                <c:pt idx="1">
                  <c:v>16</c:v>
                </c:pt>
              </c:numCache>
            </c:numRef>
          </c:xVal>
          <c:yVal>
            <c:numRef>
              <c:f>'Joris R'!$E$10:$E$11</c:f>
              <c:numCache>
                <c:formatCode>0.00</c:formatCode>
                <c:ptCount val="2"/>
                <c:pt idx="0">
                  <c:v>8</c:v>
                </c:pt>
                <c:pt idx="1">
                  <c:v>16</c:v>
                </c:pt>
              </c:numCache>
            </c:numRef>
          </c:yVal>
          <c:smooth val="0"/>
          <c:extLst>
            <c:ext xmlns:c16="http://schemas.microsoft.com/office/drawing/2014/chart" uri="{C3380CC4-5D6E-409C-BE32-E72D297353CC}">
              <c16:uniqueId val="{00000061-2637-4068-97B6-D1A86BF44E05}"/>
            </c:ext>
          </c:extLst>
        </c:ser>
        <c:ser>
          <c:idx val="2"/>
          <c:order val="2"/>
          <c:tx>
            <c:v>45°-Bias</c:v>
          </c:tx>
          <c:spPr>
            <a:ln w="38100">
              <a:solidFill>
                <a:srgbClr val="0000FF"/>
              </a:solidFill>
              <a:prstDash val="lgDashDotDot"/>
            </a:ln>
          </c:spPr>
          <c:marker>
            <c:symbol val="none"/>
          </c:marker>
          <c:xVal>
            <c:numRef>
              <c:f>'Joris R'!$W$10:$W$11</c:f>
              <c:numCache>
                <c:formatCode>0.00</c:formatCode>
                <c:ptCount val="2"/>
                <c:pt idx="0">
                  <c:v>8.7615335298830797</c:v>
                </c:pt>
                <c:pt idx="1">
                  <c:v>16.761533529883081</c:v>
                </c:pt>
              </c:numCache>
            </c:numRef>
          </c:xVal>
          <c:yVal>
            <c:numRef>
              <c:f>'Joris R'!$E$10:$E$11</c:f>
              <c:numCache>
                <c:formatCode>0.00</c:formatCode>
                <c:ptCount val="2"/>
                <c:pt idx="0">
                  <c:v>8</c:v>
                </c:pt>
                <c:pt idx="1">
                  <c:v>16</c:v>
                </c:pt>
              </c:numCache>
            </c:numRef>
          </c:yVal>
          <c:smooth val="0"/>
          <c:extLst>
            <c:ext xmlns:c16="http://schemas.microsoft.com/office/drawing/2014/chart" uri="{C3380CC4-5D6E-409C-BE32-E72D297353CC}">
              <c16:uniqueId val="{00000062-2637-4068-97B6-D1A86BF44E05}"/>
            </c:ext>
          </c:extLst>
        </c:ser>
        <c:ser>
          <c:idx val="3"/>
          <c:order val="3"/>
          <c:tx>
            <c:v>Least Rec </c:v>
          </c:tx>
          <c:spPr>
            <a:ln w="25400">
              <a:solidFill>
                <a:srgbClr val="FF9900"/>
              </a:solidFill>
              <a:prstDash val="sysDash"/>
            </a:ln>
          </c:spPr>
          <c:marker>
            <c:symbol val="none"/>
          </c:marker>
          <c:xVal>
            <c:numRef>
              <c:f>'Joris R'!$Y$19:$Y$20</c:f>
              <c:numCache>
                <c:formatCode>General</c:formatCode>
                <c:ptCount val="2"/>
                <c:pt idx="0">
                  <c:v>8</c:v>
                </c:pt>
                <c:pt idx="1">
                  <c:v>16</c:v>
                </c:pt>
              </c:numCache>
            </c:numRef>
          </c:xVal>
          <c:yVal>
            <c:numRef>
              <c:f>'Joris R'!$X$19:$X$20</c:f>
              <c:numCache>
                <c:formatCode>0.000</c:formatCode>
                <c:ptCount val="2"/>
                <c:pt idx="0">
                  <c:v>7.9392347290112975</c:v>
                </c:pt>
                <c:pt idx="1">
                  <c:v>14.491004932797434</c:v>
                </c:pt>
              </c:numCache>
            </c:numRef>
          </c:yVal>
          <c:smooth val="0"/>
          <c:extLst>
            <c:ext xmlns:c16="http://schemas.microsoft.com/office/drawing/2014/chart" uri="{C3380CC4-5D6E-409C-BE32-E72D297353CC}">
              <c16:uniqueId val="{00000063-2637-4068-97B6-D1A86BF44E05}"/>
            </c:ext>
          </c:extLst>
        </c:ser>
        <c:dLbls>
          <c:showLegendKey val="0"/>
          <c:showVal val="0"/>
          <c:showCatName val="0"/>
          <c:showSerName val="0"/>
          <c:showPercent val="0"/>
          <c:showBubbleSize val="0"/>
        </c:dLbls>
        <c:axId val="159636864"/>
        <c:axId val="201328128"/>
      </c:scatterChart>
      <c:valAx>
        <c:axId val="159636864"/>
        <c:scaling>
          <c:orientation val="minMax"/>
          <c:max val="18"/>
          <c:min val="5"/>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775" b="0" i="0" u="none" strike="noStrike" baseline="0">
                <a:solidFill>
                  <a:srgbClr val="000000"/>
                </a:solidFill>
                <a:latin typeface="Arial"/>
                <a:ea typeface="Arial"/>
                <a:cs typeface="Arial"/>
              </a:defRPr>
            </a:pPr>
            <a:endParaRPr lang="fr-FR"/>
          </a:p>
        </c:txPr>
        <c:crossAx val="201328128"/>
        <c:crosses val="autoZero"/>
        <c:crossBetween val="midCat"/>
      </c:valAx>
      <c:valAx>
        <c:axId val="201328128"/>
        <c:scaling>
          <c:orientation val="minMax"/>
          <c:max val="16"/>
          <c:min val="8"/>
        </c:scaling>
        <c:delete val="0"/>
        <c:axPos val="l"/>
        <c:numFmt formatCode="General" sourceLinked="1"/>
        <c:majorTickMark val="out"/>
        <c:minorTickMark val="none"/>
        <c:tickLblPos val="nextTo"/>
        <c:spPr>
          <a:ln w="3175">
            <a:solidFill>
              <a:srgbClr val="000000"/>
            </a:solidFill>
            <a:prstDash val="solid"/>
          </a:ln>
        </c:spPr>
        <c:txPr>
          <a:bodyPr rot="0" vert="horz"/>
          <a:lstStyle/>
          <a:p>
            <a:pPr>
              <a:defRPr sz="1775" b="0" i="0" u="none" strike="noStrike" baseline="0">
                <a:solidFill>
                  <a:srgbClr val="000000"/>
                </a:solidFill>
                <a:latin typeface="Arial"/>
                <a:ea typeface="Arial"/>
                <a:cs typeface="Arial"/>
              </a:defRPr>
            </a:pPr>
            <a:endParaRPr lang="fr-FR"/>
          </a:p>
        </c:txPr>
        <c:crossAx val="159636864"/>
        <c:crosses val="autoZero"/>
        <c:crossBetween val="midCat"/>
      </c:valAx>
      <c:spPr>
        <a:noFill/>
        <a:ln w="12700">
          <a:solidFill>
            <a:srgbClr val="808080"/>
          </a:solidFill>
          <a:prstDash val="solid"/>
        </a:ln>
      </c:spPr>
    </c:plotArea>
    <c:legend>
      <c:legendPos val="r"/>
      <c:legendEntry>
        <c:idx val="5"/>
        <c:delete val="1"/>
      </c:legendEntry>
      <c:layout>
        <c:manualLayout>
          <c:xMode val="edge"/>
          <c:yMode val="edge"/>
          <c:x val="0.79767434134024384"/>
          <c:y val="0.33862478127734036"/>
          <c:w val="0.15397255752001976"/>
          <c:h val="0.2372110830586843"/>
        </c:manualLayout>
      </c:layout>
      <c:overlay val="0"/>
      <c:spPr>
        <a:solidFill>
          <a:srgbClr val="FFFFFF"/>
        </a:solidFill>
        <a:ln w="3175">
          <a:solidFill>
            <a:srgbClr val="000000"/>
          </a:solidFill>
          <a:prstDash val="solid"/>
        </a:ln>
      </c:spPr>
      <c:txPr>
        <a:bodyPr/>
        <a:lstStyle/>
        <a:p>
          <a:pPr>
            <a:defRPr sz="1350" b="1" i="0" u="none" strike="noStrike" baseline="0">
              <a:solidFill>
                <a:srgbClr val="000000"/>
              </a:solidFill>
              <a:latin typeface="Arial"/>
              <a:ea typeface="Arial"/>
              <a:cs typeface="Arial"/>
            </a:defRPr>
          </a:pPr>
          <a:endParaRPr lang="fr-FR"/>
        </a:p>
      </c:txPr>
    </c:legend>
    <c:plotVisOnly val="1"/>
    <c:dispBlanksAs val="gap"/>
    <c:showDLblsOverMax val="0"/>
  </c:chart>
  <c:spPr>
    <a:solidFill>
      <a:srgbClr val="FFFFFF"/>
    </a:solidFill>
    <a:ln w="25400">
      <a:solidFill>
        <a:srgbClr val="000000"/>
      </a:solidFill>
      <a:prstDash val="solid"/>
    </a:ln>
  </c:spPr>
  <c:txPr>
    <a:bodyPr/>
    <a:lstStyle/>
    <a:p>
      <a:pPr>
        <a:defRPr sz="1775" b="0" i="0" u="none" strike="noStrike" baseline="0">
          <a:solidFill>
            <a:srgbClr val="000000"/>
          </a:solidFill>
          <a:latin typeface="Arial"/>
          <a:ea typeface="Arial"/>
          <a:cs typeface="Arial"/>
        </a:defRPr>
      </a:pPr>
      <a:endParaRPr lang="fr-FR"/>
    </a:p>
  </c:txPr>
  <c:printSettings>
    <c:headerFooter alignWithMargins="0"/>
    <c:pageMargins b="1" l="0.75000000000000377" r="0.75000000000000377" t="1" header="0.5" footer="0.5"/>
    <c:pageSetup paperSize="9" orientation="landscape"/>
  </c:printSettings>
  <c:userShapes r:id="rId1"/>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400" baseline="0"/>
              <a:t>Residuals vs References</a:t>
            </a:r>
          </a:p>
        </c:rich>
      </c:tx>
      <c:layout>
        <c:manualLayout>
          <c:xMode val="edge"/>
          <c:yMode val="edge"/>
          <c:x val="0.56681818181818189"/>
          <c:y val="3.53109202638453E-3"/>
        </c:manualLayout>
      </c:layout>
      <c:overlay val="1"/>
    </c:title>
    <c:autoTitleDeleted val="0"/>
    <c:plotArea>
      <c:layout/>
      <c:scatterChart>
        <c:scatterStyle val="lineMarker"/>
        <c:varyColors val="0"/>
        <c:ser>
          <c:idx val="0"/>
          <c:order val="0"/>
          <c:spPr>
            <a:ln>
              <a:noFill/>
            </a:ln>
          </c:spPr>
          <c:trendline>
            <c:trendlineType val="linear"/>
            <c:dispRSqr val="0"/>
            <c:dispEq val="1"/>
            <c:trendlineLbl>
              <c:layout>
                <c:manualLayout>
                  <c:x val="5.4747515059074582E-2"/>
                  <c:y val="0.43633237847491585"/>
                </c:manualLayout>
              </c:layout>
              <c:numFmt formatCode="General" sourceLinked="0"/>
            </c:trendlineLbl>
          </c:trendline>
          <c:xVal>
            <c:numRef>
              <c:f>'Joris R'!$D$63:$D$156</c:f>
              <c:numCache>
                <c:formatCode>General</c:formatCode>
                <c:ptCount val="94"/>
                <c:pt idx="0">
                  <c:v>9.9399996000000002</c:v>
                </c:pt>
                <c:pt idx="1">
                  <c:v>10.0200005</c:v>
                </c:pt>
                <c:pt idx="2">
                  <c:v>10</c:v>
                </c:pt>
                <c:pt idx="3">
                  <c:v>10.5</c:v>
                </c:pt>
                <c:pt idx="4">
                  <c:v>10.779999699999999</c:v>
                </c:pt>
                <c:pt idx="5">
                  <c:v>10.449999800000001</c:v>
                </c:pt>
                <c:pt idx="6">
                  <c:v>11.0200005</c:v>
                </c:pt>
                <c:pt idx="7">
                  <c:v>10.800000199999999</c:v>
                </c:pt>
                <c:pt idx="8">
                  <c:v>10.8800001</c:v>
                </c:pt>
                <c:pt idx="9">
                  <c:v>11.0600004</c:v>
                </c:pt>
                <c:pt idx="10">
                  <c:v>11.0900002</c:v>
                </c:pt>
                <c:pt idx="11">
                  <c:v>11.6199999</c:v>
                </c:pt>
                <c:pt idx="12">
                  <c:v>9.9600000000000009</c:v>
                </c:pt>
                <c:pt idx="13">
                  <c:v>9.5</c:v>
                </c:pt>
                <c:pt idx="14">
                  <c:v>9.9899997999999997</c:v>
                </c:pt>
                <c:pt idx="15">
                  <c:v>10.0100002</c:v>
                </c:pt>
                <c:pt idx="16">
                  <c:v>9.8299999000000007</c:v>
                </c:pt>
                <c:pt idx="17">
                  <c:v>9.5699997000000003</c:v>
                </c:pt>
                <c:pt idx="18">
                  <c:v>9.9200000999999993</c:v>
                </c:pt>
                <c:pt idx="19">
                  <c:v>11.670000099999999</c:v>
                </c:pt>
                <c:pt idx="20">
                  <c:v>11.5</c:v>
                </c:pt>
                <c:pt idx="21">
                  <c:v>11.3699999</c:v>
                </c:pt>
                <c:pt idx="22">
                  <c:v>11.5900002</c:v>
                </c:pt>
                <c:pt idx="23">
                  <c:v>9.8800001000000002</c:v>
                </c:pt>
                <c:pt idx="24">
                  <c:v>11.8400002</c:v>
                </c:pt>
                <c:pt idx="25">
                  <c:v>10</c:v>
                </c:pt>
                <c:pt idx="26">
                  <c:v>10.100000400000001</c:v>
                </c:pt>
                <c:pt idx="27">
                  <c:v>11.399999599999999</c:v>
                </c:pt>
                <c:pt idx="28">
                  <c:v>10.279999699999999</c:v>
                </c:pt>
                <c:pt idx="29">
                  <c:v>12.21</c:v>
                </c:pt>
                <c:pt idx="30">
                  <c:v>11.9399996</c:v>
                </c:pt>
                <c:pt idx="31">
                  <c:v>10.3699999</c:v>
                </c:pt>
                <c:pt idx="32">
                  <c:v>10.3800001</c:v>
                </c:pt>
                <c:pt idx="33">
                  <c:v>9.8800001000000002</c:v>
                </c:pt>
                <c:pt idx="34">
                  <c:v>12.079999900000001</c:v>
                </c:pt>
                <c:pt idx="35">
                  <c:v>9.0799999000000007</c:v>
                </c:pt>
                <c:pt idx="36">
                  <c:v>10.800000199999999</c:v>
                </c:pt>
                <c:pt idx="37">
                  <c:v>9.3599996999999995</c:v>
                </c:pt>
                <c:pt idx="38">
                  <c:v>12.449999800000001</c:v>
                </c:pt>
                <c:pt idx="39">
                  <c:v>10.920000099999999</c:v>
                </c:pt>
                <c:pt idx="40">
                  <c:v>10.949999800000001</c:v>
                </c:pt>
                <c:pt idx="41">
                  <c:v>10.9899998</c:v>
                </c:pt>
                <c:pt idx="42">
                  <c:v>11</c:v>
                </c:pt>
                <c:pt idx="43">
                  <c:v>9.9700003000000006</c:v>
                </c:pt>
                <c:pt idx="44">
                  <c:v>12.899999599999999</c:v>
                </c:pt>
                <c:pt idx="45">
                  <c:v>10.529999699999999</c:v>
                </c:pt>
                <c:pt idx="46">
                  <c:v>11.0600004</c:v>
                </c:pt>
                <c:pt idx="47">
                  <c:v>9.1000004000000008</c:v>
                </c:pt>
                <c:pt idx="48">
                  <c:v>8.9700003000000006</c:v>
                </c:pt>
                <c:pt idx="49">
                  <c:v>11.1199999</c:v>
                </c:pt>
                <c:pt idx="50">
                  <c:v>9.2299994999999999</c:v>
                </c:pt>
                <c:pt idx="51">
                  <c:v>11.2299995</c:v>
                </c:pt>
                <c:pt idx="52">
                  <c:v>11.2299995</c:v>
                </c:pt>
                <c:pt idx="53">
                  <c:v>11.2399998</c:v>
                </c:pt>
                <c:pt idx="54">
                  <c:v>12.5600004</c:v>
                </c:pt>
                <c:pt idx="55">
                  <c:v>10.0699997</c:v>
                </c:pt>
                <c:pt idx="56">
                  <c:v>9.9399996000000002</c:v>
                </c:pt>
                <c:pt idx="57">
                  <c:v>10.2399998</c:v>
                </c:pt>
                <c:pt idx="58">
                  <c:v>11.420000099999999</c:v>
                </c:pt>
                <c:pt idx="59">
                  <c:v>10.5</c:v>
                </c:pt>
                <c:pt idx="60">
                  <c:v>13.140000300000001</c:v>
                </c:pt>
                <c:pt idx="61">
                  <c:v>11.699999800000001</c:v>
                </c:pt>
                <c:pt idx="62">
                  <c:v>10.3800001</c:v>
                </c:pt>
                <c:pt idx="63">
                  <c:v>13.350000400000001</c:v>
                </c:pt>
                <c:pt idx="64">
                  <c:v>12.6599998</c:v>
                </c:pt>
                <c:pt idx="65">
                  <c:v>11.9899998</c:v>
                </c:pt>
                <c:pt idx="66">
                  <c:v>12</c:v>
                </c:pt>
                <c:pt idx="67">
                  <c:v>12</c:v>
                </c:pt>
                <c:pt idx="68">
                  <c:v>13.1599998</c:v>
                </c:pt>
                <c:pt idx="69">
                  <c:v>12.170000099999999</c:v>
                </c:pt>
                <c:pt idx="70">
                  <c:v>10.970000300000001</c:v>
                </c:pt>
                <c:pt idx="71">
                  <c:v>12.2600002</c:v>
                </c:pt>
                <c:pt idx="72">
                  <c:v>13.029999699999999</c:v>
                </c:pt>
                <c:pt idx="73">
                  <c:v>12.359999699999999</c:v>
                </c:pt>
                <c:pt idx="74">
                  <c:v>12.399999599999999</c:v>
                </c:pt>
                <c:pt idx="75">
                  <c:v>12.5</c:v>
                </c:pt>
                <c:pt idx="76">
                  <c:v>12.600000400000001</c:v>
                </c:pt>
                <c:pt idx="77">
                  <c:v>12.670000099999999</c:v>
                </c:pt>
                <c:pt idx="78">
                  <c:v>12.699999800000001</c:v>
                </c:pt>
                <c:pt idx="79">
                  <c:v>14.4300003</c:v>
                </c:pt>
              </c:numCache>
            </c:numRef>
          </c:xVal>
          <c:yVal>
            <c:numRef>
              <c:f>'Joris R'!$G$63:$G$156</c:f>
              <c:numCache>
                <c:formatCode>0.00</c:formatCode>
                <c:ptCount val="94"/>
                <c:pt idx="0">
                  <c:v>1.0619622883725306</c:v>
                </c:pt>
                <c:pt idx="1">
                  <c:v>0.97806698945004023</c:v>
                </c:pt>
                <c:pt idx="2">
                  <c:v>1.8471699481062398</c:v>
                </c:pt>
                <c:pt idx="3">
                  <c:v>1.7283086428613803</c:v>
                </c:pt>
                <c:pt idx="4">
                  <c:v>2.5743948424861713</c:v>
                </c:pt>
                <c:pt idx="5">
                  <c:v>0.21598372424530865</c:v>
                </c:pt>
                <c:pt idx="6">
                  <c:v>3.6921323453164696</c:v>
                </c:pt>
                <c:pt idx="7">
                  <c:v>2.0176463724609803</c:v>
                </c:pt>
                <c:pt idx="8">
                  <c:v>-9.4230344339880645E-2</c:v>
                </c:pt>
                <c:pt idx="9">
                  <c:v>1.4066669003220298</c:v>
                </c:pt>
                <c:pt idx="10">
                  <c:v>9.1603693253610174E-2</c:v>
                </c:pt>
                <c:pt idx="11">
                  <c:v>1.6362283341635706</c:v>
                </c:pt>
                <c:pt idx="12">
                  <c:v>1.0459665924015287</c:v>
                </c:pt>
                <c:pt idx="13">
                  <c:v>1.7613696834393409</c:v>
                </c:pt>
                <c:pt idx="14">
                  <c:v>1.1223194741279698</c:v>
                </c:pt>
                <c:pt idx="15">
                  <c:v>0.94800127958608904</c:v>
                </c:pt>
                <c:pt idx="16">
                  <c:v>0.72650473282930861</c:v>
                </c:pt>
                <c:pt idx="17">
                  <c:v>1.1408371734941092</c:v>
                </c:pt>
                <c:pt idx="18">
                  <c:v>0.69286145217062156</c:v>
                </c:pt>
                <c:pt idx="19">
                  <c:v>2.1323183505834713</c:v>
                </c:pt>
                <c:pt idx="20">
                  <c:v>2.2189421957698006</c:v>
                </c:pt>
                <c:pt idx="21">
                  <c:v>0.76381104292467938</c:v>
                </c:pt>
                <c:pt idx="22">
                  <c:v>1.7239383414890597</c:v>
                </c:pt>
                <c:pt idx="23">
                  <c:v>1.186709065907479</c:v>
                </c:pt>
                <c:pt idx="24">
                  <c:v>1.2737738237728404</c:v>
                </c:pt>
                <c:pt idx="25">
                  <c:v>0.46878380270655917</c:v>
                </c:pt>
                <c:pt idx="26">
                  <c:v>7.0731978091640002E-2</c:v>
                </c:pt>
                <c:pt idx="27">
                  <c:v>4.2024217097811345E-2</c:v>
                </c:pt>
                <c:pt idx="28">
                  <c:v>1.8740089478724311</c:v>
                </c:pt>
                <c:pt idx="29">
                  <c:v>2.1674443309139892</c:v>
                </c:pt>
                <c:pt idx="30">
                  <c:v>0.53457848441230915</c:v>
                </c:pt>
                <c:pt idx="31">
                  <c:v>0.87834763373827052</c:v>
                </c:pt>
                <c:pt idx="32">
                  <c:v>1.0156096692864303</c:v>
                </c:pt>
                <c:pt idx="33">
                  <c:v>-0.47679123546323687</c:v>
                </c:pt>
                <c:pt idx="34">
                  <c:v>2.1726541870263585</c:v>
                </c:pt>
                <c:pt idx="35">
                  <c:v>1.3659770355674699</c:v>
                </c:pt>
                <c:pt idx="36">
                  <c:v>-4.6903662228290344E-2</c:v>
                </c:pt>
                <c:pt idx="37">
                  <c:v>0.41809534370258739</c:v>
                </c:pt>
                <c:pt idx="38">
                  <c:v>1.1044482584570599</c:v>
                </c:pt>
                <c:pt idx="39">
                  <c:v>0.61030339200726047</c:v>
                </c:pt>
                <c:pt idx="40">
                  <c:v>0.75577641102744941</c:v>
                </c:pt>
                <c:pt idx="41">
                  <c:v>-0.25861064631821051</c:v>
                </c:pt>
                <c:pt idx="42">
                  <c:v>0.24715941902418948</c:v>
                </c:pt>
                <c:pt idx="43">
                  <c:v>-1.8019950654704733</c:v>
                </c:pt>
                <c:pt idx="44">
                  <c:v>0.99182633084085126</c:v>
                </c:pt>
                <c:pt idx="45">
                  <c:v>-0.22012077463935853</c:v>
                </c:pt>
                <c:pt idx="46">
                  <c:v>0.55862066857775083</c:v>
                </c:pt>
                <c:pt idx="47">
                  <c:v>-0.45974795870127672</c:v>
                </c:pt>
                <c:pt idx="48">
                  <c:v>1.59289799137375</c:v>
                </c:pt>
                <c:pt idx="49">
                  <c:v>0.65645297987751938</c:v>
                </c:pt>
                <c:pt idx="50">
                  <c:v>3.4480641675010002</c:v>
                </c:pt>
                <c:pt idx="51">
                  <c:v>0.2486490148328393</c:v>
                </c:pt>
                <c:pt idx="52">
                  <c:v>1.0715413436166603</c:v>
                </c:pt>
                <c:pt idx="53">
                  <c:v>-1.0135659139662501</c:v>
                </c:pt>
                <c:pt idx="54">
                  <c:v>0.18964097580006012</c:v>
                </c:pt>
                <c:pt idx="55">
                  <c:v>0.42443128714156941</c:v>
                </c:pt>
                <c:pt idx="56">
                  <c:v>-1.0895670740407741</c:v>
                </c:pt>
                <c:pt idx="57">
                  <c:v>0.90136763582544077</c:v>
                </c:pt>
                <c:pt idx="58">
                  <c:v>-1.2230032389568297</c:v>
                </c:pt>
                <c:pt idx="59">
                  <c:v>0.24786607106072012</c:v>
                </c:pt>
                <c:pt idx="60">
                  <c:v>0.54689653922944892</c:v>
                </c:pt>
                <c:pt idx="61">
                  <c:v>2.0140805705762101</c:v>
                </c:pt>
                <c:pt idx="62">
                  <c:v>1.5421185060144396</c:v>
                </c:pt>
                <c:pt idx="63">
                  <c:v>0.11315331228817982</c:v>
                </c:pt>
                <c:pt idx="64">
                  <c:v>-0.28412942609048031</c:v>
                </c:pt>
                <c:pt idx="65">
                  <c:v>1.4706626902057298</c:v>
                </c:pt>
                <c:pt idx="66">
                  <c:v>-0.11904392608296988</c:v>
                </c:pt>
                <c:pt idx="67">
                  <c:v>0.73755851718373933</c:v>
                </c:pt>
                <c:pt idx="68">
                  <c:v>0.72641476313136089</c:v>
                </c:pt>
                <c:pt idx="69">
                  <c:v>1.11171470681135</c:v>
                </c:pt>
                <c:pt idx="70">
                  <c:v>1.1521585852546199</c:v>
                </c:pt>
                <c:pt idx="71">
                  <c:v>1.2414641431251301</c:v>
                </c:pt>
                <c:pt idx="72">
                  <c:v>0.7329130605016605</c:v>
                </c:pt>
                <c:pt idx="73">
                  <c:v>-0.77434912303886883</c:v>
                </c:pt>
                <c:pt idx="74">
                  <c:v>5.6111967664591589E-2</c:v>
                </c:pt>
                <c:pt idx="75">
                  <c:v>-0.34863051832221004</c:v>
                </c:pt>
                <c:pt idx="76">
                  <c:v>0.34907741177866924</c:v>
                </c:pt>
                <c:pt idx="77">
                  <c:v>-0.64006114900617916</c:v>
                </c:pt>
                <c:pt idx="78">
                  <c:v>-0.55323662459093015</c:v>
                </c:pt>
                <c:pt idx="79">
                  <c:v>0.48752543122316006</c:v>
                </c:pt>
              </c:numCache>
            </c:numRef>
          </c:yVal>
          <c:smooth val="0"/>
          <c:extLst>
            <c:ext xmlns:c16="http://schemas.microsoft.com/office/drawing/2014/chart" uri="{C3380CC4-5D6E-409C-BE32-E72D297353CC}">
              <c16:uniqueId val="{00000001-0C1A-4FBC-AC32-55BB97009755}"/>
            </c:ext>
          </c:extLst>
        </c:ser>
        <c:dLbls>
          <c:showLegendKey val="0"/>
          <c:showVal val="0"/>
          <c:showCatName val="0"/>
          <c:showSerName val="0"/>
          <c:showPercent val="0"/>
          <c:showBubbleSize val="0"/>
        </c:dLbls>
        <c:axId val="244482048"/>
        <c:axId val="244483968"/>
      </c:scatterChart>
      <c:valAx>
        <c:axId val="244482048"/>
        <c:scaling>
          <c:orientation val="minMax"/>
        </c:scaling>
        <c:delete val="0"/>
        <c:axPos val="b"/>
        <c:title>
          <c:tx>
            <c:rich>
              <a:bodyPr/>
              <a:lstStyle/>
              <a:p>
                <a:pPr>
                  <a:defRPr/>
                </a:pPr>
                <a:r>
                  <a:rPr lang="en-US"/>
                  <a:t>REFERENCE VALUES</a:t>
                </a:r>
              </a:p>
            </c:rich>
          </c:tx>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244483968"/>
        <c:crosses val="autoZero"/>
        <c:crossBetween val="midCat"/>
      </c:valAx>
      <c:valAx>
        <c:axId val="244483968"/>
        <c:scaling>
          <c:orientation val="minMax"/>
        </c:scaling>
        <c:delete val="0"/>
        <c:axPos val="l"/>
        <c:majorGridlines/>
        <c:numFmt formatCode="0.00" sourceLinked="1"/>
        <c:majorTickMark val="out"/>
        <c:minorTickMark val="none"/>
        <c:tickLblPos val="nextTo"/>
        <c:crossAx val="244482048"/>
        <c:crosses val="autoZero"/>
        <c:crossBetween val="midCat"/>
      </c:valAx>
    </c:plotArea>
    <c:plotVisOnly val="1"/>
    <c:dispBlanksAs val="gap"/>
    <c:showDLblsOverMax val="0"/>
  </c:chart>
  <c:printSettings>
    <c:headerFooter/>
    <c:pageMargins b="0.750000000000004" l="0.70000000000000062" r="0.70000000000000062" t="0.750000000000004" header="0.30000000000000032" footer="0.30000000000000032"/>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400" baseline="0"/>
              <a:t>Residuals vs predicted</a:t>
            </a:r>
          </a:p>
        </c:rich>
      </c:tx>
      <c:layout>
        <c:manualLayout>
          <c:xMode val="edge"/>
          <c:yMode val="edge"/>
          <c:x val="0.59043500709952246"/>
          <c:y val="0"/>
        </c:manualLayout>
      </c:layout>
      <c:overlay val="1"/>
    </c:title>
    <c:autoTitleDeleted val="0"/>
    <c:plotArea>
      <c:layout/>
      <c:scatterChart>
        <c:scatterStyle val="lineMarker"/>
        <c:varyColors val="0"/>
        <c:ser>
          <c:idx val="0"/>
          <c:order val="0"/>
          <c:spPr>
            <a:ln>
              <a:noFill/>
            </a:ln>
          </c:spPr>
          <c:trendline>
            <c:trendlineType val="linear"/>
            <c:dispRSqr val="0"/>
            <c:dispEq val="1"/>
            <c:trendlineLbl>
              <c:layout>
                <c:manualLayout>
                  <c:x val="8.6646154745701892E-3"/>
                  <c:y val="0.32626926854701888"/>
                </c:manualLayout>
              </c:layout>
              <c:numFmt formatCode="General" sourceLinked="0"/>
            </c:trendlineLbl>
          </c:trendline>
          <c:xVal>
            <c:numRef>
              <c:f>'Joris R'!$F$63:$F$156</c:f>
              <c:numCache>
                <c:formatCode>General</c:formatCode>
                <c:ptCount val="94"/>
                <c:pt idx="0">
                  <c:v>11.001961888372531</c:v>
                </c:pt>
                <c:pt idx="1">
                  <c:v>10.99806748945004</c:v>
                </c:pt>
                <c:pt idx="2">
                  <c:v>11.84716994810624</c:v>
                </c:pt>
                <c:pt idx="3">
                  <c:v>12.22830864286138</c:v>
                </c:pt>
                <c:pt idx="4">
                  <c:v>13.354394542486171</c:v>
                </c:pt>
                <c:pt idx="5">
                  <c:v>10.665983524245309</c:v>
                </c:pt>
                <c:pt idx="6">
                  <c:v>14.71213284531647</c:v>
                </c:pt>
                <c:pt idx="7">
                  <c:v>12.81764657246098</c:v>
                </c:pt>
                <c:pt idx="8">
                  <c:v>10.78576975566012</c:v>
                </c:pt>
                <c:pt idx="9">
                  <c:v>12.46666730032203</c:v>
                </c:pt>
                <c:pt idx="10">
                  <c:v>11.181603893253611</c:v>
                </c:pt>
                <c:pt idx="11">
                  <c:v>13.25622823416357</c:v>
                </c:pt>
                <c:pt idx="12">
                  <c:v>11.00596659240153</c:v>
                </c:pt>
                <c:pt idx="13">
                  <c:v>11.261369683439341</c:v>
                </c:pt>
                <c:pt idx="14">
                  <c:v>11.112319274127969</c:v>
                </c:pt>
                <c:pt idx="15">
                  <c:v>10.958001479586089</c:v>
                </c:pt>
                <c:pt idx="16">
                  <c:v>10.556504632829309</c:v>
                </c:pt>
                <c:pt idx="17">
                  <c:v>10.71083687349411</c:v>
                </c:pt>
                <c:pt idx="18">
                  <c:v>10.612861552170621</c:v>
                </c:pt>
                <c:pt idx="19">
                  <c:v>13.802318450583471</c:v>
                </c:pt>
                <c:pt idx="20">
                  <c:v>13.718942195769801</c:v>
                </c:pt>
                <c:pt idx="21">
                  <c:v>12.133810942924679</c:v>
                </c:pt>
                <c:pt idx="22">
                  <c:v>13.31393854148906</c:v>
                </c:pt>
                <c:pt idx="23">
                  <c:v>11.066709165907479</c:v>
                </c:pt>
                <c:pt idx="24">
                  <c:v>13.113774023772841</c:v>
                </c:pt>
                <c:pt idx="25">
                  <c:v>10.468783802706559</c:v>
                </c:pt>
                <c:pt idx="26">
                  <c:v>10.170732378091641</c:v>
                </c:pt>
                <c:pt idx="27">
                  <c:v>11.442023817097811</c:v>
                </c:pt>
                <c:pt idx="28">
                  <c:v>12.154008647872431</c:v>
                </c:pt>
                <c:pt idx="29">
                  <c:v>14.37744433091399</c:v>
                </c:pt>
                <c:pt idx="30">
                  <c:v>12.474578084412309</c:v>
                </c:pt>
                <c:pt idx="31">
                  <c:v>11.24834753373827</c:v>
                </c:pt>
                <c:pt idx="32">
                  <c:v>11.39560976928643</c:v>
                </c:pt>
                <c:pt idx="33">
                  <c:v>9.4032088645367633</c:v>
                </c:pt>
                <c:pt idx="34">
                  <c:v>14.252654087026359</c:v>
                </c:pt>
                <c:pt idx="35">
                  <c:v>10.445976935567471</c:v>
                </c:pt>
                <c:pt idx="36">
                  <c:v>10.753096537771709</c:v>
                </c:pt>
                <c:pt idx="37">
                  <c:v>9.7780950437025869</c:v>
                </c:pt>
                <c:pt idx="38">
                  <c:v>13.55444805845706</c:v>
                </c:pt>
                <c:pt idx="39">
                  <c:v>11.53030349200726</c:v>
                </c:pt>
                <c:pt idx="40">
                  <c:v>11.70577621102745</c:v>
                </c:pt>
                <c:pt idx="41">
                  <c:v>10.731389153681789</c:v>
                </c:pt>
                <c:pt idx="42">
                  <c:v>11.247159419024189</c:v>
                </c:pt>
                <c:pt idx="43">
                  <c:v>8.1680052345295273</c:v>
                </c:pt>
                <c:pt idx="44">
                  <c:v>13.89182593084085</c:v>
                </c:pt>
                <c:pt idx="45">
                  <c:v>10.309878925360641</c:v>
                </c:pt>
                <c:pt idx="46">
                  <c:v>11.618621068577751</c:v>
                </c:pt>
                <c:pt idx="47">
                  <c:v>8.6402524412987241</c:v>
                </c:pt>
                <c:pt idx="48">
                  <c:v>10.562898291373751</c:v>
                </c:pt>
                <c:pt idx="49">
                  <c:v>11.776452879877519</c:v>
                </c:pt>
                <c:pt idx="50">
                  <c:v>12.678063667501</c:v>
                </c:pt>
                <c:pt idx="51">
                  <c:v>11.478648514832839</c:v>
                </c:pt>
                <c:pt idx="52">
                  <c:v>12.30154084361666</c:v>
                </c:pt>
                <c:pt idx="53">
                  <c:v>10.22643388603375</c:v>
                </c:pt>
                <c:pt idx="54">
                  <c:v>12.74964137580006</c:v>
                </c:pt>
                <c:pt idx="55">
                  <c:v>10.49443098714157</c:v>
                </c:pt>
                <c:pt idx="56">
                  <c:v>8.850432525959226</c:v>
                </c:pt>
                <c:pt idx="57">
                  <c:v>11.14136743582544</c:v>
                </c:pt>
                <c:pt idx="58">
                  <c:v>10.19699686104317</c:v>
                </c:pt>
                <c:pt idx="59">
                  <c:v>10.74786607106072</c:v>
                </c:pt>
                <c:pt idx="60">
                  <c:v>13.686896839229449</c:v>
                </c:pt>
                <c:pt idx="61">
                  <c:v>13.714080370576211</c:v>
                </c:pt>
                <c:pt idx="62">
                  <c:v>11.92211860601444</c:v>
                </c:pt>
                <c:pt idx="63">
                  <c:v>13.463153712288181</c:v>
                </c:pt>
                <c:pt idx="64">
                  <c:v>12.375870373909519</c:v>
                </c:pt>
                <c:pt idx="65">
                  <c:v>13.460662490205729</c:v>
                </c:pt>
                <c:pt idx="66">
                  <c:v>11.88095607391703</c:v>
                </c:pt>
                <c:pt idx="67">
                  <c:v>12.737558517183739</c:v>
                </c:pt>
                <c:pt idx="68">
                  <c:v>13.88641456313136</c:v>
                </c:pt>
                <c:pt idx="69">
                  <c:v>13.281714806811349</c:v>
                </c:pt>
                <c:pt idx="70">
                  <c:v>12.12215888525462</c:v>
                </c:pt>
                <c:pt idx="71">
                  <c:v>13.50146434312513</c:v>
                </c:pt>
                <c:pt idx="72">
                  <c:v>13.76291276050166</c:v>
                </c:pt>
                <c:pt idx="73">
                  <c:v>11.585650576961131</c:v>
                </c:pt>
                <c:pt idx="74">
                  <c:v>12.456111567664591</c:v>
                </c:pt>
                <c:pt idx="75">
                  <c:v>12.15136948167779</c:v>
                </c:pt>
                <c:pt idx="76">
                  <c:v>12.94907781177867</c:v>
                </c:pt>
                <c:pt idx="77">
                  <c:v>12.02993895099382</c:v>
                </c:pt>
                <c:pt idx="78">
                  <c:v>12.14676317540907</c:v>
                </c:pt>
                <c:pt idx="79">
                  <c:v>14.91752573122316</c:v>
                </c:pt>
              </c:numCache>
            </c:numRef>
          </c:xVal>
          <c:yVal>
            <c:numRef>
              <c:f>'Joris R'!$G$63:$G$156</c:f>
              <c:numCache>
                <c:formatCode>0.00</c:formatCode>
                <c:ptCount val="94"/>
                <c:pt idx="0">
                  <c:v>1.0619622883725306</c:v>
                </c:pt>
                <c:pt idx="1">
                  <c:v>0.97806698945004023</c:v>
                </c:pt>
                <c:pt idx="2">
                  <c:v>1.8471699481062398</c:v>
                </c:pt>
                <c:pt idx="3">
                  <c:v>1.7283086428613803</c:v>
                </c:pt>
                <c:pt idx="4">
                  <c:v>2.5743948424861713</c:v>
                </c:pt>
                <c:pt idx="5">
                  <c:v>0.21598372424530865</c:v>
                </c:pt>
                <c:pt idx="6">
                  <c:v>3.6921323453164696</c:v>
                </c:pt>
                <c:pt idx="7">
                  <c:v>2.0176463724609803</c:v>
                </c:pt>
                <c:pt idx="8">
                  <c:v>-9.4230344339880645E-2</c:v>
                </c:pt>
                <c:pt idx="9">
                  <c:v>1.4066669003220298</c:v>
                </c:pt>
                <c:pt idx="10">
                  <c:v>9.1603693253610174E-2</c:v>
                </c:pt>
                <c:pt idx="11">
                  <c:v>1.6362283341635706</c:v>
                </c:pt>
                <c:pt idx="12">
                  <c:v>1.0459665924015287</c:v>
                </c:pt>
                <c:pt idx="13">
                  <c:v>1.7613696834393409</c:v>
                </c:pt>
                <c:pt idx="14">
                  <c:v>1.1223194741279698</c:v>
                </c:pt>
                <c:pt idx="15">
                  <c:v>0.94800127958608904</c:v>
                </c:pt>
                <c:pt idx="16">
                  <c:v>0.72650473282930861</c:v>
                </c:pt>
                <c:pt idx="17">
                  <c:v>1.1408371734941092</c:v>
                </c:pt>
                <c:pt idx="18">
                  <c:v>0.69286145217062156</c:v>
                </c:pt>
                <c:pt idx="19">
                  <c:v>2.1323183505834713</c:v>
                </c:pt>
                <c:pt idx="20">
                  <c:v>2.2189421957698006</c:v>
                </c:pt>
                <c:pt idx="21">
                  <c:v>0.76381104292467938</c:v>
                </c:pt>
                <c:pt idx="22">
                  <c:v>1.7239383414890597</c:v>
                </c:pt>
                <c:pt idx="23">
                  <c:v>1.186709065907479</c:v>
                </c:pt>
                <c:pt idx="24">
                  <c:v>1.2737738237728404</c:v>
                </c:pt>
                <c:pt idx="25">
                  <c:v>0.46878380270655917</c:v>
                </c:pt>
                <c:pt idx="26">
                  <c:v>7.0731978091640002E-2</c:v>
                </c:pt>
                <c:pt idx="27">
                  <c:v>4.2024217097811345E-2</c:v>
                </c:pt>
                <c:pt idx="28">
                  <c:v>1.8740089478724311</c:v>
                </c:pt>
                <c:pt idx="29">
                  <c:v>2.1674443309139892</c:v>
                </c:pt>
                <c:pt idx="30">
                  <c:v>0.53457848441230915</c:v>
                </c:pt>
                <c:pt idx="31">
                  <c:v>0.87834763373827052</c:v>
                </c:pt>
                <c:pt idx="32">
                  <c:v>1.0156096692864303</c:v>
                </c:pt>
                <c:pt idx="33">
                  <c:v>-0.47679123546323687</c:v>
                </c:pt>
                <c:pt idx="34">
                  <c:v>2.1726541870263585</c:v>
                </c:pt>
                <c:pt idx="35">
                  <c:v>1.3659770355674699</c:v>
                </c:pt>
                <c:pt idx="36">
                  <c:v>-4.6903662228290344E-2</c:v>
                </c:pt>
                <c:pt idx="37">
                  <c:v>0.41809534370258739</c:v>
                </c:pt>
                <c:pt idx="38">
                  <c:v>1.1044482584570599</c:v>
                </c:pt>
                <c:pt idx="39">
                  <c:v>0.61030339200726047</c:v>
                </c:pt>
                <c:pt idx="40">
                  <c:v>0.75577641102744941</c:v>
                </c:pt>
                <c:pt idx="41">
                  <c:v>-0.25861064631821051</c:v>
                </c:pt>
                <c:pt idx="42">
                  <c:v>0.24715941902418948</c:v>
                </c:pt>
                <c:pt idx="43">
                  <c:v>-1.8019950654704733</c:v>
                </c:pt>
                <c:pt idx="44">
                  <c:v>0.99182633084085126</c:v>
                </c:pt>
                <c:pt idx="45">
                  <c:v>-0.22012077463935853</c:v>
                </c:pt>
                <c:pt idx="46">
                  <c:v>0.55862066857775083</c:v>
                </c:pt>
                <c:pt idx="47">
                  <c:v>-0.45974795870127672</c:v>
                </c:pt>
                <c:pt idx="48">
                  <c:v>1.59289799137375</c:v>
                </c:pt>
                <c:pt idx="49">
                  <c:v>0.65645297987751938</c:v>
                </c:pt>
                <c:pt idx="50">
                  <c:v>3.4480641675010002</c:v>
                </c:pt>
                <c:pt idx="51">
                  <c:v>0.2486490148328393</c:v>
                </c:pt>
                <c:pt idx="52">
                  <c:v>1.0715413436166603</c:v>
                </c:pt>
                <c:pt idx="53">
                  <c:v>-1.0135659139662501</c:v>
                </c:pt>
                <c:pt idx="54">
                  <c:v>0.18964097580006012</c:v>
                </c:pt>
                <c:pt idx="55">
                  <c:v>0.42443128714156941</c:v>
                </c:pt>
                <c:pt idx="56">
                  <c:v>-1.0895670740407741</c:v>
                </c:pt>
                <c:pt idx="57">
                  <c:v>0.90136763582544077</c:v>
                </c:pt>
                <c:pt idx="58">
                  <c:v>-1.2230032389568297</c:v>
                </c:pt>
                <c:pt idx="59">
                  <c:v>0.24786607106072012</c:v>
                </c:pt>
                <c:pt idx="60">
                  <c:v>0.54689653922944892</c:v>
                </c:pt>
                <c:pt idx="61">
                  <c:v>2.0140805705762101</c:v>
                </c:pt>
                <c:pt idx="62">
                  <c:v>1.5421185060144396</c:v>
                </c:pt>
                <c:pt idx="63">
                  <c:v>0.11315331228817982</c:v>
                </c:pt>
                <c:pt idx="64">
                  <c:v>-0.28412942609048031</c:v>
                </c:pt>
                <c:pt idx="65">
                  <c:v>1.4706626902057298</c:v>
                </c:pt>
                <c:pt idx="66">
                  <c:v>-0.11904392608296988</c:v>
                </c:pt>
                <c:pt idx="67">
                  <c:v>0.73755851718373933</c:v>
                </c:pt>
                <c:pt idx="68">
                  <c:v>0.72641476313136089</c:v>
                </c:pt>
                <c:pt idx="69">
                  <c:v>1.11171470681135</c:v>
                </c:pt>
                <c:pt idx="70">
                  <c:v>1.1521585852546199</c:v>
                </c:pt>
                <c:pt idx="71">
                  <c:v>1.2414641431251301</c:v>
                </c:pt>
                <c:pt idx="72">
                  <c:v>0.7329130605016605</c:v>
                </c:pt>
                <c:pt idx="73">
                  <c:v>-0.77434912303886883</c:v>
                </c:pt>
                <c:pt idx="74">
                  <c:v>5.6111967664591589E-2</c:v>
                </c:pt>
                <c:pt idx="75">
                  <c:v>-0.34863051832221004</c:v>
                </c:pt>
                <c:pt idx="76">
                  <c:v>0.34907741177866924</c:v>
                </c:pt>
                <c:pt idx="77">
                  <c:v>-0.64006114900617916</c:v>
                </c:pt>
                <c:pt idx="78">
                  <c:v>-0.55323662459093015</c:v>
                </c:pt>
                <c:pt idx="79">
                  <c:v>0.48752543122316006</c:v>
                </c:pt>
              </c:numCache>
            </c:numRef>
          </c:yVal>
          <c:smooth val="0"/>
          <c:extLst>
            <c:ext xmlns:c16="http://schemas.microsoft.com/office/drawing/2014/chart" uri="{C3380CC4-5D6E-409C-BE32-E72D297353CC}">
              <c16:uniqueId val="{00000001-F4BE-43F8-B3AD-DDD4E64ADC32}"/>
            </c:ext>
          </c:extLst>
        </c:ser>
        <c:dLbls>
          <c:showLegendKey val="0"/>
          <c:showVal val="0"/>
          <c:showCatName val="0"/>
          <c:showSerName val="0"/>
          <c:showPercent val="0"/>
          <c:showBubbleSize val="0"/>
        </c:dLbls>
        <c:axId val="251667584"/>
        <c:axId val="251669504"/>
      </c:scatterChart>
      <c:valAx>
        <c:axId val="251667584"/>
        <c:scaling>
          <c:orientation val="minMax"/>
        </c:scaling>
        <c:delete val="0"/>
        <c:axPos val="b"/>
        <c:title>
          <c:tx>
            <c:rich>
              <a:bodyPr/>
              <a:lstStyle/>
              <a:p>
                <a:pPr>
                  <a:defRPr/>
                </a:pPr>
                <a:r>
                  <a:rPr lang="en-US"/>
                  <a:t>PREDICTED NIRS</a:t>
                </a:r>
              </a:p>
            </c:rich>
          </c:tx>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251669504"/>
        <c:crosses val="autoZero"/>
        <c:crossBetween val="midCat"/>
      </c:valAx>
      <c:valAx>
        <c:axId val="251669504"/>
        <c:scaling>
          <c:orientation val="minMax"/>
        </c:scaling>
        <c:delete val="0"/>
        <c:axPos val="l"/>
        <c:majorGridlines/>
        <c:numFmt formatCode="0.00" sourceLinked="1"/>
        <c:majorTickMark val="out"/>
        <c:minorTickMark val="none"/>
        <c:tickLblPos val="nextTo"/>
        <c:crossAx val="251667584"/>
        <c:crosses val="autoZero"/>
        <c:crossBetween val="midCat"/>
      </c:valAx>
    </c:plotArea>
    <c:plotVisOnly val="1"/>
    <c:dispBlanksAs val="gap"/>
    <c:showDLblsOverMax val="0"/>
  </c:chart>
  <c:printSettings>
    <c:headerFooter/>
    <c:pageMargins b="0.75000000000000422" l="0.70000000000000062" r="0.70000000000000062" t="0.75000000000000422" header="0.30000000000000032" footer="0.30000000000000032"/>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400" baseline="0"/>
              <a:t>Residuals vs position</a:t>
            </a:r>
          </a:p>
        </c:rich>
      </c:tx>
      <c:layout>
        <c:manualLayout>
          <c:xMode val="edge"/>
          <c:yMode val="edge"/>
          <c:x val="0.61770845220434401"/>
          <c:y val="9.2592592592592587E-3"/>
        </c:manualLayout>
      </c:layout>
      <c:overlay val="1"/>
    </c:title>
    <c:autoTitleDeleted val="0"/>
    <c:plotArea>
      <c:layout>
        <c:manualLayout>
          <c:layoutTarget val="inner"/>
          <c:xMode val="edge"/>
          <c:yMode val="edge"/>
          <c:x val="9.7295231451277789E-2"/>
          <c:y val="4.1365688184682434E-2"/>
          <c:w val="0.8505582003234009"/>
          <c:h val="0.89909093674129181"/>
        </c:manualLayout>
      </c:layout>
      <c:scatterChart>
        <c:scatterStyle val="lineMarker"/>
        <c:varyColors val="0"/>
        <c:ser>
          <c:idx val="0"/>
          <c:order val="0"/>
          <c:spPr>
            <a:ln w="28575">
              <a:noFill/>
            </a:ln>
          </c:spPr>
          <c:xVal>
            <c:numRef>
              <c:f>'Joris R'!$B$63:$B$156</c:f>
              <c:numCache>
                <c:formatCode>General</c:formatCode>
                <c:ptCount val="9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numCache>
            </c:numRef>
          </c:xVal>
          <c:yVal>
            <c:numRef>
              <c:f>'Joris R'!$G$63:$G$156</c:f>
              <c:numCache>
                <c:formatCode>0.00</c:formatCode>
                <c:ptCount val="94"/>
                <c:pt idx="0">
                  <c:v>1.0619622883725306</c:v>
                </c:pt>
                <c:pt idx="1">
                  <c:v>0.97806698945004023</c:v>
                </c:pt>
                <c:pt idx="2">
                  <c:v>1.8471699481062398</c:v>
                </c:pt>
                <c:pt idx="3">
                  <c:v>1.7283086428613803</c:v>
                </c:pt>
                <c:pt idx="4">
                  <c:v>2.5743948424861713</c:v>
                </c:pt>
                <c:pt idx="5">
                  <c:v>0.21598372424530865</c:v>
                </c:pt>
                <c:pt idx="6">
                  <c:v>3.6921323453164696</c:v>
                </c:pt>
                <c:pt idx="7">
                  <c:v>2.0176463724609803</c:v>
                </c:pt>
                <c:pt idx="8">
                  <c:v>-9.4230344339880645E-2</c:v>
                </c:pt>
                <c:pt idx="9">
                  <c:v>1.4066669003220298</c:v>
                </c:pt>
                <c:pt idx="10">
                  <c:v>9.1603693253610174E-2</c:v>
                </c:pt>
                <c:pt idx="11">
                  <c:v>1.6362283341635706</c:v>
                </c:pt>
                <c:pt idx="12">
                  <c:v>1.0459665924015287</c:v>
                </c:pt>
                <c:pt idx="13">
                  <c:v>1.7613696834393409</c:v>
                </c:pt>
                <c:pt idx="14">
                  <c:v>1.1223194741279698</c:v>
                </c:pt>
                <c:pt idx="15">
                  <c:v>0.94800127958608904</c:v>
                </c:pt>
                <c:pt idx="16">
                  <c:v>0.72650473282930861</c:v>
                </c:pt>
                <c:pt idx="17">
                  <c:v>1.1408371734941092</c:v>
                </c:pt>
                <c:pt idx="18">
                  <c:v>0.69286145217062156</c:v>
                </c:pt>
                <c:pt idx="19">
                  <c:v>2.1323183505834713</c:v>
                </c:pt>
                <c:pt idx="20">
                  <c:v>2.2189421957698006</c:v>
                </c:pt>
                <c:pt idx="21">
                  <c:v>0.76381104292467938</c:v>
                </c:pt>
                <c:pt idx="22">
                  <c:v>1.7239383414890597</c:v>
                </c:pt>
                <c:pt idx="23">
                  <c:v>1.186709065907479</c:v>
                </c:pt>
                <c:pt idx="24">
                  <c:v>1.2737738237728404</c:v>
                </c:pt>
                <c:pt idx="25">
                  <c:v>0.46878380270655917</c:v>
                </c:pt>
                <c:pt idx="26">
                  <c:v>7.0731978091640002E-2</c:v>
                </c:pt>
                <c:pt idx="27">
                  <c:v>4.2024217097811345E-2</c:v>
                </c:pt>
                <c:pt idx="28">
                  <c:v>1.8740089478724311</c:v>
                </c:pt>
                <c:pt idx="29">
                  <c:v>2.1674443309139892</c:v>
                </c:pt>
                <c:pt idx="30">
                  <c:v>0.53457848441230915</c:v>
                </c:pt>
                <c:pt idx="31">
                  <c:v>0.87834763373827052</c:v>
                </c:pt>
                <c:pt idx="32">
                  <c:v>1.0156096692864303</c:v>
                </c:pt>
                <c:pt idx="33">
                  <c:v>-0.47679123546323687</c:v>
                </c:pt>
                <c:pt idx="34">
                  <c:v>2.1726541870263585</c:v>
                </c:pt>
                <c:pt idx="35">
                  <c:v>1.3659770355674699</c:v>
                </c:pt>
                <c:pt idx="36">
                  <c:v>-4.6903662228290344E-2</c:v>
                </c:pt>
                <c:pt idx="37">
                  <c:v>0.41809534370258739</c:v>
                </c:pt>
                <c:pt idx="38">
                  <c:v>1.1044482584570599</c:v>
                </c:pt>
                <c:pt idx="39">
                  <c:v>0.61030339200726047</c:v>
                </c:pt>
                <c:pt idx="40">
                  <c:v>0.75577641102744941</c:v>
                </c:pt>
                <c:pt idx="41">
                  <c:v>-0.25861064631821051</c:v>
                </c:pt>
                <c:pt idx="42">
                  <c:v>0.24715941902418948</c:v>
                </c:pt>
                <c:pt idx="43">
                  <c:v>-1.8019950654704733</c:v>
                </c:pt>
                <c:pt idx="44">
                  <c:v>0.99182633084085126</c:v>
                </c:pt>
                <c:pt idx="45">
                  <c:v>-0.22012077463935853</c:v>
                </c:pt>
                <c:pt idx="46">
                  <c:v>0.55862066857775083</c:v>
                </c:pt>
                <c:pt idx="47">
                  <c:v>-0.45974795870127672</c:v>
                </c:pt>
                <c:pt idx="48">
                  <c:v>1.59289799137375</c:v>
                </c:pt>
                <c:pt idx="49">
                  <c:v>0.65645297987751938</c:v>
                </c:pt>
                <c:pt idx="50">
                  <c:v>3.4480641675010002</c:v>
                </c:pt>
                <c:pt idx="51">
                  <c:v>0.2486490148328393</c:v>
                </c:pt>
                <c:pt idx="52">
                  <c:v>1.0715413436166603</c:v>
                </c:pt>
                <c:pt idx="53">
                  <c:v>-1.0135659139662501</c:v>
                </c:pt>
                <c:pt idx="54">
                  <c:v>0.18964097580006012</c:v>
                </c:pt>
                <c:pt idx="55">
                  <c:v>0.42443128714156941</c:v>
                </c:pt>
                <c:pt idx="56">
                  <c:v>-1.0895670740407741</c:v>
                </c:pt>
                <c:pt idx="57">
                  <c:v>0.90136763582544077</c:v>
                </c:pt>
                <c:pt idx="58">
                  <c:v>-1.2230032389568297</c:v>
                </c:pt>
                <c:pt idx="59">
                  <c:v>0.24786607106072012</c:v>
                </c:pt>
                <c:pt idx="60">
                  <c:v>0.54689653922944892</c:v>
                </c:pt>
                <c:pt idx="61">
                  <c:v>2.0140805705762101</c:v>
                </c:pt>
                <c:pt idx="62">
                  <c:v>1.5421185060144396</c:v>
                </c:pt>
                <c:pt idx="63">
                  <c:v>0.11315331228817982</c:v>
                </c:pt>
                <c:pt idx="64">
                  <c:v>-0.28412942609048031</c:v>
                </c:pt>
                <c:pt idx="65">
                  <c:v>1.4706626902057298</c:v>
                </c:pt>
                <c:pt idx="66">
                  <c:v>-0.11904392608296988</c:v>
                </c:pt>
                <c:pt idx="67">
                  <c:v>0.73755851718373933</c:v>
                </c:pt>
                <c:pt idx="68">
                  <c:v>0.72641476313136089</c:v>
                </c:pt>
                <c:pt idx="69">
                  <c:v>1.11171470681135</c:v>
                </c:pt>
                <c:pt idx="70">
                  <c:v>1.1521585852546199</c:v>
                </c:pt>
                <c:pt idx="71">
                  <c:v>1.2414641431251301</c:v>
                </c:pt>
                <c:pt idx="72">
                  <c:v>0.7329130605016605</c:v>
                </c:pt>
                <c:pt idx="73">
                  <c:v>-0.77434912303886883</c:v>
                </c:pt>
                <c:pt idx="74">
                  <c:v>5.6111967664591589E-2</c:v>
                </c:pt>
                <c:pt idx="75">
                  <c:v>-0.34863051832221004</c:v>
                </c:pt>
                <c:pt idx="76">
                  <c:v>0.34907741177866924</c:v>
                </c:pt>
                <c:pt idx="77">
                  <c:v>-0.64006114900617916</c:v>
                </c:pt>
                <c:pt idx="78">
                  <c:v>-0.55323662459093015</c:v>
                </c:pt>
                <c:pt idx="79">
                  <c:v>0.48752543122316006</c:v>
                </c:pt>
              </c:numCache>
            </c:numRef>
          </c:yVal>
          <c:smooth val="0"/>
          <c:extLst>
            <c:ext xmlns:c16="http://schemas.microsoft.com/office/drawing/2014/chart" uri="{C3380CC4-5D6E-409C-BE32-E72D297353CC}">
              <c16:uniqueId val="{00000000-3C90-4A1F-A044-A56C40C9EFAF}"/>
            </c:ext>
          </c:extLst>
        </c:ser>
        <c:dLbls>
          <c:showLegendKey val="0"/>
          <c:showVal val="0"/>
          <c:showCatName val="0"/>
          <c:showSerName val="0"/>
          <c:showPercent val="0"/>
          <c:showBubbleSize val="0"/>
        </c:dLbls>
        <c:axId val="274780160"/>
        <c:axId val="274781696"/>
      </c:scatterChart>
      <c:valAx>
        <c:axId val="274780160"/>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274781696"/>
        <c:crosses val="autoZero"/>
        <c:crossBetween val="midCat"/>
      </c:valAx>
      <c:valAx>
        <c:axId val="274781696"/>
        <c:scaling>
          <c:orientation val="minMax"/>
        </c:scaling>
        <c:delete val="0"/>
        <c:axPos val="l"/>
        <c:majorGridlines/>
        <c:numFmt formatCode="0.00" sourceLinked="1"/>
        <c:majorTickMark val="out"/>
        <c:minorTickMark val="none"/>
        <c:tickLblPos val="nextTo"/>
        <c:crossAx val="274780160"/>
        <c:crosses val="autoZero"/>
        <c:crossBetween val="midCat"/>
      </c:valAx>
    </c:plotArea>
    <c:plotVisOnly val="1"/>
    <c:dispBlanksAs val="gap"/>
    <c:showDLblsOverMax val="0"/>
  </c:chart>
  <c:printSettings>
    <c:headerFooter/>
    <c:pageMargins b="0.75000000000000211" l="0.70000000000000062" r="0.70000000000000062" t="0.75000000000000211" header="0.30000000000000032" footer="0.30000000000000032"/>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3834418474441655E-2"/>
          <c:y val="0.13250935178105364"/>
          <c:w val="0.6729182365583003"/>
          <c:h val="0.71284029659820869"/>
        </c:manualLayout>
      </c:layout>
      <c:scatterChart>
        <c:scatterStyle val="lineMarker"/>
        <c:varyColors val="0"/>
        <c:ser>
          <c:idx val="0"/>
          <c:order val="0"/>
          <c:tx>
            <c:v> </c:v>
          </c:tx>
          <c:spPr>
            <a:ln w="28575">
              <a:noFill/>
            </a:ln>
          </c:spPr>
          <c:marker>
            <c:symbol val="circle"/>
            <c:size val="8"/>
            <c:spPr>
              <a:solidFill>
                <a:srgbClr val="000080"/>
              </a:solidFill>
              <a:ln>
                <a:solidFill>
                  <a:srgbClr val="000080"/>
                </a:solidFill>
                <a:prstDash val="solid"/>
              </a:ln>
            </c:spPr>
          </c:marker>
          <c:dLbls>
            <c:dLbl>
              <c:idx val="0"/>
              <c:tx>
                <c:rich>
                  <a:bodyPr/>
                  <a:lstStyle/>
                  <a:p>
                    <a:fld id="{A6CC2078-7BF9-407F-A236-6B17C27F9122}" type="CELLRANGE">
                      <a:rPr lang="en-US"/>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7835-416F-B0D3-EAAF2EFECDB3}"/>
                </c:ext>
              </c:extLst>
            </c:dLbl>
            <c:dLbl>
              <c:idx val="1"/>
              <c:tx>
                <c:rich>
                  <a:bodyPr/>
                  <a:lstStyle/>
                  <a:p>
                    <a:fld id="{AEA6AEAA-999D-4065-A673-7BF61DDAAE89}"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7835-416F-B0D3-EAAF2EFECDB3}"/>
                </c:ext>
              </c:extLst>
            </c:dLbl>
            <c:dLbl>
              <c:idx val="2"/>
              <c:tx>
                <c:rich>
                  <a:bodyPr/>
                  <a:lstStyle/>
                  <a:p>
                    <a:fld id="{B1A6FBCD-D87C-4620-BD4A-30CFE7A3D6CF}"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7835-416F-B0D3-EAAF2EFECDB3}"/>
                </c:ext>
              </c:extLst>
            </c:dLbl>
            <c:dLbl>
              <c:idx val="3"/>
              <c:tx>
                <c:rich>
                  <a:bodyPr/>
                  <a:lstStyle/>
                  <a:p>
                    <a:fld id="{6F32073E-6244-42A8-8DF2-5773043DAD23}"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835-416F-B0D3-EAAF2EFECDB3}"/>
                </c:ext>
              </c:extLst>
            </c:dLbl>
            <c:dLbl>
              <c:idx val="4"/>
              <c:tx>
                <c:rich>
                  <a:bodyPr/>
                  <a:lstStyle/>
                  <a:p>
                    <a:fld id="{ABE750D9-209B-4AEC-AD1B-3969A3518D70}"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7835-416F-B0D3-EAAF2EFECDB3}"/>
                </c:ext>
              </c:extLst>
            </c:dLbl>
            <c:dLbl>
              <c:idx val="5"/>
              <c:tx>
                <c:rich>
                  <a:bodyPr/>
                  <a:lstStyle/>
                  <a:p>
                    <a:fld id="{EF0A0379-89BD-4BB7-8C43-553C538AEEA0}"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7835-416F-B0D3-EAAF2EFECDB3}"/>
                </c:ext>
              </c:extLst>
            </c:dLbl>
            <c:dLbl>
              <c:idx val="6"/>
              <c:tx>
                <c:rich>
                  <a:bodyPr/>
                  <a:lstStyle/>
                  <a:p>
                    <a:fld id="{CDFB7B9B-F89C-4A75-A596-876DB8E4037C}"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7835-416F-B0D3-EAAF2EFECDB3}"/>
                </c:ext>
              </c:extLst>
            </c:dLbl>
            <c:dLbl>
              <c:idx val="7"/>
              <c:tx>
                <c:rich>
                  <a:bodyPr/>
                  <a:lstStyle/>
                  <a:p>
                    <a:fld id="{1FE108A3-EF92-4EDB-A393-3396B3E9E926}"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7835-416F-B0D3-EAAF2EFECDB3}"/>
                </c:ext>
              </c:extLst>
            </c:dLbl>
            <c:dLbl>
              <c:idx val="8"/>
              <c:tx>
                <c:rich>
                  <a:bodyPr/>
                  <a:lstStyle/>
                  <a:p>
                    <a:fld id="{B78B198F-7CAD-4E93-A3B4-B5A6FE4A212E}"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7835-416F-B0D3-EAAF2EFECDB3}"/>
                </c:ext>
              </c:extLst>
            </c:dLbl>
            <c:dLbl>
              <c:idx val="9"/>
              <c:tx>
                <c:rich>
                  <a:bodyPr/>
                  <a:lstStyle/>
                  <a:p>
                    <a:fld id="{95735913-8E3E-4D5E-8FB0-910CE9C92795}"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7835-416F-B0D3-EAAF2EFECDB3}"/>
                </c:ext>
              </c:extLst>
            </c:dLbl>
            <c:dLbl>
              <c:idx val="10"/>
              <c:tx>
                <c:rich>
                  <a:bodyPr/>
                  <a:lstStyle/>
                  <a:p>
                    <a:fld id="{22F43A51-3DA2-4FFB-B94D-F523F0741FE9}"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7835-416F-B0D3-EAAF2EFECDB3}"/>
                </c:ext>
              </c:extLst>
            </c:dLbl>
            <c:dLbl>
              <c:idx val="11"/>
              <c:tx>
                <c:rich>
                  <a:bodyPr/>
                  <a:lstStyle/>
                  <a:p>
                    <a:fld id="{1AD64C7B-12AA-4285-BA3E-8FFB7BB460C3}"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7835-416F-B0D3-EAAF2EFECDB3}"/>
                </c:ext>
              </c:extLst>
            </c:dLbl>
            <c:dLbl>
              <c:idx val="12"/>
              <c:tx>
                <c:rich>
                  <a:bodyPr/>
                  <a:lstStyle/>
                  <a:p>
                    <a:fld id="{B2A4DA04-9EA4-4FA1-94FC-D24018646FCF}"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7835-416F-B0D3-EAAF2EFECDB3}"/>
                </c:ext>
              </c:extLst>
            </c:dLbl>
            <c:dLbl>
              <c:idx val="13"/>
              <c:tx>
                <c:rich>
                  <a:bodyPr/>
                  <a:lstStyle/>
                  <a:p>
                    <a:fld id="{1371D57E-62F2-45E7-93BA-3234F5E79BED}"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7835-416F-B0D3-EAAF2EFECDB3}"/>
                </c:ext>
              </c:extLst>
            </c:dLbl>
            <c:dLbl>
              <c:idx val="14"/>
              <c:tx>
                <c:rich>
                  <a:bodyPr/>
                  <a:lstStyle/>
                  <a:p>
                    <a:fld id="{47BD3BA8-062D-4C35-AB40-EAAE97D3B4F7}"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7835-416F-B0D3-EAAF2EFECDB3}"/>
                </c:ext>
              </c:extLst>
            </c:dLbl>
            <c:dLbl>
              <c:idx val="15"/>
              <c:tx>
                <c:rich>
                  <a:bodyPr/>
                  <a:lstStyle/>
                  <a:p>
                    <a:fld id="{2A8CC828-4DF2-4F01-90E4-B1B2AED9D3E4}"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7835-416F-B0D3-EAAF2EFECDB3}"/>
                </c:ext>
              </c:extLst>
            </c:dLbl>
            <c:dLbl>
              <c:idx val="16"/>
              <c:tx>
                <c:rich>
                  <a:bodyPr/>
                  <a:lstStyle/>
                  <a:p>
                    <a:fld id="{89B863D8-A150-47A1-94D9-07CFF9DDC9C7}"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7835-416F-B0D3-EAAF2EFECDB3}"/>
                </c:ext>
              </c:extLst>
            </c:dLbl>
            <c:dLbl>
              <c:idx val="17"/>
              <c:tx>
                <c:rich>
                  <a:bodyPr/>
                  <a:lstStyle/>
                  <a:p>
                    <a:fld id="{613D70DE-CACC-49BB-A574-FFCB414FDFCC}"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7835-416F-B0D3-EAAF2EFECDB3}"/>
                </c:ext>
              </c:extLst>
            </c:dLbl>
            <c:dLbl>
              <c:idx val="18"/>
              <c:tx>
                <c:rich>
                  <a:bodyPr/>
                  <a:lstStyle/>
                  <a:p>
                    <a:fld id="{51D11055-E613-438D-9754-C1FDDCABC434}"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7835-416F-B0D3-EAAF2EFECDB3}"/>
                </c:ext>
              </c:extLst>
            </c:dLbl>
            <c:dLbl>
              <c:idx val="19"/>
              <c:tx>
                <c:rich>
                  <a:bodyPr/>
                  <a:lstStyle/>
                  <a:p>
                    <a:fld id="{69FAB8D8-894C-4117-A593-C939B157672F}"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7835-416F-B0D3-EAAF2EFECDB3}"/>
                </c:ext>
              </c:extLst>
            </c:dLbl>
            <c:dLbl>
              <c:idx val="20"/>
              <c:tx>
                <c:rich>
                  <a:bodyPr/>
                  <a:lstStyle/>
                  <a:p>
                    <a:fld id="{D93BFD44-8832-40D7-ACFF-C610AA7248A5}"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7835-416F-B0D3-EAAF2EFECDB3}"/>
                </c:ext>
              </c:extLst>
            </c:dLbl>
            <c:dLbl>
              <c:idx val="21"/>
              <c:tx>
                <c:rich>
                  <a:bodyPr/>
                  <a:lstStyle/>
                  <a:p>
                    <a:fld id="{8F001CE0-285C-4F40-8BA7-3D5A5BCCFB81}"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7835-416F-B0D3-EAAF2EFECDB3}"/>
                </c:ext>
              </c:extLst>
            </c:dLbl>
            <c:dLbl>
              <c:idx val="22"/>
              <c:tx>
                <c:rich>
                  <a:bodyPr/>
                  <a:lstStyle/>
                  <a:p>
                    <a:fld id="{9372725B-103B-46FA-A479-D4CD1B8DACAA}"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7835-416F-B0D3-EAAF2EFECDB3}"/>
                </c:ext>
              </c:extLst>
            </c:dLbl>
            <c:dLbl>
              <c:idx val="23"/>
              <c:tx>
                <c:rich>
                  <a:bodyPr/>
                  <a:lstStyle/>
                  <a:p>
                    <a:fld id="{FBDC35F9-1133-43C2-B0F7-582AA708B301}"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7835-416F-B0D3-EAAF2EFECDB3}"/>
                </c:ext>
              </c:extLst>
            </c:dLbl>
            <c:dLbl>
              <c:idx val="24"/>
              <c:tx>
                <c:rich>
                  <a:bodyPr/>
                  <a:lstStyle/>
                  <a:p>
                    <a:fld id="{0E24EA1A-B604-41FD-8B3A-95C126879212}"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7835-416F-B0D3-EAAF2EFECDB3}"/>
                </c:ext>
              </c:extLst>
            </c:dLbl>
            <c:dLbl>
              <c:idx val="25"/>
              <c:tx>
                <c:rich>
                  <a:bodyPr/>
                  <a:lstStyle/>
                  <a:p>
                    <a:fld id="{57FE22F2-7161-4C24-BDB8-336D43517D4D}"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7835-416F-B0D3-EAAF2EFECDB3}"/>
                </c:ext>
              </c:extLst>
            </c:dLbl>
            <c:dLbl>
              <c:idx val="26"/>
              <c:tx>
                <c:rich>
                  <a:bodyPr/>
                  <a:lstStyle/>
                  <a:p>
                    <a:fld id="{3CC15E93-86B0-4CBF-B041-DC0842F00D7A}"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7835-416F-B0D3-EAAF2EFECDB3}"/>
                </c:ext>
              </c:extLst>
            </c:dLbl>
            <c:dLbl>
              <c:idx val="27"/>
              <c:tx>
                <c:rich>
                  <a:bodyPr/>
                  <a:lstStyle/>
                  <a:p>
                    <a:fld id="{07C30A57-4D6D-4340-9522-B052AFE109A3}"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7835-416F-B0D3-EAAF2EFECDB3}"/>
                </c:ext>
              </c:extLst>
            </c:dLbl>
            <c:dLbl>
              <c:idx val="28"/>
              <c:tx>
                <c:rich>
                  <a:bodyPr/>
                  <a:lstStyle/>
                  <a:p>
                    <a:fld id="{DB3B8A77-24FC-460A-AB1B-E03B52070DC5}"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7835-416F-B0D3-EAAF2EFECDB3}"/>
                </c:ext>
              </c:extLst>
            </c:dLbl>
            <c:dLbl>
              <c:idx val="29"/>
              <c:tx>
                <c:rich>
                  <a:bodyPr/>
                  <a:lstStyle/>
                  <a:p>
                    <a:fld id="{75116029-0826-4CE1-B058-59AD9D75F68E}"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7835-416F-B0D3-EAAF2EFECDB3}"/>
                </c:ext>
              </c:extLst>
            </c:dLbl>
            <c:dLbl>
              <c:idx val="30"/>
              <c:tx>
                <c:rich>
                  <a:bodyPr/>
                  <a:lstStyle/>
                  <a:p>
                    <a:fld id="{DA80D0E7-3043-40EA-8081-8E42A556A585}"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7835-416F-B0D3-EAAF2EFECDB3}"/>
                </c:ext>
              </c:extLst>
            </c:dLbl>
            <c:dLbl>
              <c:idx val="31"/>
              <c:tx>
                <c:rich>
                  <a:bodyPr/>
                  <a:lstStyle/>
                  <a:p>
                    <a:fld id="{58EE9005-4750-4BF9-AF51-C5B1F5B42AA3}"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7835-416F-B0D3-EAAF2EFECDB3}"/>
                </c:ext>
              </c:extLst>
            </c:dLbl>
            <c:dLbl>
              <c:idx val="32"/>
              <c:tx>
                <c:rich>
                  <a:bodyPr/>
                  <a:lstStyle/>
                  <a:p>
                    <a:fld id="{C18B152F-2FC2-49A9-80D6-3FCDDDC46135}"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7835-416F-B0D3-EAAF2EFECDB3}"/>
                </c:ext>
              </c:extLst>
            </c:dLbl>
            <c:dLbl>
              <c:idx val="33"/>
              <c:tx>
                <c:rich>
                  <a:bodyPr/>
                  <a:lstStyle/>
                  <a:p>
                    <a:fld id="{51CF744F-9B09-4FCE-93CE-AD079DA8AF9E}"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7835-416F-B0D3-EAAF2EFECDB3}"/>
                </c:ext>
              </c:extLst>
            </c:dLbl>
            <c:dLbl>
              <c:idx val="34"/>
              <c:tx>
                <c:rich>
                  <a:bodyPr/>
                  <a:lstStyle/>
                  <a:p>
                    <a:fld id="{C4E6B543-B247-4A02-B791-A3E1DB1F0F0B}"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7835-416F-B0D3-EAAF2EFECDB3}"/>
                </c:ext>
              </c:extLst>
            </c:dLbl>
            <c:dLbl>
              <c:idx val="35"/>
              <c:tx>
                <c:rich>
                  <a:bodyPr/>
                  <a:lstStyle/>
                  <a:p>
                    <a:fld id="{AE507743-12AE-4257-897A-B435A48266DC}"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7835-416F-B0D3-EAAF2EFECDB3}"/>
                </c:ext>
              </c:extLst>
            </c:dLbl>
            <c:dLbl>
              <c:idx val="36"/>
              <c:tx>
                <c:rich>
                  <a:bodyPr/>
                  <a:lstStyle/>
                  <a:p>
                    <a:fld id="{53B6FDEB-F350-455A-8907-57E6563F2111}"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7835-416F-B0D3-EAAF2EFECDB3}"/>
                </c:ext>
              </c:extLst>
            </c:dLbl>
            <c:dLbl>
              <c:idx val="37"/>
              <c:tx>
                <c:rich>
                  <a:bodyPr/>
                  <a:lstStyle/>
                  <a:p>
                    <a:fld id="{A7BC83F0-9394-4FCE-8322-D9FEBF558D04}"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7835-416F-B0D3-EAAF2EFECDB3}"/>
                </c:ext>
              </c:extLst>
            </c:dLbl>
            <c:dLbl>
              <c:idx val="38"/>
              <c:tx>
                <c:rich>
                  <a:bodyPr/>
                  <a:lstStyle/>
                  <a:p>
                    <a:fld id="{0D081243-E85E-4193-8098-A6B15DAE0728}"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7835-416F-B0D3-EAAF2EFECDB3}"/>
                </c:ext>
              </c:extLst>
            </c:dLbl>
            <c:dLbl>
              <c:idx val="39"/>
              <c:tx>
                <c:rich>
                  <a:bodyPr/>
                  <a:lstStyle/>
                  <a:p>
                    <a:fld id="{275981DE-E721-4120-8333-CE8C39CA5F53}"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7835-416F-B0D3-EAAF2EFECDB3}"/>
                </c:ext>
              </c:extLst>
            </c:dLbl>
            <c:dLbl>
              <c:idx val="40"/>
              <c:tx>
                <c:rich>
                  <a:bodyPr/>
                  <a:lstStyle/>
                  <a:p>
                    <a:fld id="{0214E11A-EE26-4E21-AC14-7CC7824C2B8B}"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7835-416F-B0D3-EAAF2EFECDB3}"/>
                </c:ext>
              </c:extLst>
            </c:dLbl>
            <c:dLbl>
              <c:idx val="41"/>
              <c:tx>
                <c:rich>
                  <a:bodyPr/>
                  <a:lstStyle/>
                  <a:p>
                    <a:fld id="{455A244A-5DD8-4B93-8747-191B997F2AB1}"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7835-416F-B0D3-EAAF2EFECDB3}"/>
                </c:ext>
              </c:extLst>
            </c:dLbl>
            <c:dLbl>
              <c:idx val="42"/>
              <c:tx>
                <c:rich>
                  <a:bodyPr/>
                  <a:lstStyle/>
                  <a:p>
                    <a:fld id="{27B44ED1-F473-4859-B7CE-4B42FEA7F0CB}"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7835-416F-B0D3-EAAF2EFECDB3}"/>
                </c:ext>
              </c:extLst>
            </c:dLbl>
            <c:dLbl>
              <c:idx val="43"/>
              <c:tx>
                <c:rich>
                  <a:bodyPr/>
                  <a:lstStyle/>
                  <a:p>
                    <a:fld id="{F8AE5F75-1AE6-40DD-9669-88039E00A0B8}"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7835-416F-B0D3-EAAF2EFECDB3}"/>
                </c:ext>
              </c:extLst>
            </c:dLbl>
            <c:dLbl>
              <c:idx val="44"/>
              <c:tx>
                <c:rich>
                  <a:bodyPr/>
                  <a:lstStyle/>
                  <a:p>
                    <a:fld id="{AADE44C3-E750-4304-A138-E6265B35163B}"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7835-416F-B0D3-EAAF2EFECDB3}"/>
                </c:ext>
              </c:extLst>
            </c:dLbl>
            <c:dLbl>
              <c:idx val="45"/>
              <c:tx>
                <c:rich>
                  <a:bodyPr/>
                  <a:lstStyle/>
                  <a:p>
                    <a:fld id="{06F4BFA7-2E05-4D98-B0C3-EB2EF17A1A79}"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7835-416F-B0D3-EAAF2EFECDB3}"/>
                </c:ext>
              </c:extLst>
            </c:dLbl>
            <c:dLbl>
              <c:idx val="46"/>
              <c:tx>
                <c:rich>
                  <a:bodyPr/>
                  <a:lstStyle/>
                  <a:p>
                    <a:fld id="{2A5CA13B-D0D2-4745-9D4D-E795724177E7}"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7835-416F-B0D3-EAAF2EFECDB3}"/>
                </c:ext>
              </c:extLst>
            </c:dLbl>
            <c:dLbl>
              <c:idx val="47"/>
              <c:tx>
                <c:rich>
                  <a:bodyPr/>
                  <a:lstStyle/>
                  <a:p>
                    <a:fld id="{4C56ACB7-2D4A-4826-A4B6-36142E668BCA}"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7835-416F-B0D3-EAAF2EFECDB3}"/>
                </c:ext>
              </c:extLst>
            </c:dLbl>
            <c:dLbl>
              <c:idx val="48"/>
              <c:tx>
                <c:rich>
                  <a:bodyPr/>
                  <a:lstStyle/>
                  <a:p>
                    <a:fld id="{815C773D-9271-4539-A0E3-31B712404B59}"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7835-416F-B0D3-EAAF2EFECDB3}"/>
                </c:ext>
              </c:extLst>
            </c:dLbl>
            <c:dLbl>
              <c:idx val="49"/>
              <c:tx>
                <c:rich>
                  <a:bodyPr/>
                  <a:lstStyle/>
                  <a:p>
                    <a:fld id="{E470ADC7-DED9-4562-A4EE-DC5CE543218D}"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7835-416F-B0D3-EAAF2EFECDB3}"/>
                </c:ext>
              </c:extLst>
            </c:dLbl>
            <c:dLbl>
              <c:idx val="50"/>
              <c:tx>
                <c:rich>
                  <a:bodyPr/>
                  <a:lstStyle/>
                  <a:p>
                    <a:fld id="{EEA50D75-EBEC-4D04-92D6-5A417B2B9FDD}"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7835-416F-B0D3-EAAF2EFECDB3}"/>
                </c:ext>
              </c:extLst>
            </c:dLbl>
            <c:dLbl>
              <c:idx val="51"/>
              <c:tx>
                <c:rich>
                  <a:bodyPr/>
                  <a:lstStyle/>
                  <a:p>
                    <a:fld id="{A8B251E7-DCD2-45FA-B56D-8EED8A9396F6}"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7835-416F-B0D3-EAAF2EFECDB3}"/>
                </c:ext>
              </c:extLst>
            </c:dLbl>
            <c:dLbl>
              <c:idx val="52"/>
              <c:tx>
                <c:rich>
                  <a:bodyPr/>
                  <a:lstStyle/>
                  <a:p>
                    <a:fld id="{31A7FC0E-0211-4EF4-8295-1F6AFD88A9AA}"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7835-416F-B0D3-EAAF2EFECDB3}"/>
                </c:ext>
              </c:extLst>
            </c:dLbl>
            <c:dLbl>
              <c:idx val="53"/>
              <c:tx>
                <c:rich>
                  <a:bodyPr/>
                  <a:lstStyle/>
                  <a:p>
                    <a:fld id="{8F6C02B1-9A95-4B74-BA05-D04D986A6895}"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7835-416F-B0D3-EAAF2EFECDB3}"/>
                </c:ext>
              </c:extLst>
            </c:dLbl>
            <c:dLbl>
              <c:idx val="54"/>
              <c:tx>
                <c:rich>
                  <a:bodyPr/>
                  <a:lstStyle/>
                  <a:p>
                    <a:fld id="{5D7DAA26-9F46-460C-A581-9021039C76CB}"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7835-416F-B0D3-EAAF2EFECDB3}"/>
                </c:ext>
              </c:extLst>
            </c:dLbl>
            <c:dLbl>
              <c:idx val="55"/>
              <c:tx>
                <c:rich>
                  <a:bodyPr/>
                  <a:lstStyle/>
                  <a:p>
                    <a:fld id="{384F589E-7CB6-4DDB-A3DA-59412F62C19D}"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7835-416F-B0D3-EAAF2EFECDB3}"/>
                </c:ext>
              </c:extLst>
            </c:dLbl>
            <c:dLbl>
              <c:idx val="56"/>
              <c:tx>
                <c:rich>
                  <a:bodyPr/>
                  <a:lstStyle/>
                  <a:p>
                    <a:fld id="{434AF392-3ADD-4E4B-A1D7-6C672173D2E5}"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7835-416F-B0D3-EAAF2EFECDB3}"/>
                </c:ext>
              </c:extLst>
            </c:dLbl>
            <c:dLbl>
              <c:idx val="57"/>
              <c:tx>
                <c:rich>
                  <a:bodyPr/>
                  <a:lstStyle/>
                  <a:p>
                    <a:fld id="{41A90E69-2F92-4234-B624-8360DE7D7E37}"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7835-416F-B0D3-EAAF2EFECDB3}"/>
                </c:ext>
              </c:extLst>
            </c:dLbl>
            <c:dLbl>
              <c:idx val="58"/>
              <c:tx>
                <c:rich>
                  <a:bodyPr/>
                  <a:lstStyle/>
                  <a:p>
                    <a:fld id="{72FE82DD-7334-4836-A085-3E4AF171CDD8}"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A-7835-416F-B0D3-EAAF2EFECDB3}"/>
                </c:ext>
              </c:extLst>
            </c:dLbl>
            <c:dLbl>
              <c:idx val="59"/>
              <c:tx>
                <c:rich>
                  <a:bodyPr/>
                  <a:lstStyle/>
                  <a:p>
                    <a:fld id="{EB818896-8D1D-4DBF-85BC-ED634F8B8F0B}"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7835-416F-B0D3-EAAF2EFECDB3}"/>
                </c:ext>
              </c:extLst>
            </c:dLbl>
            <c:dLbl>
              <c:idx val="60"/>
              <c:tx>
                <c:rich>
                  <a:bodyPr/>
                  <a:lstStyle/>
                  <a:p>
                    <a:fld id="{DF49E790-1997-4686-8960-D82C832E8C66}"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7835-416F-B0D3-EAAF2EFECDB3}"/>
                </c:ext>
              </c:extLst>
            </c:dLbl>
            <c:dLbl>
              <c:idx val="61"/>
              <c:tx>
                <c:rich>
                  <a:bodyPr/>
                  <a:lstStyle/>
                  <a:p>
                    <a:fld id="{D4EC9BC9-C854-4714-8FAF-CEEAD9B26369}"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7835-416F-B0D3-EAAF2EFECDB3}"/>
                </c:ext>
              </c:extLst>
            </c:dLbl>
            <c:dLbl>
              <c:idx val="62"/>
              <c:tx>
                <c:rich>
                  <a:bodyPr/>
                  <a:lstStyle/>
                  <a:p>
                    <a:fld id="{462AB9C7-14CE-49A1-BE18-A14654DD9131}"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7835-416F-B0D3-EAAF2EFECDB3}"/>
                </c:ext>
              </c:extLst>
            </c:dLbl>
            <c:dLbl>
              <c:idx val="63"/>
              <c:tx>
                <c:rich>
                  <a:bodyPr/>
                  <a:lstStyle/>
                  <a:p>
                    <a:fld id="{0ED4612A-83A9-426B-B7D1-4DACFDC2D2F5}"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7835-416F-B0D3-EAAF2EFECDB3}"/>
                </c:ext>
              </c:extLst>
            </c:dLbl>
            <c:dLbl>
              <c:idx val="64"/>
              <c:tx>
                <c:rich>
                  <a:bodyPr/>
                  <a:lstStyle/>
                  <a:p>
                    <a:fld id="{F3320B94-24B5-40D8-A689-3FFD380711A7}"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0-7835-416F-B0D3-EAAF2EFECDB3}"/>
                </c:ext>
              </c:extLst>
            </c:dLbl>
            <c:dLbl>
              <c:idx val="65"/>
              <c:tx>
                <c:rich>
                  <a:bodyPr/>
                  <a:lstStyle/>
                  <a:p>
                    <a:fld id="{BA23A83E-1FCF-406C-85CA-AB83F2BFB092}"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1-7835-416F-B0D3-EAAF2EFECDB3}"/>
                </c:ext>
              </c:extLst>
            </c:dLbl>
            <c:dLbl>
              <c:idx val="66"/>
              <c:tx>
                <c:rich>
                  <a:bodyPr/>
                  <a:lstStyle/>
                  <a:p>
                    <a:fld id="{5153B8E9-D052-4326-BE2A-B34D00C6E856}"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7835-416F-B0D3-EAAF2EFECDB3}"/>
                </c:ext>
              </c:extLst>
            </c:dLbl>
            <c:dLbl>
              <c:idx val="67"/>
              <c:tx>
                <c:rich>
                  <a:bodyPr/>
                  <a:lstStyle/>
                  <a:p>
                    <a:fld id="{666AFB30-5FEF-426E-9599-955F352C4E06}"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3-7835-416F-B0D3-EAAF2EFECDB3}"/>
                </c:ext>
              </c:extLst>
            </c:dLbl>
            <c:dLbl>
              <c:idx val="68"/>
              <c:tx>
                <c:rich>
                  <a:bodyPr/>
                  <a:lstStyle/>
                  <a:p>
                    <a:fld id="{A7E9EE88-0A75-420A-9AB0-1EE65D920800}"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4-7835-416F-B0D3-EAAF2EFECDB3}"/>
                </c:ext>
              </c:extLst>
            </c:dLbl>
            <c:dLbl>
              <c:idx val="69"/>
              <c:tx>
                <c:rich>
                  <a:bodyPr/>
                  <a:lstStyle/>
                  <a:p>
                    <a:fld id="{AE76BB4B-5083-4CAD-9DA8-76C9C2A19460}"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5-7835-416F-B0D3-EAAF2EFECDB3}"/>
                </c:ext>
              </c:extLst>
            </c:dLbl>
            <c:dLbl>
              <c:idx val="70"/>
              <c:tx>
                <c:rich>
                  <a:bodyPr/>
                  <a:lstStyle/>
                  <a:p>
                    <a:fld id="{776144E8-AABB-471A-BBB2-222F79987AB1}"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6-7835-416F-B0D3-EAAF2EFECDB3}"/>
                </c:ext>
              </c:extLst>
            </c:dLbl>
            <c:dLbl>
              <c:idx val="71"/>
              <c:tx>
                <c:rich>
                  <a:bodyPr/>
                  <a:lstStyle/>
                  <a:p>
                    <a:fld id="{0BE718A1-DBD9-405B-9183-3AFEAB3D86D5}"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7-7835-416F-B0D3-EAAF2EFECDB3}"/>
                </c:ext>
              </c:extLst>
            </c:dLbl>
            <c:dLbl>
              <c:idx val="72"/>
              <c:tx>
                <c:rich>
                  <a:bodyPr/>
                  <a:lstStyle/>
                  <a:p>
                    <a:fld id="{37850898-D9DD-4385-A006-348428986C4E}"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8-7835-416F-B0D3-EAAF2EFECDB3}"/>
                </c:ext>
              </c:extLst>
            </c:dLbl>
            <c:dLbl>
              <c:idx val="73"/>
              <c:tx>
                <c:rich>
                  <a:bodyPr/>
                  <a:lstStyle/>
                  <a:p>
                    <a:fld id="{25A76384-C971-4FAE-9602-3C7179885DE7}"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9-7835-416F-B0D3-EAAF2EFECDB3}"/>
                </c:ext>
              </c:extLst>
            </c:dLbl>
            <c:dLbl>
              <c:idx val="74"/>
              <c:tx>
                <c:rich>
                  <a:bodyPr/>
                  <a:lstStyle/>
                  <a:p>
                    <a:fld id="{70456544-DB7A-41F5-A322-2983AB139387}"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A-7835-416F-B0D3-EAAF2EFECDB3}"/>
                </c:ext>
              </c:extLst>
            </c:dLbl>
            <c:dLbl>
              <c:idx val="75"/>
              <c:tx>
                <c:rich>
                  <a:bodyPr/>
                  <a:lstStyle/>
                  <a:p>
                    <a:fld id="{7F7B88B7-D6D5-46BA-B02C-5576CE6E4949}"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B-7835-416F-B0D3-EAAF2EFECDB3}"/>
                </c:ext>
              </c:extLst>
            </c:dLbl>
            <c:dLbl>
              <c:idx val="76"/>
              <c:tx>
                <c:rich>
                  <a:bodyPr/>
                  <a:lstStyle/>
                  <a:p>
                    <a:fld id="{A15AF39F-658D-4F8F-8148-215AED8B0C28}"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C-7835-416F-B0D3-EAAF2EFECDB3}"/>
                </c:ext>
              </c:extLst>
            </c:dLbl>
            <c:dLbl>
              <c:idx val="77"/>
              <c:tx>
                <c:rich>
                  <a:bodyPr/>
                  <a:lstStyle/>
                  <a:p>
                    <a:fld id="{B1F2BC74-6E39-434B-9CFF-19839F270841}"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D-7835-416F-B0D3-EAAF2EFECDB3}"/>
                </c:ext>
              </c:extLst>
            </c:dLbl>
            <c:dLbl>
              <c:idx val="78"/>
              <c:tx>
                <c:rich>
                  <a:bodyPr/>
                  <a:lstStyle/>
                  <a:p>
                    <a:fld id="{365ACF64-7DCD-464A-8CCD-7C7FB5917C4B}"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E-7835-416F-B0D3-EAAF2EFECDB3}"/>
                </c:ext>
              </c:extLst>
            </c:dLbl>
            <c:dLbl>
              <c:idx val="79"/>
              <c:tx>
                <c:rich>
                  <a:bodyPr/>
                  <a:lstStyle/>
                  <a:p>
                    <a:fld id="{8BE88016-38C1-40E0-A6C9-488553F4DAAC}"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F-7835-416F-B0D3-EAAF2EFECDB3}"/>
                </c:ext>
              </c:extLst>
            </c:dLbl>
            <c:dLbl>
              <c:idx val="80"/>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0-7835-416F-B0D3-EAAF2EFECDB3}"/>
                </c:ext>
              </c:extLst>
            </c:dLbl>
            <c:dLbl>
              <c:idx val="81"/>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1-7835-416F-B0D3-EAAF2EFECDB3}"/>
                </c:ext>
              </c:extLst>
            </c:dLbl>
            <c:dLbl>
              <c:idx val="82"/>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2-7835-416F-B0D3-EAAF2EFECDB3}"/>
                </c:ext>
              </c:extLst>
            </c:dLbl>
            <c:dLbl>
              <c:idx val="83"/>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3-7835-416F-B0D3-EAAF2EFECDB3}"/>
                </c:ext>
              </c:extLst>
            </c:dLbl>
            <c:dLbl>
              <c:idx val="84"/>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4-7835-416F-B0D3-EAAF2EFECDB3}"/>
                </c:ext>
              </c:extLst>
            </c:dLbl>
            <c:dLbl>
              <c:idx val="85"/>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5-7835-416F-B0D3-EAAF2EFECDB3}"/>
                </c:ext>
              </c:extLst>
            </c:dLbl>
            <c:dLbl>
              <c:idx val="86"/>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6-7835-416F-B0D3-EAAF2EFECDB3}"/>
                </c:ext>
              </c:extLst>
            </c:dLbl>
            <c:dLbl>
              <c:idx val="87"/>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7-7835-416F-B0D3-EAAF2EFECDB3}"/>
                </c:ext>
              </c:extLst>
            </c:dLbl>
            <c:dLbl>
              <c:idx val="88"/>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8-7835-416F-B0D3-EAAF2EFECDB3}"/>
                </c:ext>
              </c:extLst>
            </c:dLbl>
            <c:dLbl>
              <c:idx val="89"/>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9-7835-416F-B0D3-EAAF2EFECDB3}"/>
                </c:ext>
              </c:extLst>
            </c:dLbl>
            <c:dLbl>
              <c:idx val="90"/>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A-7835-416F-B0D3-EAAF2EFECDB3}"/>
                </c:ext>
              </c:extLst>
            </c:dLbl>
            <c:dLbl>
              <c:idx val="91"/>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B-7835-416F-B0D3-EAAF2EFECDB3}"/>
                </c:ext>
              </c:extLst>
            </c:dLbl>
            <c:dLbl>
              <c:idx val="92"/>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C-7835-416F-B0D3-EAAF2EFECDB3}"/>
                </c:ext>
              </c:extLst>
            </c:dLbl>
            <c:dLbl>
              <c:idx val="93"/>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D-7835-416F-B0D3-EAAF2EFECDB3}"/>
                </c:ext>
              </c:extLst>
            </c:dLbl>
            <c:spPr>
              <a:noFill/>
              <a:ln>
                <a:noFill/>
              </a:ln>
              <a:effectLst/>
            </c:spPr>
            <c:txPr>
              <a:bodyPr wrap="square" lIns="38100" tIns="19050" rIns="38100" bIns="19050" anchor="ctr">
                <a:spAutoFit/>
              </a:bodyPr>
              <a:lstStyle/>
              <a:p>
                <a:pPr>
                  <a:defRPr sz="1000" baseline="0">
                    <a:solidFill>
                      <a:schemeClr val="bg1">
                        <a:lumMod val="75000"/>
                      </a:schemeClr>
                    </a:solidFill>
                  </a:defRPr>
                </a:pPr>
                <a:endParaRPr lang="fr-FR"/>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trendline>
            <c:spPr>
              <a:ln w="38100">
                <a:solidFill>
                  <a:srgbClr val="000000"/>
                </a:solidFill>
                <a:prstDash val="sysDash"/>
              </a:ln>
            </c:spPr>
            <c:trendlineType val="linear"/>
            <c:dispRSqr val="0"/>
            <c:dispEq val="0"/>
          </c:trendline>
          <c:trendline>
            <c:trendlineType val="linear"/>
            <c:dispRSqr val="0"/>
            <c:dispEq val="0"/>
          </c:trendline>
          <c:xVal>
            <c:numRef>
              <c:f>pierre!$F$63:$F$156</c:f>
              <c:numCache>
                <c:formatCode>General</c:formatCode>
                <c:ptCount val="94"/>
                <c:pt idx="0">
                  <c:v>10.37</c:v>
                </c:pt>
                <c:pt idx="1">
                  <c:v>10.782</c:v>
                </c:pt>
                <c:pt idx="2">
                  <c:v>10.478999999999999</c:v>
                </c:pt>
                <c:pt idx="3">
                  <c:v>10.999000000000001</c:v>
                </c:pt>
                <c:pt idx="4">
                  <c:v>10.672000000000001</c:v>
                </c:pt>
                <c:pt idx="5">
                  <c:v>10.839</c:v>
                </c:pt>
                <c:pt idx="6">
                  <c:v>10.412000000000001</c:v>
                </c:pt>
                <c:pt idx="7">
                  <c:v>10.925000000000001</c:v>
                </c:pt>
                <c:pt idx="8">
                  <c:v>10.855</c:v>
                </c:pt>
                <c:pt idx="9">
                  <c:v>11.38</c:v>
                </c:pt>
                <c:pt idx="10">
                  <c:v>11.125</c:v>
                </c:pt>
                <c:pt idx="11">
                  <c:v>11.51</c:v>
                </c:pt>
                <c:pt idx="12">
                  <c:v>10.608000000000001</c:v>
                </c:pt>
                <c:pt idx="13">
                  <c:v>10.714</c:v>
                </c:pt>
                <c:pt idx="14">
                  <c:v>10.763</c:v>
                </c:pt>
                <c:pt idx="15">
                  <c:v>10.756</c:v>
                </c:pt>
                <c:pt idx="16">
                  <c:v>10.742000000000001</c:v>
                </c:pt>
                <c:pt idx="17">
                  <c:v>9.8019999999999996</c:v>
                </c:pt>
                <c:pt idx="18">
                  <c:v>11.048999999999999</c:v>
                </c:pt>
                <c:pt idx="19">
                  <c:v>11.494999999999999</c:v>
                </c:pt>
                <c:pt idx="20">
                  <c:v>11.731999999999999</c:v>
                </c:pt>
                <c:pt idx="21">
                  <c:v>12.137</c:v>
                </c:pt>
                <c:pt idx="22">
                  <c:v>11.295</c:v>
                </c:pt>
                <c:pt idx="23">
                  <c:v>10.375</c:v>
                </c:pt>
                <c:pt idx="24">
                  <c:v>12.18</c:v>
                </c:pt>
                <c:pt idx="25">
                  <c:v>10.208</c:v>
                </c:pt>
                <c:pt idx="26">
                  <c:v>10.289</c:v>
                </c:pt>
                <c:pt idx="27">
                  <c:v>11.819000000000001</c:v>
                </c:pt>
                <c:pt idx="28">
                  <c:v>10.573</c:v>
                </c:pt>
                <c:pt idx="29">
                  <c:v>11.872</c:v>
                </c:pt>
                <c:pt idx="30">
                  <c:v>12.057</c:v>
                </c:pt>
                <c:pt idx="31">
                  <c:v>10.991</c:v>
                </c:pt>
                <c:pt idx="32">
                  <c:v>10.561999999999999</c:v>
                </c:pt>
                <c:pt idx="33">
                  <c:v>10.541</c:v>
                </c:pt>
                <c:pt idx="34">
                  <c:v>11.932</c:v>
                </c:pt>
                <c:pt idx="35">
                  <c:v>9.2230000000000008</c:v>
                </c:pt>
                <c:pt idx="36">
                  <c:v>11.077</c:v>
                </c:pt>
                <c:pt idx="37">
                  <c:v>10.391999999999999</c:v>
                </c:pt>
                <c:pt idx="38">
                  <c:v>12.321</c:v>
                </c:pt>
                <c:pt idx="39">
                  <c:v>11.413</c:v>
                </c:pt>
                <c:pt idx="40">
                  <c:v>11.228</c:v>
                </c:pt>
                <c:pt idx="41">
                  <c:v>11.488</c:v>
                </c:pt>
                <c:pt idx="42">
                  <c:v>11.262</c:v>
                </c:pt>
                <c:pt idx="43">
                  <c:v>10.465999999999999</c:v>
                </c:pt>
                <c:pt idx="44">
                  <c:v>12.548999999999999</c:v>
                </c:pt>
                <c:pt idx="45">
                  <c:v>10.74</c:v>
                </c:pt>
                <c:pt idx="46">
                  <c:v>11.436999999999999</c:v>
                </c:pt>
                <c:pt idx="47">
                  <c:v>10.103</c:v>
                </c:pt>
                <c:pt idx="48">
                  <c:v>10.013999999999999</c:v>
                </c:pt>
                <c:pt idx="49">
                  <c:v>11.73</c:v>
                </c:pt>
                <c:pt idx="50">
                  <c:v>9.7609999999999992</c:v>
                </c:pt>
                <c:pt idx="51">
                  <c:v>11.792999999999999</c:v>
                </c:pt>
                <c:pt idx="52">
                  <c:v>11.625</c:v>
                </c:pt>
                <c:pt idx="53">
                  <c:v>11.473000000000001</c:v>
                </c:pt>
                <c:pt idx="54">
                  <c:v>12.317</c:v>
                </c:pt>
                <c:pt idx="55">
                  <c:v>10.215999999999999</c:v>
                </c:pt>
                <c:pt idx="56">
                  <c:v>10.353</c:v>
                </c:pt>
                <c:pt idx="57">
                  <c:v>10.573</c:v>
                </c:pt>
                <c:pt idx="58">
                  <c:v>11.76</c:v>
                </c:pt>
                <c:pt idx="59">
                  <c:v>10.827</c:v>
                </c:pt>
                <c:pt idx="60">
                  <c:v>12.938000000000001</c:v>
                </c:pt>
                <c:pt idx="61">
                  <c:v>11.935</c:v>
                </c:pt>
                <c:pt idx="62">
                  <c:v>10.914999999999999</c:v>
                </c:pt>
                <c:pt idx="63">
                  <c:v>13.037000000000001</c:v>
                </c:pt>
                <c:pt idx="64">
                  <c:v>12.79</c:v>
                </c:pt>
                <c:pt idx="65">
                  <c:v>12.308999999999999</c:v>
                </c:pt>
                <c:pt idx="66">
                  <c:v>11.994</c:v>
                </c:pt>
                <c:pt idx="67">
                  <c:v>12.292999999999999</c:v>
                </c:pt>
                <c:pt idx="68">
                  <c:v>13.262</c:v>
                </c:pt>
                <c:pt idx="69">
                  <c:v>12.055999999999999</c:v>
                </c:pt>
                <c:pt idx="70">
                  <c:v>10.89</c:v>
                </c:pt>
                <c:pt idx="71">
                  <c:v>12.446999999999999</c:v>
                </c:pt>
                <c:pt idx="72">
                  <c:v>12.917999999999999</c:v>
                </c:pt>
                <c:pt idx="73">
                  <c:v>12.7</c:v>
                </c:pt>
                <c:pt idx="74">
                  <c:v>12.504</c:v>
                </c:pt>
                <c:pt idx="75">
                  <c:v>12.643000000000001</c:v>
                </c:pt>
                <c:pt idx="76">
                  <c:v>12.781000000000001</c:v>
                </c:pt>
                <c:pt idx="77">
                  <c:v>12.975</c:v>
                </c:pt>
                <c:pt idx="78">
                  <c:v>12.911</c:v>
                </c:pt>
                <c:pt idx="79">
                  <c:v>14.247</c:v>
                </c:pt>
              </c:numCache>
            </c:numRef>
          </c:xVal>
          <c:yVal>
            <c:numRef>
              <c:f>pierre!$D$63:$D$156</c:f>
              <c:numCache>
                <c:formatCode>General</c:formatCode>
                <c:ptCount val="94"/>
                <c:pt idx="0">
                  <c:v>9.9399996000000002</c:v>
                </c:pt>
                <c:pt idx="1">
                  <c:v>10.0200005</c:v>
                </c:pt>
                <c:pt idx="2">
                  <c:v>10</c:v>
                </c:pt>
                <c:pt idx="3">
                  <c:v>10.5</c:v>
                </c:pt>
                <c:pt idx="4">
                  <c:v>10.779999699999999</c:v>
                </c:pt>
                <c:pt idx="5">
                  <c:v>10.449999800000001</c:v>
                </c:pt>
                <c:pt idx="6">
                  <c:v>11.0200005</c:v>
                </c:pt>
                <c:pt idx="7">
                  <c:v>10.800000199999999</c:v>
                </c:pt>
                <c:pt idx="8">
                  <c:v>10.8800001</c:v>
                </c:pt>
                <c:pt idx="9">
                  <c:v>11.0600004</c:v>
                </c:pt>
                <c:pt idx="10">
                  <c:v>11.0900002</c:v>
                </c:pt>
                <c:pt idx="11">
                  <c:v>11.6199999</c:v>
                </c:pt>
                <c:pt idx="12">
                  <c:v>9.9600000000000009</c:v>
                </c:pt>
                <c:pt idx="13">
                  <c:v>9.5</c:v>
                </c:pt>
                <c:pt idx="14">
                  <c:v>9.9899997999999997</c:v>
                </c:pt>
                <c:pt idx="15">
                  <c:v>10.0100002</c:v>
                </c:pt>
                <c:pt idx="16">
                  <c:v>9.8299999000000007</c:v>
                </c:pt>
                <c:pt idx="17">
                  <c:v>9.5699997000000003</c:v>
                </c:pt>
                <c:pt idx="18">
                  <c:v>9.9200000999999993</c:v>
                </c:pt>
                <c:pt idx="19">
                  <c:v>11.670000099999999</c:v>
                </c:pt>
                <c:pt idx="20">
                  <c:v>11.5</c:v>
                </c:pt>
                <c:pt idx="21">
                  <c:v>11.3699999</c:v>
                </c:pt>
                <c:pt idx="22">
                  <c:v>11.5900002</c:v>
                </c:pt>
                <c:pt idx="23">
                  <c:v>9.8800001000000002</c:v>
                </c:pt>
                <c:pt idx="24">
                  <c:v>11.8400002</c:v>
                </c:pt>
                <c:pt idx="25">
                  <c:v>10</c:v>
                </c:pt>
                <c:pt idx="26">
                  <c:v>10.100000400000001</c:v>
                </c:pt>
                <c:pt idx="27">
                  <c:v>11.399999599999999</c:v>
                </c:pt>
                <c:pt idx="28">
                  <c:v>10.279999699999999</c:v>
                </c:pt>
                <c:pt idx="29">
                  <c:v>12.21</c:v>
                </c:pt>
                <c:pt idx="30">
                  <c:v>11.9399996</c:v>
                </c:pt>
                <c:pt idx="31">
                  <c:v>10.3699999</c:v>
                </c:pt>
                <c:pt idx="32">
                  <c:v>10.3800001</c:v>
                </c:pt>
                <c:pt idx="33">
                  <c:v>9.8800001000000002</c:v>
                </c:pt>
                <c:pt idx="34">
                  <c:v>12.079999900000001</c:v>
                </c:pt>
                <c:pt idx="35">
                  <c:v>9.0799999000000007</c:v>
                </c:pt>
                <c:pt idx="36">
                  <c:v>10.800000199999999</c:v>
                </c:pt>
                <c:pt idx="37">
                  <c:v>9.3599996999999995</c:v>
                </c:pt>
                <c:pt idx="38">
                  <c:v>12.449999800000001</c:v>
                </c:pt>
                <c:pt idx="39">
                  <c:v>10.920000099999999</c:v>
                </c:pt>
                <c:pt idx="40">
                  <c:v>10.949999800000001</c:v>
                </c:pt>
                <c:pt idx="41">
                  <c:v>10.9899998</c:v>
                </c:pt>
                <c:pt idx="42">
                  <c:v>11</c:v>
                </c:pt>
                <c:pt idx="43">
                  <c:v>9.9700003000000006</c:v>
                </c:pt>
                <c:pt idx="44">
                  <c:v>12.899999599999999</c:v>
                </c:pt>
                <c:pt idx="45">
                  <c:v>10.529999699999999</c:v>
                </c:pt>
                <c:pt idx="46">
                  <c:v>11.0600004</c:v>
                </c:pt>
                <c:pt idx="47">
                  <c:v>9.1000004000000008</c:v>
                </c:pt>
                <c:pt idx="48">
                  <c:v>8.9700003000000006</c:v>
                </c:pt>
                <c:pt idx="49">
                  <c:v>11.1199999</c:v>
                </c:pt>
                <c:pt idx="50">
                  <c:v>9.2299994999999999</c:v>
                </c:pt>
                <c:pt idx="51">
                  <c:v>11.2299995</c:v>
                </c:pt>
                <c:pt idx="52">
                  <c:v>11.2299995</c:v>
                </c:pt>
                <c:pt idx="53">
                  <c:v>11.2399998</c:v>
                </c:pt>
                <c:pt idx="54">
                  <c:v>12.5600004</c:v>
                </c:pt>
                <c:pt idx="55">
                  <c:v>10.0699997</c:v>
                </c:pt>
                <c:pt idx="56">
                  <c:v>9.9399996000000002</c:v>
                </c:pt>
                <c:pt idx="57">
                  <c:v>10.2399998</c:v>
                </c:pt>
                <c:pt idx="58">
                  <c:v>11.420000099999999</c:v>
                </c:pt>
                <c:pt idx="59">
                  <c:v>10.5</c:v>
                </c:pt>
                <c:pt idx="60">
                  <c:v>13.140000300000001</c:v>
                </c:pt>
                <c:pt idx="61">
                  <c:v>11.699999800000001</c:v>
                </c:pt>
                <c:pt idx="62">
                  <c:v>10.3800001</c:v>
                </c:pt>
                <c:pt idx="63">
                  <c:v>13.350000400000001</c:v>
                </c:pt>
                <c:pt idx="64">
                  <c:v>12.6599998</c:v>
                </c:pt>
                <c:pt idx="65">
                  <c:v>11.9899998</c:v>
                </c:pt>
                <c:pt idx="66">
                  <c:v>12</c:v>
                </c:pt>
                <c:pt idx="67">
                  <c:v>12</c:v>
                </c:pt>
                <c:pt idx="68">
                  <c:v>13.1599998</c:v>
                </c:pt>
                <c:pt idx="69">
                  <c:v>12.170000099999999</c:v>
                </c:pt>
                <c:pt idx="70">
                  <c:v>10.970000300000001</c:v>
                </c:pt>
                <c:pt idx="71">
                  <c:v>12.2600002</c:v>
                </c:pt>
                <c:pt idx="72">
                  <c:v>13.029999699999999</c:v>
                </c:pt>
                <c:pt idx="73">
                  <c:v>12.359999699999999</c:v>
                </c:pt>
                <c:pt idx="74">
                  <c:v>12.399999599999999</c:v>
                </c:pt>
                <c:pt idx="75">
                  <c:v>12.5</c:v>
                </c:pt>
                <c:pt idx="76">
                  <c:v>12.600000400000001</c:v>
                </c:pt>
                <c:pt idx="77">
                  <c:v>12.670000099999999</c:v>
                </c:pt>
                <c:pt idx="78">
                  <c:v>12.699999800000001</c:v>
                </c:pt>
                <c:pt idx="79">
                  <c:v>14.4300003</c:v>
                </c:pt>
              </c:numCache>
            </c:numRef>
          </c:yVal>
          <c:smooth val="0"/>
          <c:extLst>
            <c:ext xmlns:c15="http://schemas.microsoft.com/office/drawing/2012/chart" uri="{02D57815-91ED-43cb-92C2-25804820EDAC}">
              <c15:datalabelsRange>
                <c15:f>pierre!$B$63:$B$142</c15:f>
                <c15:dlblRangeCache>
                  <c:ptCount val="8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15:dlblRangeCache>
              </c15:datalabelsRange>
            </c:ext>
            <c:ext xmlns:c16="http://schemas.microsoft.com/office/drawing/2014/chart" uri="{C3380CC4-5D6E-409C-BE32-E72D297353CC}">
              <c16:uniqueId val="{00000060-7835-416F-B0D3-EAAF2EFECDB3}"/>
            </c:ext>
          </c:extLst>
        </c:ser>
        <c:ser>
          <c:idx val="1"/>
          <c:order val="1"/>
          <c:tx>
            <c:v>45°</c:v>
          </c:tx>
          <c:spPr>
            <a:ln w="25400">
              <a:solidFill>
                <a:srgbClr val="FF0000"/>
              </a:solidFill>
              <a:prstDash val="solid"/>
            </a:ln>
          </c:spPr>
          <c:marker>
            <c:symbol val="none"/>
          </c:marker>
          <c:xVal>
            <c:numRef>
              <c:f>pierre!$E$10:$E$11</c:f>
              <c:numCache>
                <c:formatCode>0.00</c:formatCode>
                <c:ptCount val="2"/>
                <c:pt idx="0">
                  <c:v>8</c:v>
                </c:pt>
                <c:pt idx="1">
                  <c:v>16</c:v>
                </c:pt>
              </c:numCache>
            </c:numRef>
          </c:xVal>
          <c:yVal>
            <c:numRef>
              <c:f>pierre!$E$10:$E$11</c:f>
              <c:numCache>
                <c:formatCode>0.00</c:formatCode>
                <c:ptCount val="2"/>
                <c:pt idx="0">
                  <c:v>8</c:v>
                </c:pt>
                <c:pt idx="1">
                  <c:v>16</c:v>
                </c:pt>
              </c:numCache>
            </c:numRef>
          </c:yVal>
          <c:smooth val="0"/>
          <c:extLst>
            <c:ext xmlns:c16="http://schemas.microsoft.com/office/drawing/2014/chart" uri="{C3380CC4-5D6E-409C-BE32-E72D297353CC}">
              <c16:uniqueId val="{00000061-7835-416F-B0D3-EAAF2EFECDB3}"/>
            </c:ext>
          </c:extLst>
        </c:ser>
        <c:ser>
          <c:idx val="2"/>
          <c:order val="2"/>
          <c:tx>
            <c:v>45°-Bias</c:v>
          </c:tx>
          <c:spPr>
            <a:ln w="38100">
              <a:solidFill>
                <a:srgbClr val="0000FF"/>
              </a:solidFill>
              <a:prstDash val="lgDashDotDot"/>
            </a:ln>
          </c:spPr>
          <c:marker>
            <c:symbol val="none"/>
          </c:marker>
          <c:xVal>
            <c:numRef>
              <c:f>pierre!$W$10:$W$11</c:f>
              <c:numCache>
                <c:formatCode>0.00</c:formatCode>
                <c:ptCount val="2"/>
                <c:pt idx="0">
                  <c:v>8.2845750199999966</c:v>
                </c:pt>
                <c:pt idx="1">
                  <c:v>16.284575019999998</c:v>
                </c:pt>
              </c:numCache>
            </c:numRef>
          </c:xVal>
          <c:yVal>
            <c:numRef>
              <c:f>pierre!$E$10:$E$11</c:f>
              <c:numCache>
                <c:formatCode>0.00</c:formatCode>
                <c:ptCount val="2"/>
                <c:pt idx="0">
                  <c:v>8</c:v>
                </c:pt>
                <c:pt idx="1">
                  <c:v>16</c:v>
                </c:pt>
              </c:numCache>
            </c:numRef>
          </c:yVal>
          <c:smooth val="0"/>
          <c:extLst>
            <c:ext xmlns:c16="http://schemas.microsoft.com/office/drawing/2014/chart" uri="{C3380CC4-5D6E-409C-BE32-E72D297353CC}">
              <c16:uniqueId val="{00000062-7835-416F-B0D3-EAAF2EFECDB3}"/>
            </c:ext>
          </c:extLst>
        </c:ser>
        <c:ser>
          <c:idx val="3"/>
          <c:order val="3"/>
          <c:tx>
            <c:v>Least Rec </c:v>
          </c:tx>
          <c:spPr>
            <a:ln w="25400">
              <a:solidFill>
                <a:srgbClr val="FF9900"/>
              </a:solidFill>
              <a:prstDash val="sysDash"/>
            </a:ln>
          </c:spPr>
          <c:marker>
            <c:symbol val="none"/>
          </c:marker>
          <c:xVal>
            <c:numRef>
              <c:f>pierre!$Y$19:$Y$20</c:f>
              <c:numCache>
                <c:formatCode>General</c:formatCode>
                <c:ptCount val="2"/>
                <c:pt idx="0">
                  <c:v>8</c:v>
                </c:pt>
                <c:pt idx="1">
                  <c:v>16</c:v>
                </c:pt>
              </c:numCache>
            </c:numRef>
          </c:xVal>
          <c:yVal>
            <c:numRef>
              <c:f>pierre!$X$19:$X$20</c:f>
              <c:numCache>
                <c:formatCode>0.000</c:formatCode>
                <c:ptCount val="2"/>
                <c:pt idx="0">
                  <c:v>7.0251005663253068</c:v>
                </c:pt>
                <c:pt idx="1">
                  <c:v>16.65222881463967</c:v>
                </c:pt>
              </c:numCache>
            </c:numRef>
          </c:yVal>
          <c:smooth val="0"/>
          <c:extLst>
            <c:ext xmlns:c16="http://schemas.microsoft.com/office/drawing/2014/chart" uri="{C3380CC4-5D6E-409C-BE32-E72D297353CC}">
              <c16:uniqueId val="{00000063-7835-416F-B0D3-EAAF2EFECDB3}"/>
            </c:ext>
          </c:extLst>
        </c:ser>
        <c:dLbls>
          <c:showLegendKey val="0"/>
          <c:showVal val="0"/>
          <c:showCatName val="0"/>
          <c:showSerName val="0"/>
          <c:showPercent val="0"/>
          <c:showBubbleSize val="0"/>
        </c:dLbls>
        <c:axId val="159636864"/>
        <c:axId val="201328128"/>
      </c:scatterChart>
      <c:valAx>
        <c:axId val="159636864"/>
        <c:scaling>
          <c:orientation val="minMax"/>
          <c:max val="18"/>
          <c:min val="5"/>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775" b="0" i="0" u="none" strike="noStrike" baseline="0">
                <a:solidFill>
                  <a:srgbClr val="000000"/>
                </a:solidFill>
                <a:latin typeface="Arial"/>
                <a:ea typeface="Arial"/>
                <a:cs typeface="Arial"/>
              </a:defRPr>
            </a:pPr>
            <a:endParaRPr lang="fr-FR"/>
          </a:p>
        </c:txPr>
        <c:crossAx val="201328128"/>
        <c:crosses val="autoZero"/>
        <c:crossBetween val="midCat"/>
      </c:valAx>
      <c:valAx>
        <c:axId val="201328128"/>
        <c:scaling>
          <c:orientation val="minMax"/>
          <c:max val="16"/>
          <c:min val="8"/>
        </c:scaling>
        <c:delete val="0"/>
        <c:axPos val="l"/>
        <c:numFmt formatCode="General" sourceLinked="1"/>
        <c:majorTickMark val="out"/>
        <c:minorTickMark val="none"/>
        <c:tickLblPos val="nextTo"/>
        <c:spPr>
          <a:ln w="3175">
            <a:solidFill>
              <a:srgbClr val="000000"/>
            </a:solidFill>
            <a:prstDash val="solid"/>
          </a:ln>
        </c:spPr>
        <c:txPr>
          <a:bodyPr rot="0" vert="horz"/>
          <a:lstStyle/>
          <a:p>
            <a:pPr>
              <a:defRPr sz="1775" b="0" i="0" u="none" strike="noStrike" baseline="0">
                <a:solidFill>
                  <a:srgbClr val="000000"/>
                </a:solidFill>
                <a:latin typeface="Arial"/>
                <a:ea typeface="Arial"/>
                <a:cs typeface="Arial"/>
              </a:defRPr>
            </a:pPr>
            <a:endParaRPr lang="fr-FR"/>
          </a:p>
        </c:txPr>
        <c:crossAx val="159636864"/>
        <c:crosses val="autoZero"/>
        <c:crossBetween val="midCat"/>
      </c:valAx>
      <c:spPr>
        <a:noFill/>
        <a:ln w="12700">
          <a:solidFill>
            <a:srgbClr val="808080"/>
          </a:solidFill>
          <a:prstDash val="solid"/>
        </a:ln>
      </c:spPr>
    </c:plotArea>
    <c:legend>
      <c:legendPos val="r"/>
      <c:legendEntry>
        <c:idx val="5"/>
        <c:delete val="1"/>
      </c:legendEntry>
      <c:layout>
        <c:manualLayout>
          <c:xMode val="edge"/>
          <c:yMode val="edge"/>
          <c:x val="0.79767434134024384"/>
          <c:y val="0.33862478127734036"/>
          <c:w val="0.15397255752001976"/>
          <c:h val="0.2372110830586843"/>
        </c:manualLayout>
      </c:layout>
      <c:overlay val="0"/>
      <c:spPr>
        <a:solidFill>
          <a:srgbClr val="FFFFFF"/>
        </a:solidFill>
        <a:ln w="3175">
          <a:solidFill>
            <a:srgbClr val="000000"/>
          </a:solidFill>
          <a:prstDash val="solid"/>
        </a:ln>
      </c:spPr>
      <c:txPr>
        <a:bodyPr/>
        <a:lstStyle/>
        <a:p>
          <a:pPr>
            <a:defRPr sz="1350" b="1" i="0" u="none" strike="noStrike" baseline="0">
              <a:solidFill>
                <a:srgbClr val="000000"/>
              </a:solidFill>
              <a:latin typeface="Arial"/>
              <a:ea typeface="Arial"/>
              <a:cs typeface="Arial"/>
            </a:defRPr>
          </a:pPr>
          <a:endParaRPr lang="fr-FR"/>
        </a:p>
      </c:txPr>
    </c:legend>
    <c:plotVisOnly val="1"/>
    <c:dispBlanksAs val="gap"/>
    <c:showDLblsOverMax val="0"/>
  </c:chart>
  <c:spPr>
    <a:solidFill>
      <a:srgbClr val="FFFFFF"/>
    </a:solidFill>
    <a:ln w="25400">
      <a:solidFill>
        <a:srgbClr val="000000"/>
      </a:solidFill>
      <a:prstDash val="solid"/>
    </a:ln>
  </c:spPr>
  <c:txPr>
    <a:bodyPr/>
    <a:lstStyle/>
    <a:p>
      <a:pPr>
        <a:defRPr sz="1775" b="0" i="0" u="none" strike="noStrike" baseline="0">
          <a:solidFill>
            <a:srgbClr val="000000"/>
          </a:solidFill>
          <a:latin typeface="Arial"/>
          <a:ea typeface="Arial"/>
          <a:cs typeface="Arial"/>
        </a:defRPr>
      </a:pPr>
      <a:endParaRPr lang="fr-FR"/>
    </a:p>
  </c:txPr>
  <c:printSettings>
    <c:headerFooter alignWithMargins="0"/>
    <c:pageMargins b="1" l="0.75000000000000377" r="0.75000000000000377" t="1" header="0.5" footer="0.5"/>
    <c:pageSetup paperSize="9" orientation="landscape"/>
  </c:printSettings>
  <c:userShapes r:id="rId1"/>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400" baseline="0"/>
              <a:t>Residuals vs References</a:t>
            </a:r>
          </a:p>
        </c:rich>
      </c:tx>
      <c:layout>
        <c:manualLayout>
          <c:xMode val="edge"/>
          <c:yMode val="edge"/>
          <c:x val="0.56681818181818189"/>
          <c:y val="3.53109202638453E-3"/>
        </c:manualLayout>
      </c:layout>
      <c:overlay val="1"/>
    </c:title>
    <c:autoTitleDeleted val="0"/>
    <c:plotArea>
      <c:layout/>
      <c:scatterChart>
        <c:scatterStyle val="lineMarker"/>
        <c:varyColors val="0"/>
        <c:ser>
          <c:idx val="0"/>
          <c:order val="0"/>
          <c:spPr>
            <a:ln>
              <a:noFill/>
            </a:ln>
          </c:spPr>
          <c:trendline>
            <c:trendlineType val="linear"/>
            <c:dispRSqr val="0"/>
            <c:dispEq val="1"/>
            <c:trendlineLbl>
              <c:layout>
                <c:manualLayout>
                  <c:x val="5.4747515059074582E-2"/>
                  <c:y val="0.43633237847491585"/>
                </c:manualLayout>
              </c:layout>
              <c:numFmt formatCode="General" sourceLinked="0"/>
            </c:trendlineLbl>
          </c:trendline>
          <c:xVal>
            <c:numRef>
              <c:f>pierre!$D$63:$D$156</c:f>
              <c:numCache>
                <c:formatCode>General</c:formatCode>
                <c:ptCount val="94"/>
                <c:pt idx="0">
                  <c:v>9.9399996000000002</c:v>
                </c:pt>
                <c:pt idx="1">
                  <c:v>10.0200005</c:v>
                </c:pt>
                <c:pt idx="2">
                  <c:v>10</c:v>
                </c:pt>
                <c:pt idx="3">
                  <c:v>10.5</c:v>
                </c:pt>
                <c:pt idx="4">
                  <c:v>10.779999699999999</c:v>
                </c:pt>
                <c:pt idx="5">
                  <c:v>10.449999800000001</c:v>
                </c:pt>
                <c:pt idx="6">
                  <c:v>11.0200005</c:v>
                </c:pt>
                <c:pt idx="7">
                  <c:v>10.800000199999999</c:v>
                </c:pt>
                <c:pt idx="8">
                  <c:v>10.8800001</c:v>
                </c:pt>
                <c:pt idx="9">
                  <c:v>11.0600004</c:v>
                </c:pt>
                <c:pt idx="10">
                  <c:v>11.0900002</c:v>
                </c:pt>
                <c:pt idx="11">
                  <c:v>11.6199999</c:v>
                </c:pt>
                <c:pt idx="12">
                  <c:v>9.9600000000000009</c:v>
                </c:pt>
                <c:pt idx="13">
                  <c:v>9.5</c:v>
                </c:pt>
                <c:pt idx="14">
                  <c:v>9.9899997999999997</c:v>
                </c:pt>
                <c:pt idx="15">
                  <c:v>10.0100002</c:v>
                </c:pt>
                <c:pt idx="16">
                  <c:v>9.8299999000000007</c:v>
                </c:pt>
                <c:pt idx="17">
                  <c:v>9.5699997000000003</c:v>
                </c:pt>
                <c:pt idx="18">
                  <c:v>9.9200000999999993</c:v>
                </c:pt>
                <c:pt idx="19">
                  <c:v>11.670000099999999</c:v>
                </c:pt>
                <c:pt idx="20">
                  <c:v>11.5</c:v>
                </c:pt>
                <c:pt idx="21">
                  <c:v>11.3699999</c:v>
                </c:pt>
                <c:pt idx="22">
                  <c:v>11.5900002</c:v>
                </c:pt>
                <c:pt idx="23">
                  <c:v>9.8800001000000002</c:v>
                </c:pt>
                <c:pt idx="24">
                  <c:v>11.8400002</c:v>
                </c:pt>
                <c:pt idx="25">
                  <c:v>10</c:v>
                </c:pt>
                <c:pt idx="26">
                  <c:v>10.100000400000001</c:v>
                </c:pt>
                <c:pt idx="27">
                  <c:v>11.399999599999999</c:v>
                </c:pt>
                <c:pt idx="28">
                  <c:v>10.279999699999999</c:v>
                </c:pt>
                <c:pt idx="29">
                  <c:v>12.21</c:v>
                </c:pt>
                <c:pt idx="30">
                  <c:v>11.9399996</c:v>
                </c:pt>
                <c:pt idx="31">
                  <c:v>10.3699999</c:v>
                </c:pt>
                <c:pt idx="32">
                  <c:v>10.3800001</c:v>
                </c:pt>
                <c:pt idx="33">
                  <c:v>9.8800001000000002</c:v>
                </c:pt>
                <c:pt idx="34">
                  <c:v>12.079999900000001</c:v>
                </c:pt>
                <c:pt idx="35">
                  <c:v>9.0799999000000007</c:v>
                </c:pt>
                <c:pt idx="36">
                  <c:v>10.800000199999999</c:v>
                </c:pt>
                <c:pt idx="37">
                  <c:v>9.3599996999999995</c:v>
                </c:pt>
                <c:pt idx="38">
                  <c:v>12.449999800000001</c:v>
                </c:pt>
                <c:pt idx="39">
                  <c:v>10.920000099999999</c:v>
                </c:pt>
                <c:pt idx="40">
                  <c:v>10.949999800000001</c:v>
                </c:pt>
                <c:pt idx="41">
                  <c:v>10.9899998</c:v>
                </c:pt>
                <c:pt idx="42">
                  <c:v>11</c:v>
                </c:pt>
                <c:pt idx="43">
                  <c:v>9.9700003000000006</c:v>
                </c:pt>
                <c:pt idx="44">
                  <c:v>12.899999599999999</c:v>
                </c:pt>
                <c:pt idx="45">
                  <c:v>10.529999699999999</c:v>
                </c:pt>
                <c:pt idx="46">
                  <c:v>11.0600004</c:v>
                </c:pt>
                <c:pt idx="47">
                  <c:v>9.1000004000000008</c:v>
                </c:pt>
                <c:pt idx="48">
                  <c:v>8.9700003000000006</c:v>
                </c:pt>
                <c:pt idx="49">
                  <c:v>11.1199999</c:v>
                </c:pt>
                <c:pt idx="50">
                  <c:v>9.2299994999999999</c:v>
                </c:pt>
                <c:pt idx="51">
                  <c:v>11.2299995</c:v>
                </c:pt>
                <c:pt idx="52">
                  <c:v>11.2299995</c:v>
                </c:pt>
                <c:pt idx="53">
                  <c:v>11.2399998</c:v>
                </c:pt>
                <c:pt idx="54">
                  <c:v>12.5600004</c:v>
                </c:pt>
                <c:pt idx="55">
                  <c:v>10.0699997</c:v>
                </c:pt>
                <c:pt idx="56">
                  <c:v>9.9399996000000002</c:v>
                </c:pt>
                <c:pt idx="57">
                  <c:v>10.2399998</c:v>
                </c:pt>
                <c:pt idx="58">
                  <c:v>11.420000099999999</c:v>
                </c:pt>
                <c:pt idx="59">
                  <c:v>10.5</c:v>
                </c:pt>
                <c:pt idx="60">
                  <c:v>13.140000300000001</c:v>
                </c:pt>
                <c:pt idx="61">
                  <c:v>11.699999800000001</c:v>
                </c:pt>
                <c:pt idx="62">
                  <c:v>10.3800001</c:v>
                </c:pt>
                <c:pt idx="63">
                  <c:v>13.350000400000001</c:v>
                </c:pt>
                <c:pt idx="64">
                  <c:v>12.6599998</c:v>
                </c:pt>
                <c:pt idx="65">
                  <c:v>11.9899998</c:v>
                </c:pt>
                <c:pt idx="66">
                  <c:v>12</c:v>
                </c:pt>
                <c:pt idx="67">
                  <c:v>12</c:v>
                </c:pt>
                <c:pt idx="68">
                  <c:v>13.1599998</c:v>
                </c:pt>
                <c:pt idx="69">
                  <c:v>12.170000099999999</c:v>
                </c:pt>
                <c:pt idx="70">
                  <c:v>10.970000300000001</c:v>
                </c:pt>
                <c:pt idx="71">
                  <c:v>12.2600002</c:v>
                </c:pt>
                <c:pt idx="72">
                  <c:v>13.029999699999999</c:v>
                </c:pt>
                <c:pt idx="73">
                  <c:v>12.359999699999999</c:v>
                </c:pt>
                <c:pt idx="74">
                  <c:v>12.399999599999999</c:v>
                </c:pt>
                <c:pt idx="75">
                  <c:v>12.5</c:v>
                </c:pt>
                <c:pt idx="76">
                  <c:v>12.600000400000001</c:v>
                </c:pt>
                <c:pt idx="77">
                  <c:v>12.670000099999999</c:v>
                </c:pt>
                <c:pt idx="78">
                  <c:v>12.699999800000001</c:v>
                </c:pt>
                <c:pt idx="79">
                  <c:v>14.4300003</c:v>
                </c:pt>
              </c:numCache>
            </c:numRef>
          </c:xVal>
          <c:yVal>
            <c:numRef>
              <c:f>pierre!$G$63:$G$156</c:f>
              <c:numCache>
                <c:formatCode>0.00</c:formatCode>
                <c:ptCount val="94"/>
                <c:pt idx="0">
                  <c:v>0.43000039999999906</c:v>
                </c:pt>
                <c:pt idx="1">
                  <c:v>0.76199949999999994</c:v>
                </c:pt>
                <c:pt idx="2">
                  <c:v>0.4789999999999992</c:v>
                </c:pt>
                <c:pt idx="3">
                  <c:v>0.49900000000000055</c:v>
                </c:pt>
                <c:pt idx="4">
                  <c:v>-0.10799969999999881</c:v>
                </c:pt>
                <c:pt idx="5">
                  <c:v>0.38900019999999991</c:v>
                </c:pt>
                <c:pt idx="6">
                  <c:v>-0.60800049999999928</c:v>
                </c:pt>
                <c:pt idx="7">
                  <c:v>0.12499980000000122</c:v>
                </c:pt>
                <c:pt idx="8">
                  <c:v>-2.5000099999999748E-2</c:v>
                </c:pt>
                <c:pt idx="9">
                  <c:v>0.31999960000000094</c:v>
                </c:pt>
                <c:pt idx="10">
                  <c:v>3.4999799999999581E-2</c:v>
                </c:pt>
                <c:pt idx="11">
                  <c:v>-0.10999990000000004</c:v>
                </c:pt>
                <c:pt idx="12">
                  <c:v>0.64799999999999969</c:v>
                </c:pt>
                <c:pt idx="13">
                  <c:v>1.2140000000000004</c:v>
                </c:pt>
                <c:pt idx="14">
                  <c:v>0.77300020000000025</c:v>
                </c:pt>
                <c:pt idx="15">
                  <c:v>0.74599979999999988</c:v>
                </c:pt>
                <c:pt idx="16">
                  <c:v>0.9120001000000002</c:v>
                </c:pt>
                <c:pt idx="17">
                  <c:v>0.23200029999999927</c:v>
                </c:pt>
                <c:pt idx="18">
                  <c:v>1.1289999000000002</c:v>
                </c:pt>
                <c:pt idx="19">
                  <c:v>-0.1750001000000001</c:v>
                </c:pt>
                <c:pt idx="20">
                  <c:v>0.23199999999999932</c:v>
                </c:pt>
                <c:pt idx="21">
                  <c:v>0.76700010000000063</c:v>
                </c:pt>
                <c:pt idx="22">
                  <c:v>-0.29500020000000049</c:v>
                </c:pt>
                <c:pt idx="23">
                  <c:v>0.49499989999999983</c:v>
                </c:pt>
                <c:pt idx="24">
                  <c:v>0.3399997999999993</c:v>
                </c:pt>
                <c:pt idx="25">
                  <c:v>0.20800000000000018</c:v>
                </c:pt>
                <c:pt idx="26">
                  <c:v>0.18899959999999894</c:v>
                </c:pt>
                <c:pt idx="27">
                  <c:v>0.4190004000000016</c:v>
                </c:pt>
                <c:pt idx="28">
                  <c:v>0.29300030000000099</c:v>
                </c:pt>
                <c:pt idx="29">
                  <c:v>-0.33800000000000097</c:v>
                </c:pt>
                <c:pt idx="30">
                  <c:v>0.11700040000000023</c:v>
                </c:pt>
                <c:pt idx="31">
                  <c:v>0.62100009999999983</c:v>
                </c:pt>
                <c:pt idx="32">
                  <c:v>0.18199989999999922</c:v>
                </c:pt>
                <c:pt idx="33">
                  <c:v>0.6609999000000002</c:v>
                </c:pt>
                <c:pt idx="34">
                  <c:v>-0.1479999000000003</c:v>
                </c:pt>
                <c:pt idx="35">
                  <c:v>0.14300010000000007</c:v>
                </c:pt>
                <c:pt idx="36">
                  <c:v>0.27699980000000046</c:v>
                </c:pt>
                <c:pt idx="37">
                  <c:v>1.0320003</c:v>
                </c:pt>
                <c:pt idx="38">
                  <c:v>-0.12899980000000077</c:v>
                </c:pt>
                <c:pt idx="39">
                  <c:v>0.49299990000000093</c:v>
                </c:pt>
                <c:pt idx="40">
                  <c:v>0.27800019999999925</c:v>
                </c:pt>
                <c:pt idx="41">
                  <c:v>0.49800019999999989</c:v>
                </c:pt>
                <c:pt idx="42">
                  <c:v>0.26200000000000045</c:v>
                </c:pt>
                <c:pt idx="43">
                  <c:v>0.49599969999999871</c:v>
                </c:pt>
                <c:pt idx="44">
                  <c:v>-0.35099959999999975</c:v>
                </c:pt>
                <c:pt idx="45">
                  <c:v>0.21000030000000081</c:v>
                </c:pt>
                <c:pt idx="46">
                  <c:v>0.37699959999999955</c:v>
                </c:pt>
                <c:pt idx="47">
                  <c:v>1.002999599999999</c:v>
                </c:pt>
                <c:pt idx="48">
                  <c:v>1.0439996999999988</c:v>
                </c:pt>
                <c:pt idx="49">
                  <c:v>0.6100001000000006</c:v>
                </c:pt>
                <c:pt idx="50">
                  <c:v>0.53100049999999932</c:v>
                </c:pt>
                <c:pt idx="51">
                  <c:v>0.56300049999999935</c:v>
                </c:pt>
                <c:pt idx="52">
                  <c:v>0.39500050000000009</c:v>
                </c:pt>
                <c:pt idx="53">
                  <c:v>0.2330002000000011</c:v>
                </c:pt>
                <c:pt idx="54">
                  <c:v>-0.24300039999999967</c:v>
                </c:pt>
                <c:pt idx="55">
                  <c:v>0.14600029999999897</c:v>
                </c:pt>
                <c:pt idx="56">
                  <c:v>0.4130003999999996</c:v>
                </c:pt>
                <c:pt idx="57">
                  <c:v>0.33300020000000075</c:v>
                </c:pt>
                <c:pt idx="58">
                  <c:v>0.33999990000000047</c:v>
                </c:pt>
                <c:pt idx="59">
                  <c:v>0.32699999999999996</c:v>
                </c:pt>
                <c:pt idx="60">
                  <c:v>-0.20200029999999991</c:v>
                </c:pt>
                <c:pt idx="61">
                  <c:v>0.23500019999999999</c:v>
                </c:pt>
                <c:pt idx="62">
                  <c:v>0.53499989999999897</c:v>
                </c:pt>
                <c:pt idx="63">
                  <c:v>-0.31300039999999996</c:v>
                </c:pt>
                <c:pt idx="64">
                  <c:v>0.13000019999999957</c:v>
                </c:pt>
                <c:pt idx="65">
                  <c:v>0.31900019999999962</c:v>
                </c:pt>
                <c:pt idx="66">
                  <c:v>-6.0000000000002274E-3</c:v>
                </c:pt>
                <c:pt idx="67">
                  <c:v>0.29299999999999926</c:v>
                </c:pt>
                <c:pt idx="68">
                  <c:v>0.10200020000000087</c:v>
                </c:pt>
                <c:pt idx="69">
                  <c:v>-0.11400010000000016</c:v>
                </c:pt>
                <c:pt idx="70">
                  <c:v>-8.0000300000000024E-2</c:v>
                </c:pt>
                <c:pt idx="71">
                  <c:v>0.18699979999999883</c:v>
                </c:pt>
                <c:pt idx="72">
                  <c:v>-0.11199970000000015</c:v>
                </c:pt>
                <c:pt idx="73">
                  <c:v>0.34000029999999981</c:v>
                </c:pt>
                <c:pt idx="74">
                  <c:v>0.10400040000000033</c:v>
                </c:pt>
                <c:pt idx="75">
                  <c:v>0.14300000000000068</c:v>
                </c:pt>
                <c:pt idx="76">
                  <c:v>0.18099959999999982</c:v>
                </c:pt>
                <c:pt idx="77">
                  <c:v>0.30499990000000032</c:v>
                </c:pt>
                <c:pt idx="78">
                  <c:v>0.21100019999999908</c:v>
                </c:pt>
                <c:pt idx="79">
                  <c:v>-0.18300029999999978</c:v>
                </c:pt>
              </c:numCache>
            </c:numRef>
          </c:yVal>
          <c:smooth val="0"/>
          <c:extLst>
            <c:ext xmlns:c16="http://schemas.microsoft.com/office/drawing/2014/chart" uri="{C3380CC4-5D6E-409C-BE32-E72D297353CC}">
              <c16:uniqueId val="{00000001-5B8C-4F96-A8D6-8B7064DB950C}"/>
            </c:ext>
          </c:extLst>
        </c:ser>
        <c:dLbls>
          <c:showLegendKey val="0"/>
          <c:showVal val="0"/>
          <c:showCatName val="0"/>
          <c:showSerName val="0"/>
          <c:showPercent val="0"/>
          <c:showBubbleSize val="0"/>
        </c:dLbls>
        <c:axId val="244482048"/>
        <c:axId val="244483968"/>
      </c:scatterChart>
      <c:valAx>
        <c:axId val="244482048"/>
        <c:scaling>
          <c:orientation val="minMax"/>
        </c:scaling>
        <c:delete val="0"/>
        <c:axPos val="b"/>
        <c:title>
          <c:tx>
            <c:rich>
              <a:bodyPr/>
              <a:lstStyle/>
              <a:p>
                <a:pPr>
                  <a:defRPr/>
                </a:pPr>
                <a:r>
                  <a:rPr lang="en-US"/>
                  <a:t>REFERENCE VALUES</a:t>
                </a:r>
              </a:p>
            </c:rich>
          </c:tx>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244483968"/>
        <c:crosses val="autoZero"/>
        <c:crossBetween val="midCat"/>
      </c:valAx>
      <c:valAx>
        <c:axId val="244483968"/>
        <c:scaling>
          <c:orientation val="minMax"/>
        </c:scaling>
        <c:delete val="0"/>
        <c:axPos val="l"/>
        <c:majorGridlines/>
        <c:numFmt formatCode="0.00" sourceLinked="1"/>
        <c:majorTickMark val="out"/>
        <c:minorTickMark val="none"/>
        <c:tickLblPos val="nextTo"/>
        <c:crossAx val="244482048"/>
        <c:crosses val="autoZero"/>
        <c:crossBetween val="midCat"/>
      </c:valAx>
    </c:plotArea>
    <c:plotVisOnly val="1"/>
    <c:dispBlanksAs val="gap"/>
    <c:showDLblsOverMax val="0"/>
  </c:chart>
  <c:printSettings>
    <c:headerFooter/>
    <c:pageMargins b="0.750000000000004" l="0.70000000000000062" r="0.70000000000000062" t="0.750000000000004" header="0.30000000000000032" footer="0.30000000000000032"/>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400" baseline="0"/>
              <a:t>Residuals vs predicted</a:t>
            </a:r>
          </a:p>
        </c:rich>
      </c:tx>
      <c:layout>
        <c:manualLayout>
          <c:xMode val="edge"/>
          <c:yMode val="edge"/>
          <c:x val="0.59043500709952246"/>
          <c:y val="0"/>
        </c:manualLayout>
      </c:layout>
      <c:overlay val="1"/>
    </c:title>
    <c:autoTitleDeleted val="0"/>
    <c:plotArea>
      <c:layout/>
      <c:scatterChart>
        <c:scatterStyle val="lineMarker"/>
        <c:varyColors val="0"/>
        <c:ser>
          <c:idx val="0"/>
          <c:order val="0"/>
          <c:spPr>
            <a:ln>
              <a:noFill/>
            </a:ln>
          </c:spPr>
          <c:trendline>
            <c:trendlineType val="linear"/>
            <c:dispRSqr val="0"/>
            <c:dispEq val="1"/>
            <c:trendlineLbl>
              <c:layout>
                <c:manualLayout>
                  <c:x val="8.6646154745701892E-3"/>
                  <c:y val="0.32626926854701888"/>
                </c:manualLayout>
              </c:layout>
              <c:numFmt formatCode="General" sourceLinked="0"/>
            </c:trendlineLbl>
          </c:trendline>
          <c:xVal>
            <c:numRef>
              <c:f>pierre!$F$63:$F$156</c:f>
              <c:numCache>
                <c:formatCode>General</c:formatCode>
                <c:ptCount val="94"/>
                <c:pt idx="0">
                  <c:v>10.37</c:v>
                </c:pt>
                <c:pt idx="1">
                  <c:v>10.782</c:v>
                </c:pt>
                <c:pt idx="2">
                  <c:v>10.478999999999999</c:v>
                </c:pt>
                <c:pt idx="3">
                  <c:v>10.999000000000001</c:v>
                </c:pt>
                <c:pt idx="4">
                  <c:v>10.672000000000001</c:v>
                </c:pt>
                <c:pt idx="5">
                  <c:v>10.839</c:v>
                </c:pt>
                <c:pt idx="6">
                  <c:v>10.412000000000001</c:v>
                </c:pt>
                <c:pt idx="7">
                  <c:v>10.925000000000001</c:v>
                </c:pt>
                <c:pt idx="8">
                  <c:v>10.855</c:v>
                </c:pt>
                <c:pt idx="9">
                  <c:v>11.38</c:v>
                </c:pt>
                <c:pt idx="10">
                  <c:v>11.125</c:v>
                </c:pt>
                <c:pt idx="11">
                  <c:v>11.51</c:v>
                </c:pt>
                <c:pt idx="12">
                  <c:v>10.608000000000001</c:v>
                </c:pt>
                <c:pt idx="13">
                  <c:v>10.714</c:v>
                </c:pt>
                <c:pt idx="14">
                  <c:v>10.763</c:v>
                </c:pt>
                <c:pt idx="15">
                  <c:v>10.756</c:v>
                </c:pt>
                <c:pt idx="16">
                  <c:v>10.742000000000001</c:v>
                </c:pt>
                <c:pt idx="17">
                  <c:v>9.8019999999999996</c:v>
                </c:pt>
                <c:pt idx="18">
                  <c:v>11.048999999999999</c:v>
                </c:pt>
                <c:pt idx="19">
                  <c:v>11.494999999999999</c:v>
                </c:pt>
                <c:pt idx="20">
                  <c:v>11.731999999999999</c:v>
                </c:pt>
                <c:pt idx="21">
                  <c:v>12.137</c:v>
                </c:pt>
                <c:pt idx="22">
                  <c:v>11.295</c:v>
                </c:pt>
                <c:pt idx="23">
                  <c:v>10.375</c:v>
                </c:pt>
                <c:pt idx="24">
                  <c:v>12.18</c:v>
                </c:pt>
                <c:pt idx="25">
                  <c:v>10.208</c:v>
                </c:pt>
                <c:pt idx="26">
                  <c:v>10.289</c:v>
                </c:pt>
                <c:pt idx="27">
                  <c:v>11.819000000000001</c:v>
                </c:pt>
                <c:pt idx="28">
                  <c:v>10.573</c:v>
                </c:pt>
                <c:pt idx="29">
                  <c:v>11.872</c:v>
                </c:pt>
                <c:pt idx="30">
                  <c:v>12.057</c:v>
                </c:pt>
                <c:pt idx="31">
                  <c:v>10.991</c:v>
                </c:pt>
                <c:pt idx="32">
                  <c:v>10.561999999999999</c:v>
                </c:pt>
                <c:pt idx="33">
                  <c:v>10.541</c:v>
                </c:pt>
                <c:pt idx="34">
                  <c:v>11.932</c:v>
                </c:pt>
                <c:pt idx="35">
                  <c:v>9.2230000000000008</c:v>
                </c:pt>
                <c:pt idx="36">
                  <c:v>11.077</c:v>
                </c:pt>
                <c:pt idx="37">
                  <c:v>10.391999999999999</c:v>
                </c:pt>
                <c:pt idx="38">
                  <c:v>12.321</c:v>
                </c:pt>
                <c:pt idx="39">
                  <c:v>11.413</c:v>
                </c:pt>
                <c:pt idx="40">
                  <c:v>11.228</c:v>
                </c:pt>
                <c:pt idx="41">
                  <c:v>11.488</c:v>
                </c:pt>
                <c:pt idx="42">
                  <c:v>11.262</c:v>
                </c:pt>
                <c:pt idx="43">
                  <c:v>10.465999999999999</c:v>
                </c:pt>
                <c:pt idx="44">
                  <c:v>12.548999999999999</c:v>
                </c:pt>
                <c:pt idx="45">
                  <c:v>10.74</c:v>
                </c:pt>
                <c:pt idx="46">
                  <c:v>11.436999999999999</c:v>
                </c:pt>
                <c:pt idx="47">
                  <c:v>10.103</c:v>
                </c:pt>
                <c:pt idx="48">
                  <c:v>10.013999999999999</c:v>
                </c:pt>
                <c:pt idx="49">
                  <c:v>11.73</c:v>
                </c:pt>
                <c:pt idx="50">
                  <c:v>9.7609999999999992</c:v>
                </c:pt>
                <c:pt idx="51">
                  <c:v>11.792999999999999</c:v>
                </c:pt>
                <c:pt idx="52">
                  <c:v>11.625</c:v>
                </c:pt>
                <c:pt idx="53">
                  <c:v>11.473000000000001</c:v>
                </c:pt>
                <c:pt idx="54">
                  <c:v>12.317</c:v>
                </c:pt>
                <c:pt idx="55">
                  <c:v>10.215999999999999</c:v>
                </c:pt>
                <c:pt idx="56">
                  <c:v>10.353</c:v>
                </c:pt>
                <c:pt idx="57">
                  <c:v>10.573</c:v>
                </c:pt>
                <c:pt idx="58">
                  <c:v>11.76</c:v>
                </c:pt>
                <c:pt idx="59">
                  <c:v>10.827</c:v>
                </c:pt>
                <c:pt idx="60">
                  <c:v>12.938000000000001</c:v>
                </c:pt>
                <c:pt idx="61">
                  <c:v>11.935</c:v>
                </c:pt>
                <c:pt idx="62">
                  <c:v>10.914999999999999</c:v>
                </c:pt>
                <c:pt idx="63">
                  <c:v>13.037000000000001</c:v>
                </c:pt>
                <c:pt idx="64">
                  <c:v>12.79</c:v>
                </c:pt>
                <c:pt idx="65">
                  <c:v>12.308999999999999</c:v>
                </c:pt>
                <c:pt idx="66">
                  <c:v>11.994</c:v>
                </c:pt>
                <c:pt idx="67">
                  <c:v>12.292999999999999</c:v>
                </c:pt>
                <c:pt idx="68">
                  <c:v>13.262</c:v>
                </c:pt>
                <c:pt idx="69">
                  <c:v>12.055999999999999</c:v>
                </c:pt>
                <c:pt idx="70">
                  <c:v>10.89</c:v>
                </c:pt>
                <c:pt idx="71">
                  <c:v>12.446999999999999</c:v>
                </c:pt>
                <c:pt idx="72">
                  <c:v>12.917999999999999</c:v>
                </c:pt>
                <c:pt idx="73">
                  <c:v>12.7</c:v>
                </c:pt>
                <c:pt idx="74">
                  <c:v>12.504</c:v>
                </c:pt>
                <c:pt idx="75">
                  <c:v>12.643000000000001</c:v>
                </c:pt>
                <c:pt idx="76">
                  <c:v>12.781000000000001</c:v>
                </c:pt>
                <c:pt idx="77">
                  <c:v>12.975</c:v>
                </c:pt>
                <c:pt idx="78">
                  <c:v>12.911</c:v>
                </c:pt>
                <c:pt idx="79">
                  <c:v>14.247</c:v>
                </c:pt>
              </c:numCache>
            </c:numRef>
          </c:xVal>
          <c:yVal>
            <c:numRef>
              <c:f>pierre!$G$63:$G$156</c:f>
              <c:numCache>
                <c:formatCode>0.00</c:formatCode>
                <c:ptCount val="94"/>
                <c:pt idx="0">
                  <c:v>0.43000039999999906</c:v>
                </c:pt>
                <c:pt idx="1">
                  <c:v>0.76199949999999994</c:v>
                </c:pt>
                <c:pt idx="2">
                  <c:v>0.4789999999999992</c:v>
                </c:pt>
                <c:pt idx="3">
                  <c:v>0.49900000000000055</c:v>
                </c:pt>
                <c:pt idx="4">
                  <c:v>-0.10799969999999881</c:v>
                </c:pt>
                <c:pt idx="5">
                  <c:v>0.38900019999999991</c:v>
                </c:pt>
                <c:pt idx="6">
                  <c:v>-0.60800049999999928</c:v>
                </c:pt>
                <c:pt idx="7">
                  <c:v>0.12499980000000122</c:v>
                </c:pt>
                <c:pt idx="8">
                  <c:v>-2.5000099999999748E-2</c:v>
                </c:pt>
                <c:pt idx="9">
                  <c:v>0.31999960000000094</c:v>
                </c:pt>
                <c:pt idx="10">
                  <c:v>3.4999799999999581E-2</c:v>
                </c:pt>
                <c:pt idx="11">
                  <c:v>-0.10999990000000004</c:v>
                </c:pt>
                <c:pt idx="12">
                  <c:v>0.64799999999999969</c:v>
                </c:pt>
                <c:pt idx="13">
                  <c:v>1.2140000000000004</c:v>
                </c:pt>
                <c:pt idx="14">
                  <c:v>0.77300020000000025</c:v>
                </c:pt>
                <c:pt idx="15">
                  <c:v>0.74599979999999988</c:v>
                </c:pt>
                <c:pt idx="16">
                  <c:v>0.9120001000000002</c:v>
                </c:pt>
                <c:pt idx="17">
                  <c:v>0.23200029999999927</c:v>
                </c:pt>
                <c:pt idx="18">
                  <c:v>1.1289999000000002</c:v>
                </c:pt>
                <c:pt idx="19">
                  <c:v>-0.1750001000000001</c:v>
                </c:pt>
                <c:pt idx="20">
                  <c:v>0.23199999999999932</c:v>
                </c:pt>
                <c:pt idx="21">
                  <c:v>0.76700010000000063</c:v>
                </c:pt>
                <c:pt idx="22">
                  <c:v>-0.29500020000000049</c:v>
                </c:pt>
                <c:pt idx="23">
                  <c:v>0.49499989999999983</c:v>
                </c:pt>
                <c:pt idx="24">
                  <c:v>0.3399997999999993</c:v>
                </c:pt>
                <c:pt idx="25">
                  <c:v>0.20800000000000018</c:v>
                </c:pt>
                <c:pt idx="26">
                  <c:v>0.18899959999999894</c:v>
                </c:pt>
                <c:pt idx="27">
                  <c:v>0.4190004000000016</c:v>
                </c:pt>
                <c:pt idx="28">
                  <c:v>0.29300030000000099</c:v>
                </c:pt>
                <c:pt idx="29">
                  <c:v>-0.33800000000000097</c:v>
                </c:pt>
                <c:pt idx="30">
                  <c:v>0.11700040000000023</c:v>
                </c:pt>
                <c:pt idx="31">
                  <c:v>0.62100009999999983</c:v>
                </c:pt>
                <c:pt idx="32">
                  <c:v>0.18199989999999922</c:v>
                </c:pt>
                <c:pt idx="33">
                  <c:v>0.6609999000000002</c:v>
                </c:pt>
                <c:pt idx="34">
                  <c:v>-0.1479999000000003</c:v>
                </c:pt>
                <c:pt idx="35">
                  <c:v>0.14300010000000007</c:v>
                </c:pt>
                <c:pt idx="36">
                  <c:v>0.27699980000000046</c:v>
                </c:pt>
                <c:pt idx="37">
                  <c:v>1.0320003</c:v>
                </c:pt>
                <c:pt idx="38">
                  <c:v>-0.12899980000000077</c:v>
                </c:pt>
                <c:pt idx="39">
                  <c:v>0.49299990000000093</c:v>
                </c:pt>
                <c:pt idx="40">
                  <c:v>0.27800019999999925</c:v>
                </c:pt>
                <c:pt idx="41">
                  <c:v>0.49800019999999989</c:v>
                </c:pt>
                <c:pt idx="42">
                  <c:v>0.26200000000000045</c:v>
                </c:pt>
                <c:pt idx="43">
                  <c:v>0.49599969999999871</c:v>
                </c:pt>
                <c:pt idx="44">
                  <c:v>-0.35099959999999975</c:v>
                </c:pt>
                <c:pt idx="45">
                  <c:v>0.21000030000000081</c:v>
                </c:pt>
                <c:pt idx="46">
                  <c:v>0.37699959999999955</c:v>
                </c:pt>
                <c:pt idx="47">
                  <c:v>1.002999599999999</c:v>
                </c:pt>
                <c:pt idx="48">
                  <c:v>1.0439996999999988</c:v>
                </c:pt>
                <c:pt idx="49">
                  <c:v>0.6100001000000006</c:v>
                </c:pt>
                <c:pt idx="50">
                  <c:v>0.53100049999999932</c:v>
                </c:pt>
                <c:pt idx="51">
                  <c:v>0.56300049999999935</c:v>
                </c:pt>
                <c:pt idx="52">
                  <c:v>0.39500050000000009</c:v>
                </c:pt>
                <c:pt idx="53">
                  <c:v>0.2330002000000011</c:v>
                </c:pt>
                <c:pt idx="54">
                  <c:v>-0.24300039999999967</c:v>
                </c:pt>
                <c:pt idx="55">
                  <c:v>0.14600029999999897</c:v>
                </c:pt>
                <c:pt idx="56">
                  <c:v>0.4130003999999996</c:v>
                </c:pt>
                <c:pt idx="57">
                  <c:v>0.33300020000000075</c:v>
                </c:pt>
                <c:pt idx="58">
                  <c:v>0.33999990000000047</c:v>
                </c:pt>
                <c:pt idx="59">
                  <c:v>0.32699999999999996</c:v>
                </c:pt>
                <c:pt idx="60">
                  <c:v>-0.20200029999999991</c:v>
                </c:pt>
                <c:pt idx="61">
                  <c:v>0.23500019999999999</c:v>
                </c:pt>
                <c:pt idx="62">
                  <c:v>0.53499989999999897</c:v>
                </c:pt>
                <c:pt idx="63">
                  <c:v>-0.31300039999999996</c:v>
                </c:pt>
                <c:pt idx="64">
                  <c:v>0.13000019999999957</c:v>
                </c:pt>
                <c:pt idx="65">
                  <c:v>0.31900019999999962</c:v>
                </c:pt>
                <c:pt idx="66">
                  <c:v>-6.0000000000002274E-3</c:v>
                </c:pt>
                <c:pt idx="67">
                  <c:v>0.29299999999999926</c:v>
                </c:pt>
                <c:pt idx="68">
                  <c:v>0.10200020000000087</c:v>
                </c:pt>
                <c:pt idx="69">
                  <c:v>-0.11400010000000016</c:v>
                </c:pt>
                <c:pt idx="70">
                  <c:v>-8.0000300000000024E-2</c:v>
                </c:pt>
                <c:pt idx="71">
                  <c:v>0.18699979999999883</c:v>
                </c:pt>
                <c:pt idx="72">
                  <c:v>-0.11199970000000015</c:v>
                </c:pt>
                <c:pt idx="73">
                  <c:v>0.34000029999999981</c:v>
                </c:pt>
                <c:pt idx="74">
                  <c:v>0.10400040000000033</c:v>
                </c:pt>
                <c:pt idx="75">
                  <c:v>0.14300000000000068</c:v>
                </c:pt>
                <c:pt idx="76">
                  <c:v>0.18099959999999982</c:v>
                </c:pt>
                <c:pt idx="77">
                  <c:v>0.30499990000000032</c:v>
                </c:pt>
                <c:pt idx="78">
                  <c:v>0.21100019999999908</c:v>
                </c:pt>
                <c:pt idx="79">
                  <c:v>-0.18300029999999978</c:v>
                </c:pt>
              </c:numCache>
            </c:numRef>
          </c:yVal>
          <c:smooth val="0"/>
          <c:extLst>
            <c:ext xmlns:c16="http://schemas.microsoft.com/office/drawing/2014/chart" uri="{C3380CC4-5D6E-409C-BE32-E72D297353CC}">
              <c16:uniqueId val="{00000001-6ABF-4DAF-AD1C-600D0F7D36E0}"/>
            </c:ext>
          </c:extLst>
        </c:ser>
        <c:dLbls>
          <c:showLegendKey val="0"/>
          <c:showVal val="0"/>
          <c:showCatName val="0"/>
          <c:showSerName val="0"/>
          <c:showPercent val="0"/>
          <c:showBubbleSize val="0"/>
        </c:dLbls>
        <c:axId val="251667584"/>
        <c:axId val="251669504"/>
      </c:scatterChart>
      <c:valAx>
        <c:axId val="251667584"/>
        <c:scaling>
          <c:orientation val="minMax"/>
        </c:scaling>
        <c:delete val="0"/>
        <c:axPos val="b"/>
        <c:title>
          <c:tx>
            <c:rich>
              <a:bodyPr/>
              <a:lstStyle/>
              <a:p>
                <a:pPr>
                  <a:defRPr/>
                </a:pPr>
                <a:r>
                  <a:rPr lang="en-US"/>
                  <a:t>PREDICTED NIRS</a:t>
                </a:r>
              </a:p>
            </c:rich>
          </c:tx>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251669504"/>
        <c:crosses val="autoZero"/>
        <c:crossBetween val="midCat"/>
      </c:valAx>
      <c:valAx>
        <c:axId val="251669504"/>
        <c:scaling>
          <c:orientation val="minMax"/>
        </c:scaling>
        <c:delete val="0"/>
        <c:axPos val="l"/>
        <c:majorGridlines/>
        <c:numFmt formatCode="0.00" sourceLinked="1"/>
        <c:majorTickMark val="out"/>
        <c:minorTickMark val="none"/>
        <c:tickLblPos val="nextTo"/>
        <c:crossAx val="251667584"/>
        <c:crosses val="autoZero"/>
        <c:crossBetween val="midCat"/>
      </c:valAx>
    </c:plotArea>
    <c:plotVisOnly val="1"/>
    <c:dispBlanksAs val="gap"/>
    <c:showDLblsOverMax val="0"/>
  </c:chart>
  <c:printSettings>
    <c:headerFooter/>
    <c:pageMargins b="0.75000000000000422" l="0.70000000000000062" r="0.70000000000000062" t="0.75000000000000422" header="0.30000000000000032" footer="0.30000000000000032"/>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400" baseline="0"/>
              <a:t>Residuals vs position</a:t>
            </a:r>
          </a:p>
        </c:rich>
      </c:tx>
      <c:layout>
        <c:manualLayout>
          <c:xMode val="edge"/>
          <c:yMode val="edge"/>
          <c:x val="0.61770845220434401"/>
          <c:y val="9.2592592592592587E-3"/>
        </c:manualLayout>
      </c:layout>
      <c:overlay val="1"/>
    </c:title>
    <c:autoTitleDeleted val="0"/>
    <c:plotArea>
      <c:layout>
        <c:manualLayout>
          <c:layoutTarget val="inner"/>
          <c:xMode val="edge"/>
          <c:yMode val="edge"/>
          <c:x val="9.7295231451277789E-2"/>
          <c:y val="4.1365688184682434E-2"/>
          <c:w val="0.8505582003234009"/>
          <c:h val="0.89909093674129181"/>
        </c:manualLayout>
      </c:layout>
      <c:scatterChart>
        <c:scatterStyle val="lineMarker"/>
        <c:varyColors val="0"/>
        <c:ser>
          <c:idx val="0"/>
          <c:order val="0"/>
          <c:spPr>
            <a:ln w="28575">
              <a:noFill/>
            </a:ln>
          </c:spPr>
          <c:xVal>
            <c:numRef>
              <c:f>pierre!$B$63:$B$156</c:f>
              <c:numCache>
                <c:formatCode>General</c:formatCode>
                <c:ptCount val="9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numCache>
            </c:numRef>
          </c:xVal>
          <c:yVal>
            <c:numRef>
              <c:f>pierre!$G$63:$G$156</c:f>
              <c:numCache>
                <c:formatCode>0.00</c:formatCode>
                <c:ptCount val="94"/>
                <c:pt idx="0">
                  <c:v>0.43000039999999906</c:v>
                </c:pt>
                <c:pt idx="1">
                  <c:v>0.76199949999999994</c:v>
                </c:pt>
                <c:pt idx="2">
                  <c:v>0.4789999999999992</c:v>
                </c:pt>
                <c:pt idx="3">
                  <c:v>0.49900000000000055</c:v>
                </c:pt>
                <c:pt idx="4">
                  <c:v>-0.10799969999999881</c:v>
                </c:pt>
                <c:pt idx="5">
                  <c:v>0.38900019999999991</c:v>
                </c:pt>
                <c:pt idx="6">
                  <c:v>-0.60800049999999928</c:v>
                </c:pt>
                <c:pt idx="7">
                  <c:v>0.12499980000000122</c:v>
                </c:pt>
                <c:pt idx="8">
                  <c:v>-2.5000099999999748E-2</c:v>
                </c:pt>
                <c:pt idx="9">
                  <c:v>0.31999960000000094</c:v>
                </c:pt>
                <c:pt idx="10">
                  <c:v>3.4999799999999581E-2</c:v>
                </c:pt>
                <c:pt idx="11">
                  <c:v>-0.10999990000000004</c:v>
                </c:pt>
                <c:pt idx="12">
                  <c:v>0.64799999999999969</c:v>
                </c:pt>
                <c:pt idx="13">
                  <c:v>1.2140000000000004</c:v>
                </c:pt>
                <c:pt idx="14">
                  <c:v>0.77300020000000025</c:v>
                </c:pt>
                <c:pt idx="15">
                  <c:v>0.74599979999999988</c:v>
                </c:pt>
                <c:pt idx="16">
                  <c:v>0.9120001000000002</c:v>
                </c:pt>
                <c:pt idx="17">
                  <c:v>0.23200029999999927</c:v>
                </c:pt>
                <c:pt idx="18">
                  <c:v>1.1289999000000002</c:v>
                </c:pt>
                <c:pt idx="19">
                  <c:v>-0.1750001000000001</c:v>
                </c:pt>
                <c:pt idx="20">
                  <c:v>0.23199999999999932</c:v>
                </c:pt>
                <c:pt idx="21">
                  <c:v>0.76700010000000063</c:v>
                </c:pt>
                <c:pt idx="22">
                  <c:v>-0.29500020000000049</c:v>
                </c:pt>
                <c:pt idx="23">
                  <c:v>0.49499989999999983</c:v>
                </c:pt>
                <c:pt idx="24">
                  <c:v>0.3399997999999993</c:v>
                </c:pt>
                <c:pt idx="25">
                  <c:v>0.20800000000000018</c:v>
                </c:pt>
                <c:pt idx="26">
                  <c:v>0.18899959999999894</c:v>
                </c:pt>
                <c:pt idx="27">
                  <c:v>0.4190004000000016</c:v>
                </c:pt>
                <c:pt idx="28">
                  <c:v>0.29300030000000099</c:v>
                </c:pt>
                <c:pt idx="29">
                  <c:v>-0.33800000000000097</c:v>
                </c:pt>
                <c:pt idx="30">
                  <c:v>0.11700040000000023</c:v>
                </c:pt>
                <c:pt idx="31">
                  <c:v>0.62100009999999983</c:v>
                </c:pt>
                <c:pt idx="32">
                  <c:v>0.18199989999999922</c:v>
                </c:pt>
                <c:pt idx="33">
                  <c:v>0.6609999000000002</c:v>
                </c:pt>
                <c:pt idx="34">
                  <c:v>-0.1479999000000003</c:v>
                </c:pt>
                <c:pt idx="35">
                  <c:v>0.14300010000000007</c:v>
                </c:pt>
                <c:pt idx="36">
                  <c:v>0.27699980000000046</c:v>
                </c:pt>
                <c:pt idx="37">
                  <c:v>1.0320003</c:v>
                </c:pt>
                <c:pt idx="38">
                  <c:v>-0.12899980000000077</c:v>
                </c:pt>
                <c:pt idx="39">
                  <c:v>0.49299990000000093</c:v>
                </c:pt>
                <c:pt idx="40">
                  <c:v>0.27800019999999925</c:v>
                </c:pt>
                <c:pt idx="41">
                  <c:v>0.49800019999999989</c:v>
                </c:pt>
                <c:pt idx="42">
                  <c:v>0.26200000000000045</c:v>
                </c:pt>
                <c:pt idx="43">
                  <c:v>0.49599969999999871</c:v>
                </c:pt>
                <c:pt idx="44">
                  <c:v>-0.35099959999999975</c:v>
                </c:pt>
                <c:pt idx="45">
                  <c:v>0.21000030000000081</c:v>
                </c:pt>
                <c:pt idx="46">
                  <c:v>0.37699959999999955</c:v>
                </c:pt>
                <c:pt idx="47">
                  <c:v>1.002999599999999</c:v>
                </c:pt>
                <c:pt idx="48">
                  <c:v>1.0439996999999988</c:v>
                </c:pt>
                <c:pt idx="49">
                  <c:v>0.6100001000000006</c:v>
                </c:pt>
                <c:pt idx="50">
                  <c:v>0.53100049999999932</c:v>
                </c:pt>
                <c:pt idx="51">
                  <c:v>0.56300049999999935</c:v>
                </c:pt>
                <c:pt idx="52">
                  <c:v>0.39500050000000009</c:v>
                </c:pt>
                <c:pt idx="53">
                  <c:v>0.2330002000000011</c:v>
                </c:pt>
                <c:pt idx="54">
                  <c:v>-0.24300039999999967</c:v>
                </c:pt>
                <c:pt idx="55">
                  <c:v>0.14600029999999897</c:v>
                </c:pt>
                <c:pt idx="56">
                  <c:v>0.4130003999999996</c:v>
                </c:pt>
                <c:pt idx="57">
                  <c:v>0.33300020000000075</c:v>
                </c:pt>
                <c:pt idx="58">
                  <c:v>0.33999990000000047</c:v>
                </c:pt>
                <c:pt idx="59">
                  <c:v>0.32699999999999996</c:v>
                </c:pt>
                <c:pt idx="60">
                  <c:v>-0.20200029999999991</c:v>
                </c:pt>
                <c:pt idx="61">
                  <c:v>0.23500019999999999</c:v>
                </c:pt>
                <c:pt idx="62">
                  <c:v>0.53499989999999897</c:v>
                </c:pt>
                <c:pt idx="63">
                  <c:v>-0.31300039999999996</c:v>
                </c:pt>
                <c:pt idx="64">
                  <c:v>0.13000019999999957</c:v>
                </c:pt>
                <c:pt idx="65">
                  <c:v>0.31900019999999962</c:v>
                </c:pt>
                <c:pt idx="66">
                  <c:v>-6.0000000000002274E-3</c:v>
                </c:pt>
                <c:pt idx="67">
                  <c:v>0.29299999999999926</c:v>
                </c:pt>
                <c:pt idx="68">
                  <c:v>0.10200020000000087</c:v>
                </c:pt>
                <c:pt idx="69">
                  <c:v>-0.11400010000000016</c:v>
                </c:pt>
                <c:pt idx="70">
                  <c:v>-8.0000300000000024E-2</c:v>
                </c:pt>
                <c:pt idx="71">
                  <c:v>0.18699979999999883</c:v>
                </c:pt>
                <c:pt idx="72">
                  <c:v>-0.11199970000000015</c:v>
                </c:pt>
                <c:pt idx="73">
                  <c:v>0.34000029999999981</c:v>
                </c:pt>
                <c:pt idx="74">
                  <c:v>0.10400040000000033</c:v>
                </c:pt>
                <c:pt idx="75">
                  <c:v>0.14300000000000068</c:v>
                </c:pt>
                <c:pt idx="76">
                  <c:v>0.18099959999999982</c:v>
                </c:pt>
                <c:pt idx="77">
                  <c:v>0.30499990000000032</c:v>
                </c:pt>
                <c:pt idx="78">
                  <c:v>0.21100019999999908</c:v>
                </c:pt>
                <c:pt idx="79">
                  <c:v>-0.18300029999999978</c:v>
                </c:pt>
              </c:numCache>
            </c:numRef>
          </c:yVal>
          <c:smooth val="0"/>
          <c:extLst>
            <c:ext xmlns:c16="http://schemas.microsoft.com/office/drawing/2014/chart" uri="{C3380CC4-5D6E-409C-BE32-E72D297353CC}">
              <c16:uniqueId val="{00000000-67A8-4A78-B503-F3C87299DE18}"/>
            </c:ext>
          </c:extLst>
        </c:ser>
        <c:dLbls>
          <c:showLegendKey val="0"/>
          <c:showVal val="0"/>
          <c:showCatName val="0"/>
          <c:showSerName val="0"/>
          <c:showPercent val="0"/>
          <c:showBubbleSize val="0"/>
        </c:dLbls>
        <c:axId val="274780160"/>
        <c:axId val="274781696"/>
      </c:scatterChart>
      <c:valAx>
        <c:axId val="274780160"/>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274781696"/>
        <c:crosses val="autoZero"/>
        <c:crossBetween val="midCat"/>
      </c:valAx>
      <c:valAx>
        <c:axId val="274781696"/>
        <c:scaling>
          <c:orientation val="minMax"/>
        </c:scaling>
        <c:delete val="0"/>
        <c:axPos val="l"/>
        <c:majorGridlines/>
        <c:numFmt formatCode="0.00" sourceLinked="1"/>
        <c:majorTickMark val="out"/>
        <c:minorTickMark val="none"/>
        <c:tickLblPos val="nextTo"/>
        <c:crossAx val="274780160"/>
        <c:crosses val="autoZero"/>
        <c:crossBetween val="midCat"/>
      </c:valAx>
    </c:plotArea>
    <c:plotVisOnly val="1"/>
    <c:dispBlanksAs val="gap"/>
    <c:showDLblsOverMax val="0"/>
  </c:chart>
  <c:printSettings>
    <c:headerFooter/>
    <c:pageMargins b="0.75000000000000211" l="0.70000000000000062" r="0.70000000000000062" t="0.75000000000000211" header="0.30000000000000032" footer="0.30000000000000032"/>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3834418474441655E-2"/>
          <c:y val="0.13250935178105364"/>
          <c:w val="0.6729182365583003"/>
          <c:h val="0.71284029659820869"/>
        </c:manualLayout>
      </c:layout>
      <c:scatterChart>
        <c:scatterStyle val="lineMarker"/>
        <c:varyColors val="0"/>
        <c:ser>
          <c:idx val="0"/>
          <c:order val="0"/>
          <c:tx>
            <c:v> </c:v>
          </c:tx>
          <c:spPr>
            <a:ln w="28575">
              <a:noFill/>
            </a:ln>
          </c:spPr>
          <c:marker>
            <c:symbol val="circle"/>
            <c:size val="8"/>
            <c:spPr>
              <a:solidFill>
                <a:srgbClr val="000080"/>
              </a:solidFill>
              <a:ln>
                <a:solidFill>
                  <a:srgbClr val="000080"/>
                </a:solidFill>
                <a:prstDash val="solid"/>
              </a:ln>
            </c:spPr>
          </c:marker>
          <c:dLbls>
            <c:dLbl>
              <c:idx val="0"/>
              <c:tx>
                <c:rich>
                  <a:bodyPr/>
                  <a:lstStyle/>
                  <a:p>
                    <a:fld id="{EE03566F-662F-4D7A-95F6-CFC82E318586}" type="CELLRANGE">
                      <a:rPr lang="en-US"/>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BF91-40E6-8088-EC1CF8F9209C}"/>
                </c:ext>
              </c:extLst>
            </c:dLbl>
            <c:dLbl>
              <c:idx val="1"/>
              <c:tx>
                <c:rich>
                  <a:bodyPr/>
                  <a:lstStyle/>
                  <a:p>
                    <a:fld id="{96A20524-442E-422B-B112-0F0CE4EF692C}"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F91-40E6-8088-EC1CF8F9209C}"/>
                </c:ext>
              </c:extLst>
            </c:dLbl>
            <c:dLbl>
              <c:idx val="2"/>
              <c:tx>
                <c:rich>
                  <a:bodyPr/>
                  <a:lstStyle/>
                  <a:p>
                    <a:fld id="{B0634D9E-F088-4B3A-8550-609002E42BD1}"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F91-40E6-8088-EC1CF8F9209C}"/>
                </c:ext>
              </c:extLst>
            </c:dLbl>
            <c:dLbl>
              <c:idx val="3"/>
              <c:tx>
                <c:rich>
                  <a:bodyPr/>
                  <a:lstStyle/>
                  <a:p>
                    <a:fld id="{85A94715-0CD1-41A6-860D-B82BBF9064F8}"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F91-40E6-8088-EC1CF8F9209C}"/>
                </c:ext>
              </c:extLst>
            </c:dLbl>
            <c:dLbl>
              <c:idx val="4"/>
              <c:tx>
                <c:rich>
                  <a:bodyPr/>
                  <a:lstStyle/>
                  <a:p>
                    <a:fld id="{A6E0B5AE-4155-44C1-AACA-BA74FC8BE059}"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F91-40E6-8088-EC1CF8F9209C}"/>
                </c:ext>
              </c:extLst>
            </c:dLbl>
            <c:dLbl>
              <c:idx val="5"/>
              <c:tx>
                <c:rich>
                  <a:bodyPr/>
                  <a:lstStyle/>
                  <a:p>
                    <a:fld id="{8FBF8989-82CD-456B-9A1B-DB33F4C5C9F3}"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F91-40E6-8088-EC1CF8F9209C}"/>
                </c:ext>
              </c:extLst>
            </c:dLbl>
            <c:dLbl>
              <c:idx val="6"/>
              <c:tx>
                <c:rich>
                  <a:bodyPr/>
                  <a:lstStyle/>
                  <a:p>
                    <a:fld id="{A5BD4043-96FD-4E01-BB52-9A2AF0CFC37F}"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F91-40E6-8088-EC1CF8F9209C}"/>
                </c:ext>
              </c:extLst>
            </c:dLbl>
            <c:dLbl>
              <c:idx val="7"/>
              <c:tx>
                <c:rich>
                  <a:bodyPr/>
                  <a:lstStyle/>
                  <a:p>
                    <a:fld id="{20DBE658-5324-4C79-B57F-21BB31316444}"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F91-40E6-8088-EC1CF8F9209C}"/>
                </c:ext>
              </c:extLst>
            </c:dLbl>
            <c:dLbl>
              <c:idx val="8"/>
              <c:tx>
                <c:rich>
                  <a:bodyPr/>
                  <a:lstStyle/>
                  <a:p>
                    <a:fld id="{6A2DBC5B-5DEB-4717-B8AF-5FCB4B280F83}"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F91-40E6-8088-EC1CF8F9209C}"/>
                </c:ext>
              </c:extLst>
            </c:dLbl>
            <c:dLbl>
              <c:idx val="9"/>
              <c:tx>
                <c:rich>
                  <a:bodyPr/>
                  <a:lstStyle/>
                  <a:p>
                    <a:fld id="{D2156E23-749E-4A36-9D3A-5F233918D0AB}"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F91-40E6-8088-EC1CF8F9209C}"/>
                </c:ext>
              </c:extLst>
            </c:dLbl>
            <c:dLbl>
              <c:idx val="10"/>
              <c:tx>
                <c:rich>
                  <a:bodyPr/>
                  <a:lstStyle/>
                  <a:p>
                    <a:fld id="{06FFEDD4-0D1B-417C-8E32-5DD9F6DE31CE}"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F91-40E6-8088-EC1CF8F9209C}"/>
                </c:ext>
              </c:extLst>
            </c:dLbl>
            <c:dLbl>
              <c:idx val="11"/>
              <c:tx>
                <c:rich>
                  <a:bodyPr/>
                  <a:lstStyle/>
                  <a:p>
                    <a:fld id="{ED993A30-1522-4061-B0A8-1803961B2465}"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F91-40E6-8088-EC1CF8F9209C}"/>
                </c:ext>
              </c:extLst>
            </c:dLbl>
            <c:dLbl>
              <c:idx val="12"/>
              <c:tx>
                <c:rich>
                  <a:bodyPr/>
                  <a:lstStyle/>
                  <a:p>
                    <a:fld id="{E87C7038-7527-48C9-8817-47007C9ED57D}"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F91-40E6-8088-EC1CF8F9209C}"/>
                </c:ext>
              </c:extLst>
            </c:dLbl>
            <c:dLbl>
              <c:idx val="13"/>
              <c:tx>
                <c:rich>
                  <a:bodyPr/>
                  <a:lstStyle/>
                  <a:p>
                    <a:fld id="{0AD79DFC-769E-4ABD-9808-649C2C1D8F48}"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F91-40E6-8088-EC1CF8F9209C}"/>
                </c:ext>
              </c:extLst>
            </c:dLbl>
            <c:dLbl>
              <c:idx val="14"/>
              <c:tx>
                <c:rich>
                  <a:bodyPr/>
                  <a:lstStyle/>
                  <a:p>
                    <a:fld id="{E7485ED3-8814-42B9-8239-A1515C833863}"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BF91-40E6-8088-EC1CF8F9209C}"/>
                </c:ext>
              </c:extLst>
            </c:dLbl>
            <c:dLbl>
              <c:idx val="15"/>
              <c:tx>
                <c:rich>
                  <a:bodyPr/>
                  <a:lstStyle/>
                  <a:p>
                    <a:fld id="{ACABE7C5-75B9-4D6E-A443-E6B9387A20A6}"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BF91-40E6-8088-EC1CF8F9209C}"/>
                </c:ext>
              </c:extLst>
            </c:dLbl>
            <c:dLbl>
              <c:idx val="16"/>
              <c:tx>
                <c:rich>
                  <a:bodyPr/>
                  <a:lstStyle/>
                  <a:p>
                    <a:fld id="{65E9DC39-A93B-48B5-B1E4-B3D3EC08227E}"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BF91-40E6-8088-EC1CF8F9209C}"/>
                </c:ext>
              </c:extLst>
            </c:dLbl>
            <c:dLbl>
              <c:idx val="17"/>
              <c:tx>
                <c:rich>
                  <a:bodyPr/>
                  <a:lstStyle/>
                  <a:p>
                    <a:fld id="{03C6B892-87A6-4E7B-943E-9DD0C5717BA0}"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BF91-40E6-8088-EC1CF8F9209C}"/>
                </c:ext>
              </c:extLst>
            </c:dLbl>
            <c:dLbl>
              <c:idx val="18"/>
              <c:tx>
                <c:rich>
                  <a:bodyPr/>
                  <a:lstStyle/>
                  <a:p>
                    <a:fld id="{9F1911D2-4681-4A14-B998-3EDD396A38D6}"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BF91-40E6-8088-EC1CF8F9209C}"/>
                </c:ext>
              </c:extLst>
            </c:dLbl>
            <c:dLbl>
              <c:idx val="19"/>
              <c:tx>
                <c:rich>
                  <a:bodyPr/>
                  <a:lstStyle/>
                  <a:p>
                    <a:fld id="{CD2A42E9-62FA-46F1-94E9-94B6BA1C0822}"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BF91-40E6-8088-EC1CF8F9209C}"/>
                </c:ext>
              </c:extLst>
            </c:dLbl>
            <c:dLbl>
              <c:idx val="20"/>
              <c:tx>
                <c:rich>
                  <a:bodyPr/>
                  <a:lstStyle/>
                  <a:p>
                    <a:fld id="{AE1CAB36-99FD-4BD4-B495-2B696597EF75}"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BF91-40E6-8088-EC1CF8F9209C}"/>
                </c:ext>
              </c:extLst>
            </c:dLbl>
            <c:dLbl>
              <c:idx val="21"/>
              <c:tx>
                <c:rich>
                  <a:bodyPr/>
                  <a:lstStyle/>
                  <a:p>
                    <a:fld id="{8416F3A3-1349-496C-A6A4-499C3851F52F}"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BF91-40E6-8088-EC1CF8F9209C}"/>
                </c:ext>
              </c:extLst>
            </c:dLbl>
            <c:dLbl>
              <c:idx val="22"/>
              <c:tx>
                <c:rich>
                  <a:bodyPr/>
                  <a:lstStyle/>
                  <a:p>
                    <a:fld id="{7130A487-D215-4F58-8758-2D9A6AD76565}"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BF91-40E6-8088-EC1CF8F9209C}"/>
                </c:ext>
              </c:extLst>
            </c:dLbl>
            <c:dLbl>
              <c:idx val="23"/>
              <c:tx>
                <c:rich>
                  <a:bodyPr/>
                  <a:lstStyle/>
                  <a:p>
                    <a:fld id="{8C32C83F-2A94-495D-8DE2-6E6C49070DE8}"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BF91-40E6-8088-EC1CF8F9209C}"/>
                </c:ext>
              </c:extLst>
            </c:dLbl>
            <c:dLbl>
              <c:idx val="24"/>
              <c:tx>
                <c:rich>
                  <a:bodyPr/>
                  <a:lstStyle/>
                  <a:p>
                    <a:fld id="{B4A6C8C6-D5FF-4746-9A73-6892D50FFE31}"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BF91-40E6-8088-EC1CF8F9209C}"/>
                </c:ext>
              </c:extLst>
            </c:dLbl>
            <c:dLbl>
              <c:idx val="25"/>
              <c:tx>
                <c:rich>
                  <a:bodyPr/>
                  <a:lstStyle/>
                  <a:p>
                    <a:fld id="{9FE8750F-903C-4830-9371-D8B2BEF68B95}"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BF91-40E6-8088-EC1CF8F9209C}"/>
                </c:ext>
              </c:extLst>
            </c:dLbl>
            <c:dLbl>
              <c:idx val="26"/>
              <c:tx>
                <c:rich>
                  <a:bodyPr/>
                  <a:lstStyle/>
                  <a:p>
                    <a:fld id="{897BC790-2F28-4AC1-86B8-4B0AE4CFE961}"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BF91-40E6-8088-EC1CF8F9209C}"/>
                </c:ext>
              </c:extLst>
            </c:dLbl>
            <c:dLbl>
              <c:idx val="27"/>
              <c:tx>
                <c:rich>
                  <a:bodyPr/>
                  <a:lstStyle/>
                  <a:p>
                    <a:fld id="{15CE6C98-8EF7-4BFA-9402-76E5A167DEEC}"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BF91-40E6-8088-EC1CF8F9209C}"/>
                </c:ext>
              </c:extLst>
            </c:dLbl>
            <c:dLbl>
              <c:idx val="28"/>
              <c:tx>
                <c:rich>
                  <a:bodyPr/>
                  <a:lstStyle/>
                  <a:p>
                    <a:fld id="{9B9ACDF1-204F-47FD-B273-C62F62CBF80B}"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BF91-40E6-8088-EC1CF8F9209C}"/>
                </c:ext>
              </c:extLst>
            </c:dLbl>
            <c:dLbl>
              <c:idx val="29"/>
              <c:tx>
                <c:rich>
                  <a:bodyPr/>
                  <a:lstStyle/>
                  <a:p>
                    <a:fld id="{A9F626CF-D03C-49A6-8260-44494FD94428}"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BF91-40E6-8088-EC1CF8F9209C}"/>
                </c:ext>
              </c:extLst>
            </c:dLbl>
            <c:dLbl>
              <c:idx val="30"/>
              <c:tx>
                <c:rich>
                  <a:bodyPr/>
                  <a:lstStyle/>
                  <a:p>
                    <a:fld id="{B5B0B3C2-75C0-4A18-AB89-E7C1DC09E6A5}"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BF91-40E6-8088-EC1CF8F9209C}"/>
                </c:ext>
              </c:extLst>
            </c:dLbl>
            <c:dLbl>
              <c:idx val="31"/>
              <c:tx>
                <c:rich>
                  <a:bodyPr/>
                  <a:lstStyle/>
                  <a:p>
                    <a:fld id="{A9725842-F756-44EF-B109-E5020ED19DAD}"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BF91-40E6-8088-EC1CF8F9209C}"/>
                </c:ext>
              </c:extLst>
            </c:dLbl>
            <c:dLbl>
              <c:idx val="32"/>
              <c:tx>
                <c:rich>
                  <a:bodyPr/>
                  <a:lstStyle/>
                  <a:p>
                    <a:fld id="{0D882927-4044-4E5A-8F12-01594E0220B4}"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BF91-40E6-8088-EC1CF8F9209C}"/>
                </c:ext>
              </c:extLst>
            </c:dLbl>
            <c:dLbl>
              <c:idx val="33"/>
              <c:tx>
                <c:rich>
                  <a:bodyPr/>
                  <a:lstStyle/>
                  <a:p>
                    <a:fld id="{A552FF73-6F0D-49B7-A74D-0192079CB3DC}"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BF91-40E6-8088-EC1CF8F9209C}"/>
                </c:ext>
              </c:extLst>
            </c:dLbl>
            <c:dLbl>
              <c:idx val="34"/>
              <c:tx>
                <c:rich>
                  <a:bodyPr/>
                  <a:lstStyle/>
                  <a:p>
                    <a:fld id="{627BB3B1-9B67-459D-B5C3-5606A69150A2}"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BF91-40E6-8088-EC1CF8F9209C}"/>
                </c:ext>
              </c:extLst>
            </c:dLbl>
            <c:dLbl>
              <c:idx val="35"/>
              <c:tx>
                <c:rich>
                  <a:bodyPr/>
                  <a:lstStyle/>
                  <a:p>
                    <a:fld id="{DC4ACDDA-AA6B-4C55-B283-837DACE3E882}"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BF91-40E6-8088-EC1CF8F9209C}"/>
                </c:ext>
              </c:extLst>
            </c:dLbl>
            <c:dLbl>
              <c:idx val="36"/>
              <c:tx>
                <c:rich>
                  <a:bodyPr/>
                  <a:lstStyle/>
                  <a:p>
                    <a:fld id="{A2C050F4-F880-4881-9634-FB82903A66AB}"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BF91-40E6-8088-EC1CF8F9209C}"/>
                </c:ext>
              </c:extLst>
            </c:dLbl>
            <c:dLbl>
              <c:idx val="37"/>
              <c:tx>
                <c:rich>
                  <a:bodyPr/>
                  <a:lstStyle/>
                  <a:p>
                    <a:fld id="{5A744CE1-0285-4EE3-8E96-1090FC3407A9}"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BF91-40E6-8088-EC1CF8F9209C}"/>
                </c:ext>
              </c:extLst>
            </c:dLbl>
            <c:dLbl>
              <c:idx val="38"/>
              <c:tx>
                <c:rich>
                  <a:bodyPr/>
                  <a:lstStyle/>
                  <a:p>
                    <a:fld id="{1987FB07-AF34-4A4D-807C-3D915E10A405}"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BF91-40E6-8088-EC1CF8F9209C}"/>
                </c:ext>
              </c:extLst>
            </c:dLbl>
            <c:dLbl>
              <c:idx val="39"/>
              <c:tx>
                <c:rich>
                  <a:bodyPr/>
                  <a:lstStyle/>
                  <a:p>
                    <a:fld id="{330C0EE7-E18A-45DA-95A8-8EE9A31A4BB3}"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BF91-40E6-8088-EC1CF8F9209C}"/>
                </c:ext>
              </c:extLst>
            </c:dLbl>
            <c:dLbl>
              <c:idx val="40"/>
              <c:tx>
                <c:rich>
                  <a:bodyPr/>
                  <a:lstStyle/>
                  <a:p>
                    <a:fld id="{A779E083-C47E-4BF0-B38C-8CC4A7643E9E}"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BF91-40E6-8088-EC1CF8F9209C}"/>
                </c:ext>
              </c:extLst>
            </c:dLbl>
            <c:dLbl>
              <c:idx val="41"/>
              <c:tx>
                <c:rich>
                  <a:bodyPr/>
                  <a:lstStyle/>
                  <a:p>
                    <a:fld id="{93540E7C-DECA-4785-8767-423C87268263}"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BF91-40E6-8088-EC1CF8F9209C}"/>
                </c:ext>
              </c:extLst>
            </c:dLbl>
            <c:dLbl>
              <c:idx val="42"/>
              <c:tx>
                <c:rich>
                  <a:bodyPr/>
                  <a:lstStyle/>
                  <a:p>
                    <a:fld id="{B72EA09D-6572-4638-A272-4027C238C568}"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BF91-40E6-8088-EC1CF8F9209C}"/>
                </c:ext>
              </c:extLst>
            </c:dLbl>
            <c:dLbl>
              <c:idx val="43"/>
              <c:tx>
                <c:rich>
                  <a:bodyPr/>
                  <a:lstStyle/>
                  <a:p>
                    <a:fld id="{3F0C852C-712B-4903-B597-5E890FA7B480}"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BF91-40E6-8088-EC1CF8F9209C}"/>
                </c:ext>
              </c:extLst>
            </c:dLbl>
            <c:dLbl>
              <c:idx val="44"/>
              <c:tx>
                <c:rich>
                  <a:bodyPr/>
                  <a:lstStyle/>
                  <a:p>
                    <a:fld id="{8433F2A6-9EFA-48E4-A3ED-B2A0F5EBDCE5}"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BF91-40E6-8088-EC1CF8F9209C}"/>
                </c:ext>
              </c:extLst>
            </c:dLbl>
            <c:dLbl>
              <c:idx val="45"/>
              <c:tx>
                <c:rich>
                  <a:bodyPr/>
                  <a:lstStyle/>
                  <a:p>
                    <a:fld id="{F473D9E3-9928-4260-97E6-7BA4DE21491E}"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BF91-40E6-8088-EC1CF8F9209C}"/>
                </c:ext>
              </c:extLst>
            </c:dLbl>
            <c:dLbl>
              <c:idx val="46"/>
              <c:tx>
                <c:rich>
                  <a:bodyPr/>
                  <a:lstStyle/>
                  <a:p>
                    <a:fld id="{F93611E1-E44D-4D45-A4BC-4DF36D89E7AD}"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BF91-40E6-8088-EC1CF8F9209C}"/>
                </c:ext>
              </c:extLst>
            </c:dLbl>
            <c:dLbl>
              <c:idx val="47"/>
              <c:tx>
                <c:rich>
                  <a:bodyPr/>
                  <a:lstStyle/>
                  <a:p>
                    <a:fld id="{5B5E3A33-65BD-461A-B3F6-D223E53FF37B}"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BF91-40E6-8088-EC1CF8F9209C}"/>
                </c:ext>
              </c:extLst>
            </c:dLbl>
            <c:dLbl>
              <c:idx val="48"/>
              <c:tx>
                <c:rich>
                  <a:bodyPr/>
                  <a:lstStyle/>
                  <a:p>
                    <a:fld id="{62274970-3E8E-4AB1-A066-EA69E5846193}"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BF91-40E6-8088-EC1CF8F9209C}"/>
                </c:ext>
              </c:extLst>
            </c:dLbl>
            <c:dLbl>
              <c:idx val="49"/>
              <c:tx>
                <c:rich>
                  <a:bodyPr/>
                  <a:lstStyle/>
                  <a:p>
                    <a:fld id="{AA8C5C64-21E2-4008-9909-30EA9AD2997B}"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BF91-40E6-8088-EC1CF8F9209C}"/>
                </c:ext>
              </c:extLst>
            </c:dLbl>
            <c:dLbl>
              <c:idx val="50"/>
              <c:tx>
                <c:rich>
                  <a:bodyPr/>
                  <a:lstStyle/>
                  <a:p>
                    <a:fld id="{83993073-F87A-4E77-8664-A94BAE09B50C}"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BF91-40E6-8088-EC1CF8F9209C}"/>
                </c:ext>
              </c:extLst>
            </c:dLbl>
            <c:dLbl>
              <c:idx val="51"/>
              <c:tx>
                <c:rich>
                  <a:bodyPr/>
                  <a:lstStyle/>
                  <a:p>
                    <a:fld id="{37DB3C23-0334-4050-A10C-E44F2C36D149}"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BF91-40E6-8088-EC1CF8F9209C}"/>
                </c:ext>
              </c:extLst>
            </c:dLbl>
            <c:dLbl>
              <c:idx val="52"/>
              <c:tx>
                <c:rich>
                  <a:bodyPr/>
                  <a:lstStyle/>
                  <a:p>
                    <a:fld id="{9906F283-5E73-40C6-A828-30AB76F4CAD8}"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BF91-40E6-8088-EC1CF8F9209C}"/>
                </c:ext>
              </c:extLst>
            </c:dLbl>
            <c:dLbl>
              <c:idx val="53"/>
              <c:tx>
                <c:rich>
                  <a:bodyPr/>
                  <a:lstStyle/>
                  <a:p>
                    <a:fld id="{60F9F428-D736-435D-946C-EE8D6C96A201}"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BF91-40E6-8088-EC1CF8F9209C}"/>
                </c:ext>
              </c:extLst>
            </c:dLbl>
            <c:dLbl>
              <c:idx val="54"/>
              <c:tx>
                <c:rich>
                  <a:bodyPr/>
                  <a:lstStyle/>
                  <a:p>
                    <a:fld id="{5C0C7BC8-DA67-4FCE-A5B7-1C2145514F0D}"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BF91-40E6-8088-EC1CF8F9209C}"/>
                </c:ext>
              </c:extLst>
            </c:dLbl>
            <c:dLbl>
              <c:idx val="55"/>
              <c:tx>
                <c:rich>
                  <a:bodyPr/>
                  <a:lstStyle/>
                  <a:p>
                    <a:fld id="{AB310C8D-DB0B-4314-B194-3438368191B3}"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BF91-40E6-8088-EC1CF8F9209C}"/>
                </c:ext>
              </c:extLst>
            </c:dLbl>
            <c:dLbl>
              <c:idx val="56"/>
              <c:tx>
                <c:rich>
                  <a:bodyPr/>
                  <a:lstStyle/>
                  <a:p>
                    <a:fld id="{AA72C4D4-6810-4F74-86B9-7DBCDFC5391F}"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BF91-40E6-8088-EC1CF8F9209C}"/>
                </c:ext>
              </c:extLst>
            </c:dLbl>
            <c:dLbl>
              <c:idx val="57"/>
              <c:tx>
                <c:rich>
                  <a:bodyPr/>
                  <a:lstStyle/>
                  <a:p>
                    <a:fld id="{7888003E-DB9A-4876-949F-C5D92B58C5A5}"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BF91-40E6-8088-EC1CF8F9209C}"/>
                </c:ext>
              </c:extLst>
            </c:dLbl>
            <c:dLbl>
              <c:idx val="58"/>
              <c:tx>
                <c:rich>
                  <a:bodyPr/>
                  <a:lstStyle/>
                  <a:p>
                    <a:fld id="{8DEDD1B9-579F-4288-9308-9C382776B074}"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A-BF91-40E6-8088-EC1CF8F9209C}"/>
                </c:ext>
              </c:extLst>
            </c:dLbl>
            <c:dLbl>
              <c:idx val="59"/>
              <c:tx>
                <c:rich>
                  <a:bodyPr/>
                  <a:lstStyle/>
                  <a:p>
                    <a:fld id="{CB89FE75-A8AB-4956-A7EC-094BF115F5A3}"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BF91-40E6-8088-EC1CF8F9209C}"/>
                </c:ext>
              </c:extLst>
            </c:dLbl>
            <c:dLbl>
              <c:idx val="60"/>
              <c:tx>
                <c:rich>
                  <a:bodyPr/>
                  <a:lstStyle/>
                  <a:p>
                    <a:fld id="{5B38760C-8A5D-4787-BD64-D64F46FEB24B}"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BF91-40E6-8088-EC1CF8F9209C}"/>
                </c:ext>
              </c:extLst>
            </c:dLbl>
            <c:dLbl>
              <c:idx val="61"/>
              <c:tx>
                <c:rich>
                  <a:bodyPr/>
                  <a:lstStyle/>
                  <a:p>
                    <a:fld id="{DA96B205-6CC2-4888-A1B6-4B94C9D0A109}"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BF91-40E6-8088-EC1CF8F9209C}"/>
                </c:ext>
              </c:extLst>
            </c:dLbl>
            <c:dLbl>
              <c:idx val="62"/>
              <c:tx>
                <c:rich>
                  <a:bodyPr/>
                  <a:lstStyle/>
                  <a:p>
                    <a:fld id="{1A801453-5C79-4333-85D3-BDA5286D734E}"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BF91-40E6-8088-EC1CF8F9209C}"/>
                </c:ext>
              </c:extLst>
            </c:dLbl>
            <c:dLbl>
              <c:idx val="63"/>
              <c:tx>
                <c:rich>
                  <a:bodyPr/>
                  <a:lstStyle/>
                  <a:p>
                    <a:fld id="{C7EE6EEC-A72D-40FA-AA7C-37E992453560}"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BF91-40E6-8088-EC1CF8F9209C}"/>
                </c:ext>
              </c:extLst>
            </c:dLbl>
            <c:dLbl>
              <c:idx val="64"/>
              <c:tx>
                <c:rich>
                  <a:bodyPr/>
                  <a:lstStyle/>
                  <a:p>
                    <a:fld id="{0C3AAE40-C5FC-4701-9529-612D8C27DD6D}"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0-BF91-40E6-8088-EC1CF8F9209C}"/>
                </c:ext>
              </c:extLst>
            </c:dLbl>
            <c:dLbl>
              <c:idx val="65"/>
              <c:tx>
                <c:rich>
                  <a:bodyPr/>
                  <a:lstStyle/>
                  <a:p>
                    <a:fld id="{5B6DEC29-5BB8-4C7F-9CAB-F6D333C3E98B}"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1-BF91-40E6-8088-EC1CF8F9209C}"/>
                </c:ext>
              </c:extLst>
            </c:dLbl>
            <c:dLbl>
              <c:idx val="66"/>
              <c:tx>
                <c:rich>
                  <a:bodyPr/>
                  <a:lstStyle/>
                  <a:p>
                    <a:fld id="{C50E9FDB-5BAC-4AC6-8C31-7F072121E3C8}"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BF91-40E6-8088-EC1CF8F9209C}"/>
                </c:ext>
              </c:extLst>
            </c:dLbl>
            <c:dLbl>
              <c:idx val="67"/>
              <c:tx>
                <c:rich>
                  <a:bodyPr/>
                  <a:lstStyle/>
                  <a:p>
                    <a:fld id="{653AA040-C571-4919-9AFD-D9486526B033}"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3-BF91-40E6-8088-EC1CF8F9209C}"/>
                </c:ext>
              </c:extLst>
            </c:dLbl>
            <c:dLbl>
              <c:idx val="68"/>
              <c:tx>
                <c:rich>
                  <a:bodyPr/>
                  <a:lstStyle/>
                  <a:p>
                    <a:fld id="{7868D632-1EEF-4825-9C48-99F829BCAC0D}"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4-BF91-40E6-8088-EC1CF8F9209C}"/>
                </c:ext>
              </c:extLst>
            </c:dLbl>
            <c:dLbl>
              <c:idx val="69"/>
              <c:tx>
                <c:rich>
                  <a:bodyPr/>
                  <a:lstStyle/>
                  <a:p>
                    <a:fld id="{7E7E4837-5500-4A68-8043-7705C075B2F8}"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5-BF91-40E6-8088-EC1CF8F9209C}"/>
                </c:ext>
              </c:extLst>
            </c:dLbl>
            <c:dLbl>
              <c:idx val="70"/>
              <c:tx>
                <c:rich>
                  <a:bodyPr/>
                  <a:lstStyle/>
                  <a:p>
                    <a:fld id="{5BEA3DD4-BBC8-4631-9C5B-5F84E630FD61}"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6-BF91-40E6-8088-EC1CF8F9209C}"/>
                </c:ext>
              </c:extLst>
            </c:dLbl>
            <c:dLbl>
              <c:idx val="71"/>
              <c:tx>
                <c:rich>
                  <a:bodyPr/>
                  <a:lstStyle/>
                  <a:p>
                    <a:fld id="{3A36EB44-741E-4EAC-940F-97EEF2384CF6}"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7-BF91-40E6-8088-EC1CF8F9209C}"/>
                </c:ext>
              </c:extLst>
            </c:dLbl>
            <c:dLbl>
              <c:idx val="72"/>
              <c:tx>
                <c:rich>
                  <a:bodyPr/>
                  <a:lstStyle/>
                  <a:p>
                    <a:fld id="{D7C94D60-AA1E-41B2-8D46-74E49D17AABA}"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8-BF91-40E6-8088-EC1CF8F9209C}"/>
                </c:ext>
              </c:extLst>
            </c:dLbl>
            <c:dLbl>
              <c:idx val="73"/>
              <c:tx>
                <c:rich>
                  <a:bodyPr/>
                  <a:lstStyle/>
                  <a:p>
                    <a:fld id="{CF0126DE-38EA-4F76-B10C-4C995A2D282D}"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9-BF91-40E6-8088-EC1CF8F9209C}"/>
                </c:ext>
              </c:extLst>
            </c:dLbl>
            <c:dLbl>
              <c:idx val="74"/>
              <c:tx>
                <c:rich>
                  <a:bodyPr/>
                  <a:lstStyle/>
                  <a:p>
                    <a:fld id="{3541CC83-EA17-4105-B941-BDAE3D685A64}"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A-BF91-40E6-8088-EC1CF8F9209C}"/>
                </c:ext>
              </c:extLst>
            </c:dLbl>
            <c:dLbl>
              <c:idx val="75"/>
              <c:tx>
                <c:rich>
                  <a:bodyPr/>
                  <a:lstStyle/>
                  <a:p>
                    <a:fld id="{7815677D-9C3A-4106-BE7B-A7789353A711}"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B-BF91-40E6-8088-EC1CF8F9209C}"/>
                </c:ext>
              </c:extLst>
            </c:dLbl>
            <c:dLbl>
              <c:idx val="76"/>
              <c:tx>
                <c:rich>
                  <a:bodyPr/>
                  <a:lstStyle/>
                  <a:p>
                    <a:fld id="{5FD4A129-C03D-4599-90CD-34E987A6B967}"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C-BF91-40E6-8088-EC1CF8F9209C}"/>
                </c:ext>
              </c:extLst>
            </c:dLbl>
            <c:dLbl>
              <c:idx val="77"/>
              <c:tx>
                <c:rich>
                  <a:bodyPr/>
                  <a:lstStyle/>
                  <a:p>
                    <a:fld id="{A21121DC-2341-4A09-973D-9D8AA9AD3E46}"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D-BF91-40E6-8088-EC1CF8F9209C}"/>
                </c:ext>
              </c:extLst>
            </c:dLbl>
            <c:dLbl>
              <c:idx val="78"/>
              <c:tx>
                <c:rich>
                  <a:bodyPr/>
                  <a:lstStyle/>
                  <a:p>
                    <a:fld id="{0A751F1A-621E-4B1D-83D1-BE922BDF3DDE}"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E-BF91-40E6-8088-EC1CF8F9209C}"/>
                </c:ext>
              </c:extLst>
            </c:dLbl>
            <c:dLbl>
              <c:idx val="79"/>
              <c:tx>
                <c:rich>
                  <a:bodyPr/>
                  <a:lstStyle/>
                  <a:p>
                    <a:fld id="{42ADE094-2104-487C-8A8B-95B561E37944}"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F-BF91-40E6-8088-EC1CF8F9209C}"/>
                </c:ext>
              </c:extLst>
            </c:dLbl>
            <c:dLbl>
              <c:idx val="80"/>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0-BF91-40E6-8088-EC1CF8F9209C}"/>
                </c:ext>
              </c:extLst>
            </c:dLbl>
            <c:dLbl>
              <c:idx val="81"/>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1-BF91-40E6-8088-EC1CF8F9209C}"/>
                </c:ext>
              </c:extLst>
            </c:dLbl>
            <c:dLbl>
              <c:idx val="82"/>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2-BF91-40E6-8088-EC1CF8F9209C}"/>
                </c:ext>
              </c:extLst>
            </c:dLbl>
            <c:dLbl>
              <c:idx val="83"/>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3-BF91-40E6-8088-EC1CF8F9209C}"/>
                </c:ext>
              </c:extLst>
            </c:dLbl>
            <c:dLbl>
              <c:idx val="84"/>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4-BF91-40E6-8088-EC1CF8F9209C}"/>
                </c:ext>
              </c:extLst>
            </c:dLbl>
            <c:dLbl>
              <c:idx val="85"/>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5-BF91-40E6-8088-EC1CF8F9209C}"/>
                </c:ext>
              </c:extLst>
            </c:dLbl>
            <c:dLbl>
              <c:idx val="86"/>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6-BF91-40E6-8088-EC1CF8F9209C}"/>
                </c:ext>
              </c:extLst>
            </c:dLbl>
            <c:dLbl>
              <c:idx val="87"/>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7-BF91-40E6-8088-EC1CF8F9209C}"/>
                </c:ext>
              </c:extLst>
            </c:dLbl>
            <c:dLbl>
              <c:idx val="88"/>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8-BF91-40E6-8088-EC1CF8F9209C}"/>
                </c:ext>
              </c:extLst>
            </c:dLbl>
            <c:dLbl>
              <c:idx val="89"/>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9-BF91-40E6-8088-EC1CF8F9209C}"/>
                </c:ext>
              </c:extLst>
            </c:dLbl>
            <c:dLbl>
              <c:idx val="90"/>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A-BF91-40E6-8088-EC1CF8F9209C}"/>
                </c:ext>
              </c:extLst>
            </c:dLbl>
            <c:dLbl>
              <c:idx val="91"/>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B-BF91-40E6-8088-EC1CF8F9209C}"/>
                </c:ext>
              </c:extLst>
            </c:dLbl>
            <c:dLbl>
              <c:idx val="92"/>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C-BF91-40E6-8088-EC1CF8F9209C}"/>
                </c:ext>
              </c:extLst>
            </c:dLbl>
            <c:dLbl>
              <c:idx val="93"/>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D-BF91-40E6-8088-EC1CF8F9209C}"/>
                </c:ext>
              </c:extLst>
            </c:dLbl>
            <c:spPr>
              <a:noFill/>
              <a:ln>
                <a:noFill/>
              </a:ln>
              <a:effectLst/>
            </c:spPr>
            <c:txPr>
              <a:bodyPr wrap="square" lIns="38100" tIns="19050" rIns="38100" bIns="19050" anchor="ctr">
                <a:spAutoFit/>
              </a:bodyPr>
              <a:lstStyle/>
              <a:p>
                <a:pPr>
                  <a:defRPr sz="1000" baseline="0">
                    <a:solidFill>
                      <a:schemeClr val="bg1">
                        <a:lumMod val="75000"/>
                      </a:schemeClr>
                    </a:solidFill>
                  </a:defRPr>
                </a:pPr>
                <a:endParaRPr lang="fr-FR"/>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trendline>
            <c:spPr>
              <a:ln w="38100">
                <a:solidFill>
                  <a:srgbClr val="000000"/>
                </a:solidFill>
                <a:prstDash val="sysDash"/>
              </a:ln>
            </c:spPr>
            <c:trendlineType val="linear"/>
            <c:dispRSqr val="0"/>
            <c:dispEq val="0"/>
          </c:trendline>
          <c:trendline>
            <c:trendlineType val="linear"/>
            <c:dispRSqr val="0"/>
            <c:dispEq val="0"/>
          </c:trendline>
          <c:xVal>
            <c:numRef>
              <c:f>mark!$F$63:$F$156</c:f>
              <c:numCache>
                <c:formatCode>General</c:formatCode>
                <c:ptCount val="94"/>
                <c:pt idx="0">
                  <c:v>9.8580000000000005</c:v>
                </c:pt>
                <c:pt idx="1">
                  <c:v>10.644</c:v>
                </c:pt>
                <c:pt idx="2">
                  <c:v>10.348000000000001</c:v>
                </c:pt>
                <c:pt idx="3">
                  <c:v>10.862</c:v>
                </c:pt>
                <c:pt idx="4">
                  <c:v>11.31</c:v>
                </c:pt>
                <c:pt idx="5">
                  <c:v>10.817</c:v>
                </c:pt>
                <c:pt idx="6">
                  <c:v>11.191000000000001</c:v>
                </c:pt>
                <c:pt idx="7">
                  <c:v>11.204000000000001</c:v>
                </c:pt>
                <c:pt idx="8">
                  <c:v>11.263999999999999</c:v>
                </c:pt>
                <c:pt idx="9">
                  <c:v>11.099</c:v>
                </c:pt>
                <c:pt idx="10">
                  <c:v>11.324</c:v>
                </c:pt>
                <c:pt idx="11">
                  <c:v>11.506</c:v>
                </c:pt>
                <c:pt idx="12">
                  <c:v>10.398999999999999</c:v>
                </c:pt>
                <c:pt idx="13">
                  <c:v>10.36</c:v>
                </c:pt>
                <c:pt idx="14">
                  <c:v>11.009</c:v>
                </c:pt>
                <c:pt idx="15">
                  <c:v>10.917</c:v>
                </c:pt>
                <c:pt idx="16">
                  <c:v>10.561999999999999</c:v>
                </c:pt>
                <c:pt idx="17">
                  <c:v>9.9499999999999993</c:v>
                </c:pt>
                <c:pt idx="18">
                  <c:v>10.692</c:v>
                </c:pt>
                <c:pt idx="19">
                  <c:v>11.878</c:v>
                </c:pt>
                <c:pt idx="20">
                  <c:v>11.94</c:v>
                </c:pt>
                <c:pt idx="21">
                  <c:v>11.715</c:v>
                </c:pt>
                <c:pt idx="22">
                  <c:v>11.677</c:v>
                </c:pt>
                <c:pt idx="23">
                  <c:v>9.9309999999999992</c:v>
                </c:pt>
                <c:pt idx="24">
                  <c:v>12.31</c:v>
                </c:pt>
                <c:pt idx="25">
                  <c:v>10.117000000000001</c:v>
                </c:pt>
                <c:pt idx="26">
                  <c:v>11.13</c:v>
                </c:pt>
                <c:pt idx="27">
                  <c:v>11.696999999999999</c:v>
                </c:pt>
                <c:pt idx="28">
                  <c:v>10.548</c:v>
                </c:pt>
                <c:pt idx="29">
                  <c:v>12.183</c:v>
                </c:pt>
                <c:pt idx="30">
                  <c:v>12.164999999999999</c:v>
                </c:pt>
                <c:pt idx="31">
                  <c:v>10.827</c:v>
                </c:pt>
                <c:pt idx="32">
                  <c:v>10.776</c:v>
                </c:pt>
                <c:pt idx="33">
                  <c:v>10.545</c:v>
                </c:pt>
                <c:pt idx="34">
                  <c:v>12.316000000000001</c:v>
                </c:pt>
                <c:pt idx="35">
                  <c:v>9.4019999999999992</c:v>
                </c:pt>
                <c:pt idx="36">
                  <c:v>11.262</c:v>
                </c:pt>
                <c:pt idx="37">
                  <c:v>9.6010000000000009</c:v>
                </c:pt>
                <c:pt idx="38">
                  <c:v>12.662000000000001</c:v>
                </c:pt>
                <c:pt idx="39">
                  <c:v>11.420999999999999</c:v>
                </c:pt>
                <c:pt idx="40">
                  <c:v>10.775</c:v>
                </c:pt>
                <c:pt idx="41">
                  <c:v>11.254</c:v>
                </c:pt>
                <c:pt idx="42">
                  <c:v>11.657999999999999</c:v>
                </c:pt>
                <c:pt idx="43">
                  <c:v>10.073</c:v>
                </c:pt>
                <c:pt idx="44">
                  <c:v>12.823</c:v>
                </c:pt>
                <c:pt idx="45">
                  <c:v>11.226000000000001</c:v>
                </c:pt>
                <c:pt idx="46">
                  <c:v>11.622999999999999</c:v>
                </c:pt>
                <c:pt idx="47">
                  <c:v>9.1890000000000001</c:v>
                </c:pt>
                <c:pt idx="48">
                  <c:v>9.8000000000000007</c:v>
                </c:pt>
                <c:pt idx="49">
                  <c:v>11.288</c:v>
                </c:pt>
                <c:pt idx="50">
                  <c:v>10.33</c:v>
                </c:pt>
                <c:pt idx="51">
                  <c:v>11.738</c:v>
                </c:pt>
                <c:pt idx="52">
                  <c:v>11.919</c:v>
                </c:pt>
                <c:pt idx="53">
                  <c:v>12.026</c:v>
                </c:pt>
                <c:pt idx="54">
                  <c:v>12.852</c:v>
                </c:pt>
                <c:pt idx="55">
                  <c:v>10.298999999999999</c:v>
                </c:pt>
                <c:pt idx="56">
                  <c:v>9.8079999999999998</c:v>
                </c:pt>
                <c:pt idx="57">
                  <c:v>10.29</c:v>
                </c:pt>
                <c:pt idx="58">
                  <c:v>12.266999999999999</c:v>
                </c:pt>
                <c:pt idx="59">
                  <c:v>10.561</c:v>
                </c:pt>
                <c:pt idx="60">
                  <c:v>12.79</c:v>
                </c:pt>
                <c:pt idx="61">
                  <c:v>11.935</c:v>
                </c:pt>
                <c:pt idx="62">
                  <c:v>10.846</c:v>
                </c:pt>
                <c:pt idx="63">
                  <c:v>13.394</c:v>
                </c:pt>
                <c:pt idx="64">
                  <c:v>12.5</c:v>
                </c:pt>
                <c:pt idx="65">
                  <c:v>12.561</c:v>
                </c:pt>
                <c:pt idx="66">
                  <c:v>12.324999999999999</c:v>
                </c:pt>
                <c:pt idx="67">
                  <c:v>12.651999999999999</c:v>
                </c:pt>
                <c:pt idx="68">
                  <c:v>13.016</c:v>
                </c:pt>
                <c:pt idx="69">
                  <c:v>13.036</c:v>
                </c:pt>
                <c:pt idx="70">
                  <c:v>11.371</c:v>
                </c:pt>
                <c:pt idx="71">
                  <c:v>12.612</c:v>
                </c:pt>
                <c:pt idx="72">
                  <c:v>13.335000000000001</c:v>
                </c:pt>
                <c:pt idx="73">
                  <c:v>13.125</c:v>
                </c:pt>
                <c:pt idx="74">
                  <c:v>12.858000000000001</c:v>
                </c:pt>
                <c:pt idx="75">
                  <c:v>12.827999999999999</c:v>
                </c:pt>
                <c:pt idx="76">
                  <c:v>13.209</c:v>
                </c:pt>
                <c:pt idx="77">
                  <c:v>12.548</c:v>
                </c:pt>
                <c:pt idx="78">
                  <c:v>12.685</c:v>
                </c:pt>
                <c:pt idx="79">
                  <c:v>14.459</c:v>
                </c:pt>
              </c:numCache>
            </c:numRef>
          </c:xVal>
          <c:yVal>
            <c:numRef>
              <c:f>mark!$D$63:$D$156</c:f>
              <c:numCache>
                <c:formatCode>General</c:formatCode>
                <c:ptCount val="94"/>
                <c:pt idx="0">
                  <c:v>9.9399996000000002</c:v>
                </c:pt>
                <c:pt idx="1">
                  <c:v>10.0200005</c:v>
                </c:pt>
                <c:pt idx="2">
                  <c:v>10</c:v>
                </c:pt>
                <c:pt idx="3">
                  <c:v>10.5</c:v>
                </c:pt>
                <c:pt idx="4">
                  <c:v>10.779999699999999</c:v>
                </c:pt>
                <c:pt idx="5">
                  <c:v>10.449999800000001</c:v>
                </c:pt>
                <c:pt idx="6">
                  <c:v>11.0200005</c:v>
                </c:pt>
                <c:pt idx="7">
                  <c:v>10.800000199999999</c:v>
                </c:pt>
                <c:pt idx="8">
                  <c:v>10.8800001</c:v>
                </c:pt>
                <c:pt idx="9">
                  <c:v>11.0600004</c:v>
                </c:pt>
                <c:pt idx="10">
                  <c:v>11.0900002</c:v>
                </c:pt>
                <c:pt idx="11">
                  <c:v>11.6199999</c:v>
                </c:pt>
                <c:pt idx="12">
                  <c:v>9.9600000000000009</c:v>
                </c:pt>
                <c:pt idx="13">
                  <c:v>9.5</c:v>
                </c:pt>
                <c:pt idx="14">
                  <c:v>9.9899997999999997</c:v>
                </c:pt>
                <c:pt idx="15">
                  <c:v>10.0100002</c:v>
                </c:pt>
                <c:pt idx="16">
                  <c:v>9.8299999000000007</c:v>
                </c:pt>
                <c:pt idx="17">
                  <c:v>9.5699997000000003</c:v>
                </c:pt>
                <c:pt idx="18">
                  <c:v>9.9200000999999993</c:v>
                </c:pt>
                <c:pt idx="19">
                  <c:v>11.670000099999999</c:v>
                </c:pt>
                <c:pt idx="20">
                  <c:v>11.5</c:v>
                </c:pt>
                <c:pt idx="21">
                  <c:v>11.3699999</c:v>
                </c:pt>
                <c:pt idx="22">
                  <c:v>11.5900002</c:v>
                </c:pt>
                <c:pt idx="23">
                  <c:v>9.8800001000000002</c:v>
                </c:pt>
                <c:pt idx="24">
                  <c:v>11.8400002</c:v>
                </c:pt>
                <c:pt idx="25">
                  <c:v>10</c:v>
                </c:pt>
                <c:pt idx="26">
                  <c:v>10.100000400000001</c:v>
                </c:pt>
                <c:pt idx="27">
                  <c:v>11.399999599999999</c:v>
                </c:pt>
                <c:pt idx="28">
                  <c:v>10.279999699999999</c:v>
                </c:pt>
                <c:pt idx="29">
                  <c:v>12.21</c:v>
                </c:pt>
                <c:pt idx="30">
                  <c:v>11.9399996</c:v>
                </c:pt>
                <c:pt idx="31">
                  <c:v>10.3699999</c:v>
                </c:pt>
                <c:pt idx="32">
                  <c:v>10.3800001</c:v>
                </c:pt>
                <c:pt idx="33">
                  <c:v>9.8800001000000002</c:v>
                </c:pt>
                <c:pt idx="34">
                  <c:v>12.079999900000001</c:v>
                </c:pt>
                <c:pt idx="35">
                  <c:v>9.0799999000000007</c:v>
                </c:pt>
                <c:pt idx="36">
                  <c:v>10.800000199999999</c:v>
                </c:pt>
                <c:pt idx="37">
                  <c:v>9.3599996999999995</c:v>
                </c:pt>
                <c:pt idx="38">
                  <c:v>12.449999800000001</c:v>
                </c:pt>
                <c:pt idx="39">
                  <c:v>10.920000099999999</c:v>
                </c:pt>
                <c:pt idx="40">
                  <c:v>10.949999800000001</c:v>
                </c:pt>
                <c:pt idx="41">
                  <c:v>10.9899998</c:v>
                </c:pt>
                <c:pt idx="42">
                  <c:v>11</c:v>
                </c:pt>
                <c:pt idx="43">
                  <c:v>9.9700003000000006</c:v>
                </c:pt>
                <c:pt idx="44">
                  <c:v>12.899999599999999</c:v>
                </c:pt>
                <c:pt idx="45">
                  <c:v>10.529999699999999</c:v>
                </c:pt>
                <c:pt idx="46">
                  <c:v>11.0600004</c:v>
                </c:pt>
                <c:pt idx="47">
                  <c:v>9.1000004000000008</c:v>
                </c:pt>
                <c:pt idx="48">
                  <c:v>8.9700003000000006</c:v>
                </c:pt>
                <c:pt idx="49">
                  <c:v>11.1199999</c:v>
                </c:pt>
                <c:pt idx="50">
                  <c:v>9.2299994999999999</c:v>
                </c:pt>
                <c:pt idx="51">
                  <c:v>11.2299995</c:v>
                </c:pt>
                <c:pt idx="52">
                  <c:v>11.2299995</c:v>
                </c:pt>
                <c:pt idx="53">
                  <c:v>11.2399998</c:v>
                </c:pt>
                <c:pt idx="54">
                  <c:v>12.5600004</c:v>
                </c:pt>
                <c:pt idx="55">
                  <c:v>10.0699997</c:v>
                </c:pt>
                <c:pt idx="56">
                  <c:v>9.9399996000000002</c:v>
                </c:pt>
                <c:pt idx="57">
                  <c:v>10.2399998</c:v>
                </c:pt>
                <c:pt idx="58">
                  <c:v>11.420000099999999</c:v>
                </c:pt>
                <c:pt idx="59">
                  <c:v>10.5</c:v>
                </c:pt>
                <c:pt idx="60">
                  <c:v>13.140000300000001</c:v>
                </c:pt>
                <c:pt idx="61">
                  <c:v>11.699999800000001</c:v>
                </c:pt>
                <c:pt idx="62">
                  <c:v>10.3800001</c:v>
                </c:pt>
                <c:pt idx="63">
                  <c:v>13.350000400000001</c:v>
                </c:pt>
                <c:pt idx="64">
                  <c:v>12.6599998</c:v>
                </c:pt>
                <c:pt idx="65">
                  <c:v>11.9899998</c:v>
                </c:pt>
                <c:pt idx="66">
                  <c:v>12</c:v>
                </c:pt>
                <c:pt idx="67">
                  <c:v>12</c:v>
                </c:pt>
                <c:pt idx="68">
                  <c:v>13.1599998</c:v>
                </c:pt>
                <c:pt idx="69">
                  <c:v>12.170000099999999</c:v>
                </c:pt>
                <c:pt idx="70">
                  <c:v>10.970000300000001</c:v>
                </c:pt>
                <c:pt idx="71">
                  <c:v>12.2600002</c:v>
                </c:pt>
                <c:pt idx="72">
                  <c:v>13.029999699999999</c:v>
                </c:pt>
                <c:pt idx="73">
                  <c:v>12.359999699999999</c:v>
                </c:pt>
                <c:pt idx="74">
                  <c:v>12.399999599999999</c:v>
                </c:pt>
                <c:pt idx="75">
                  <c:v>12.5</c:v>
                </c:pt>
                <c:pt idx="76">
                  <c:v>12.600000400000001</c:v>
                </c:pt>
                <c:pt idx="77">
                  <c:v>12.670000099999999</c:v>
                </c:pt>
                <c:pt idx="78">
                  <c:v>12.699999800000001</c:v>
                </c:pt>
                <c:pt idx="79">
                  <c:v>14.4300003</c:v>
                </c:pt>
              </c:numCache>
            </c:numRef>
          </c:yVal>
          <c:smooth val="0"/>
          <c:extLst>
            <c:ext xmlns:c15="http://schemas.microsoft.com/office/drawing/2012/chart" uri="{02D57815-91ED-43cb-92C2-25804820EDAC}">
              <c15:datalabelsRange>
                <c15:f>mark!$B$63:$B$142</c15:f>
                <c15:dlblRangeCache>
                  <c:ptCount val="8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15:dlblRangeCache>
              </c15:datalabelsRange>
            </c:ext>
            <c:ext xmlns:c16="http://schemas.microsoft.com/office/drawing/2014/chart" uri="{C3380CC4-5D6E-409C-BE32-E72D297353CC}">
              <c16:uniqueId val="{00000060-BF91-40E6-8088-EC1CF8F9209C}"/>
            </c:ext>
          </c:extLst>
        </c:ser>
        <c:ser>
          <c:idx val="1"/>
          <c:order val="1"/>
          <c:tx>
            <c:v>45°</c:v>
          </c:tx>
          <c:spPr>
            <a:ln w="25400">
              <a:solidFill>
                <a:srgbClr val="FF0000"/>
              </a:solidFill>
              <a:prstDash val="solid"/>
            </a:ln>
          </c:spPr>
          <c:marker>
            <c:symbol val="none"/>
          </c:marker>
          <c:xVal>
            <c:numRef>
              <c:f>mark!$E$10:$E$11</c:f>
              <c:numCache>
                <c:formatCode>0.00</c:formatCode>
                <c:ptCount val="2"/>
                <c:pt idx="0">
                  <c:v>8</c:v>
                </c:pt>
                <c:pt idx="1">
                  <c:v>16</c:v>
                </c:pt>
              </c:numCache>
            </c:numRef>
          </c:xVal>
          <c:yVal>
            <c:numRef>
              <c:f>mark!$E$10:$E$11</c:f>
              <c:numCache>
                <c:formatCode>0.00</c:formatCode>
                <c:ptCount val="2"/>
                <c:pt idx="0">
                  <c:v>8</c:v>
                </c:pt>
                <c:pt idx="1">
                  <c:v>16</c:v>
                </c:pt>
              </c:numCache>
            </c:numRef>
          </c:yVal>
          <c:smooth val="0"/>
          <c:extLst>
            <c:ext xmlns:c16="http://schemas.microsoft.com/office/drawing/2014/chart" uri="{C3380CC4-5D6E-409C-BE32-E72D297353CC}">
              <c16:uniqueId val="{00000061-BF91-40E6-8088-EC1CF8F9209C}"/>
            </c:ext>
          </c:extLst>
        </c:ser>
        <c:ser>
          <c:idx val="2"/>
          <c:order val="2"/>
          <c:tx>
            <c:v>45°-Bias</c:v>
          </c:tx>
          <c:spPr>
            <a:ln w="38100">
              <a:solidFill>
                <a:srgbClr val="0000FF"/>
              </a:solidFill>
              <a:prstDash val="lgDashDotDot"/>
            </a:ln>
          </c:spPr>
          <c:marker>
            <c:symbol val="none"/>
          </c:marker>
          <c:xVal>
            <c:numRef>
              <c:f>mark!$W$10:$W$11</c:f>
              <c:numCache>
                <c:formatCode>0.00</c:formatCode>
                <c:ptCount val="2"/>
                <c:pt idx="0">
                  <c:v>8.3567875199999921</c:v>
                </c:pt>
                <c:pt idx="1">
                  <c:v>16.35678751999999</c:v>
                </c:pt>
              </c:numCache>
            </c:numRef>
          </c:xVal>
          <c:yVal>
            <c:numRef>
              <c:f>mark!$E$10:$E$11</c:f>
              <c:numCache>
                <c:formatCode>0.00</c:formatCode>
                <c:ptCount val="2"/>
                <c:pt idx="0">
                  <c:v>8</c:v>
                </c:pt>
                <c:pt idx="1">
                  <c:v>16</c:v>
                </c:pt>
              </c:numCache>
            </c:numRef>
          </c:yVal>
          <c:smooth val="0"/>
          <c:extLst>
            <c:ext xmlns:c16="http://schemas.microsoft.com/office/drawing/2014/chart" uri="{C3380CC4-5D6E-409C-BE32-E72D297353CC}">
              <c16:uniqueId val="{00000062-BF91-40E6-8088-EC1CF8F9209C}"/>
            </c:ext>
          </c:extLst>
        </c:ser>
        <c:ser>
          <c:idx val="3"/>
          <c:order val="3"/>
          <c:tx>
            <c:v>Least Rec </c:v>
          </c:tx>
          <c:spPr>
            <a:ln w="25400">
              <a:solidFill>
                <a:srgbClr val="FF9900"/>
              </a:solidFill>
              <a:prstDash val="sysDash"/>
            </a:ln>
          </c:spPr>
          <c:marker>
            <c:symbol val="none"/>
          </c:marker>
          <c:xVal>
            <c:numRef>
              <c:f>mark!$Y$19:$Y$20</c:f>
              <c:numCache>
                <c:formatCode>General</c:formatCode>
                <c:ptCount val="2"/>
                <c:pt idx="0">
                  <c:v>8</c:v>
                </c:pt>
                <c:pt idx="1">
                  <c:v>16</c:v>
                </c:pt>
              </c:numCache>
            </c:numRef>
          </c:xVal>
          <c:yVal>
            <c:numRef>
              <c:f>mark!$X$19:$X$20</c:f>
              <c:numCache>
                <c:formatCode>0.000</c:formatCode>
                <c:ptCount val="2"/>
                <c:pt idx="0">
                  <c:v>7.4186887201221836</c:v>
                </c:pt>
                <c:pt idx="1">
                  <c:v>15.936877150545971</c:v>
                </c:pt>
              </c:numCache>
            </c:numRef>
          </c:yVal>
          <c:smooth val="0"/>
          <c:extLst>
            <c:ext xmlns:c16="http://schemas.microsoft.com/office/drawing/2014/chart" uri="{C3380CC4-5D6E-409C-BE32-E72D297353CC}">
              <c16:uniqueId val="{00000063-BF91-40E6-8088-EC1CF8F9209C}"/>
            </c:ext>
          </c:extLst>
        </c:ser>
        <c:dLbls>
          <c:showLegendKey val="0"/>
          <c:showVal val="0"/>
          <c:showCatName val="0"/>
          <c:showSerName val="0"/>
          <c:showPercent val="0"/>
          <c:showBubbleSize val="0"/>
        </c:dLbls>
        <c:axId val="159636864"/>
        <c:axId val="201328128"/>
      </c:scatterChart>
      <c:valAx>
        <c:axId val="159636864"/>
        <c:scaling>
          <c:orientation val="minMax"/>
          <c:max val="18"/>
          <c:min val="5"/>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775" b="0" i="0" u="none" strike="noStrike" baseline="0">
                <a:solidFill>
                  <a:srgbClr val="000000"/>
                </a:solidFill>
                <a:latin typeface="Arial"/>
                <a:ea typeface="Arial"/>
                <a:cs typeface="Arial"/>
              </a:defRPr>
            </a:pPr>
            <a:endParaRPr lang="fr-FR"/>
          </a:p>
        </c:txPr>
        <c:crossAx val="201328128"/>
        <c:crosses val="autoZero"/>
        <c:crossBetween val="midCat"/>
      </c:valAx>
      <c:valAx>
        <c:axId val="201328128"/>
        <c:scaling>
          <c:orientation val="minMax"/>
          <c:max val="16"/>
          <c:min val="8"/>
        </c:scaling>
        <c:delete val="0"/>
        <c:axPos val="l"/>
        <c:numFmt formatCode="General" sourceLinked="1"/>
        <c:majorTickMark val="out"/>
        <c:minorTickMark val="none"/>
        <c:tickLblPos val="nextTo"/>
        <c:spPr>
          <a:ln w="3175">
            <a:solidFill>
              <a:srgbClr val="000000"/>
            </a:solidFill>
            <a:prstDash val="solid"/>
          </a:ln>
        </c:spPr>
        <c:txPr>
          <a:bodyPr rot="0" vert="horz"/>
          <a:lstStyle/>
          <a:p>
            <a:pPr>
              <a:defRPr sz="1775" b="0" i="0" u="none" strike="noStrike" baseline="0">
                <a:solidFill>
                  <a:srgbClr val="000000"/>
                </a:solidFill>
                <a:latin typeface="Arial"/>
                <a:ea typeface="Arial"/>
                <a:cs typeface="Arial"/>
              </a:defRPr>
            </a:pPr>
            <a:endParaRPr lang="fr-FR"/>
          </a:p>
        </c:txPr>
        <c:crossAx val="159636864"/>
        <c:crosses val="autoZero"/>
        <c:crossBetween val="midCat"/>
      </c:valAx>
      <c:spPr>
        <a:noFill/>
        <a:ln w="12700">
          <a:solidFill>
            <a:srgbClr val="808080"/>
          </a:solidFill>
          <a:prstDash val="solid"/>
        </a:ln>
      </c:spPr>
    </c:plotArea>
    <c:legend>
      <c:legendPos val="r"/>
      <c:legendEntry>
        <c:idx val="5"/>
        <c:delete val="1"/>
      </c:legendEntry>
      <c:layout>
        <c:manualLayout>
          <c:xMode val="edge"/>
          <c:yMode val="edge"/>
          <c:x val="0.79767434134024384"/>
          <c:y val="0.33862478127734036"/>
          <c:w val="0.15397255752001976"/>
          <c:h val="0.2372110830586843"/>
        </c:manualLayout>
      </c:layout>
      <c:overlay val="0"/>
      <c:spPr>
        <a:solidFill>
          <a:srgbClr val="FFFFFF"/>
        </a:solidFill>
        <a:ln w="3175">
          <a:solidFill>
            <a:srgbClr val="000000"/>
          </a:solidFill>
          <a:prstDash val="solid"/>
        </a:ln>
      </c:spPr>
      <c:txPr>
        <a:bodyPr/>
        <a:lstStyle/>
        <a:p>
          <a:pPr>
            <a:defRPr sz="1350" b="1" i="0" u="none" strike="noStrike" baseline="0">
              <a:solidFill>
                <a:srgbClr val="000000"/>
              </a:solidFill>
              <a:latin typeface="Arial"/>
              <a:ea typeface="Arial"/>
              <a:cs typeface="Arial"/>
            </a:defRPr>
          </a:pPr>
          <a:endParaRPr lang="fr-FR"/>
        </a:p>
      </c:txPr>
    </c:legend>
    <c:plotVisOnly val="1"/>
    <c:dispBlanksAs val="gap"/>
    <c:showDLblsOverMax val="0"/>
  </c:chart>
  <c:spPr>
    <a:solidFill>
      <a:srgbClr val="FFFFFF"/>
    </a:solidFill>
    <a:ln w="25400">
      <a:solidFill>
        <a:srgbClr val="000000"/>
      </a:solidFill>
      <a:prstDash val="solid"/>
    </a:ln>
  </c:spPr>
  <c:txPr>
    <a:bodyPr/>
    <a:lstStyle/>
    <a:p>
      <a:pPr>
        <a:defRPr sz="1775" b="0" i="0" u="none" strike="noStrike" baseline="0">
          <a:solidFill>
            <a:srgbClr val="000000"/>
          </a:solidFill>
          <a:latin typeface="Arial"/>
          <a:ea typeface="Arial"/>
          <a:cs typeface="Arial"/>
        </a:defRPr>
      </a:pPr>
      <a:endParaRPr lang="fr-FR"/>
    </a:p>
  </c:txPr>
  <c:printSettings>
    <c:headerFooter alignWithMargins="0"/>
    <c:pageMargins b="1" l="0.75000000000000377" r="0.75000000000000377" t="1" header="0.5" footer="0.5"/>
    <c:pageSetup paperSize="9" orientation="landscape"/>
  </c:printSettings>
  <c:userShapes r:id="rId1"/>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400" baseline="0"/>
              <a:t>Residuals vs References</a:t>
            </a:r>
          </a:p>
        </c:rich>
      </c:tx>
      <c:layout>
        <c:manualLayout>
          <c:xMode val="edge"/>
          <c:yMode val="edge"/>
          <c:x val="0.56681818181818189"/>
          <c:y val="3.53109202638453E-3"/>
        </c:manualLayout>
      </c:layout>
      <c:overlay val="1"/>
    </c:title>
    <c:autoTitleDeleted val="0"/>
    <c:plotArea>
      <c:layout/>
      <c:scatterChart>
        <c:scatterStyle val="lineMarker"/>
        <c:varyColors val="0"/>
        <c:ser>
          <c:idx val="0"/>
          <c:order val="0"/>
          <c:spPr>
            <a:ln>
              <a:noFill/>
            </a:ln>
          </c:spPr>
          <c:trendline>
            <c:trendlineType val="linear"/>
            <c:dispRSqr val="0"/>
            <c:dispEq val="1"/>
            <c:trendlineLbl>
              <c:layout>
                <c:manualLayout>
                  <c:x val="5.4747515059074582E-2"/>
                  <c:y val="0.43633237847491585"/>
                </c:manualLayout>
              </c:layout>
              <c:numFmt formatCode="General" sourceLinked="0"/>
            </c:trendlineLbl>
          </c:trendline>
          <c:xVal>
            <c:numRef>
              <c:f>mark!$D$63:$D$156</c:f>
              <c:numCache>
                <c:formatCode>General</c:formatCode>
                <c:ptCount val="94"/>
                <c:pt idx="0">
                  <c:v>9.9399996000000002</c:v>
                </c:pt>
                <c:pt idx="1">
                  <c:v>10.0200005</c:v>
                </c:pt>
                <c:pt idx="2">
                  <c:v>10</c:v>
                </c:pt>
                <c:pt idx="3">
                  <c:v>10.5</c:v>
                </c:pt>
                <c:pt idx="4">
                  <c:v>10.779999699999999</c:v>
                </c:pt>
                <c:pt idx="5">
                  <c:v>10.449999800000001</c:v>
                </c:pt>
                <c:pt idx="6">
                  <c:v>11.0200005</c:v>
                </c:pt>
                <c:pt idx="7">
                  <c:v>10.800000199999999</c:v>
                </c:pt>
                <c:pt idx="8">
                  <c:v>10.8800001</c:v>
                </c:pt>
                <c:pt idx="9">
                  <c:v>11.0600004</c:v>
                </c:pt>
                <c:pt idx="10">
                  <c:v>11.0900002</c:v>
                </c:pt>
                <c:pt idx="11">
                  <c:v>11.6199999</c:v>
                </c:pt>
                <c:pt idx="12">
                  <c:v>9.9600000000000009</c:v>
                </c:pt>
                <c:pt idx="13">
                  <c:v>9.5</c:v>
                </c:pt>
                <c:pt idx="14">
                  <c:v>9.9899997999999997</c:v>
                </c:pt>
                <c:pt idx="15">
                  <c:v>10.0100002</c:v>
                </c:pt>
                <c:pt idx="16">
                  <c:v>9.8299999000000007</c:v>
                </c:pt>
                <c:pt idx="17">
                  <c:v>9.5699997000000003</c:v>
                </c:pt>
                <c:pt idx="18">
                  <c:v>9.9200000999999993</c:v>
                </c:pt>
                <c:pt idx="19">
                  <c:v>11.670000099999999</c:v>
                </c:pt>
                <c:pt idx="20">
                  <c:v>11.5</c:v>
                </c:pt>
                <c:pt idx="21">
                  <c:v>11.3699999</c:v>
                </c:pt>
                <c:pt idx="22">
                  <c:v>11.5900002</c:v>
                </c:pt>
                <c:pt idx="23">
                  <c:v>9.8800001000000002</c:v>
                </c:pt>
                <c:pt idx="24">
                  <c:v>11.8400002</c:v>
                </c:pt>
                <c:pt idx="25">
                  <c:v>10</c:v>
                </c:pt>
                <c:pt idx="26">
                  <c:v>10.100000400000001</c:v>
                </c:pt>
                <c:pt idx="27">
                  <c:v>11.399999599999999</c:v>
                </c:pt>
                <c:pt idx="28">
                  <c:v>10.279999699999999</c:v>
                </c:pt>
                <c:pt idx="29">
                  <c:v>12.21</c:v>
                </c:pt>
                <c:pt idx="30">
                  <c:v>11.9399996</c:v>
                </c:pt>
                <c:pt idx="31">
                  <c:v>10.3699999</c:v>
                </c:pt>
                <c:pt idx="32">
                  <c:v>10.3800001</c:v>
                </c:pt>
                <c:pt idx="33">
                  <c:v>9.8800001000000002</c:v>
                </c:pt>
                <c:pt idx="34">
                  <c:v>12.079999900000001</c:v>
                </c:pt>
                <c:pt idx="35">
                  <c:v>9.0799999000000007</c:v>
                </c:pt>
                <c:pt idx="36">
                  <c:v>10.800000199999999</c:v>
                </c:pt>
                <c:pt idx="37">
                  <c:v>9.3599996999999995</c:v>
                </c:pt>
                <c:pt idx="38">
                  <c:v>12.449999800000001</c:v>
                </c:pt>
                <c:pt idx="39">
                  <c:v>10.920000099999999</c:v>
                </c:pt>
                <c:pt idx="40">
                  <c:v>10.949999800000001</c:v>
                </c:pt>
                <c:pt idx="41">
                  <c:v>10.9899998</c:v>
                </c:pt>
                <c:pt idx="42">
                  <c:v>11</c:v>
                </c:pt>
                <c:pt idx="43">
                  <c:v>9.9700003000000006</c:v>
                </c:pt>
                <c:pt idx="44">
                  <c:v>12.899999599999999</c:v>
                </c:pt>
                <c:pt idx="45">
                  <c:v>10.529999699999999</c:v>
                </c:pt>
                <c:pt idx="46">
                  <c:v>11.0600004</c:v>
                </c:pt>
                <c:pt idx="47">
                  <c:v>9.1000004000000008</c:v>
                </c:pt>
                <c:pt idx="48">
                  <c:v>8.9700003000000006</c:v>
                </c:pt>
                <c:pt idx="49">
                  <c:v>11.1199999</c:v>
                </c:pt>
                <c:pt idx="50">
                  <c:v>9.2299994999999999</c:v>
                </c:pt>
                <c:pt idx="51">
                  <c:v>11.2299995</c:v>
                </c:pt>
                <c:pt idx="52">
                  <c:v>11.2299995</c:v>
                </c:pt>
                <c:pt idx="53">
                  <c:v>11.2399998</c:v>
                </c:pt>
                <c:pt idx="54">
                  <c:v>12.5600004</c:v>
                </c:pt>
                <c:pt idx="55">
                  <c:v>10.0699997</c:v>
                </c:pt>
                <c:pt idx="56">
                  <c:v>9.9399996000000002</c:v>
                </c:pt>
                <c:pt idx="57">
                  <c:v>10.2399998</c:v>
                </c:pt>
                <c:pt idx="58">
                  <c:v>11.420000099999999</c:v>
                </c:pt>
                <c:pt idx="59">
                  <c:v>10.5</c:v>
                </c:pt>
                <c:pt idx="60">
                  <c:v>13.140000300000001</c:v>
                </c:pt>
                <c:pt idx="61">
                  <c:v>11.699999800000001</c:v>
                </c:pt>
                <c:pt idx="62">
                  <c:v>10.3800001</c:v>
                </c:pt>
                <c:pt idx="63">
                  <c:v>13.350000400000001</c:v>
                </c:pt>
                <c:pt idx="64">
                  <c:v>12.6599998</c:v>
                </c:pt>
                <c:pt idx="65">
                  <c:v>11.9899998</c:v>
                </c:pt>
                <c:pt idx="66">
                  <c:v>12</c:v>
                </c:pt>
                <c:pt idx="67">
                  <c:v>12</c:v>
                </c:pt>
                <c:pt idx="68">
                  <c:v>13.1599998</c:v>
                </c:pt>
                <c:pt idx="69">
                  <c:v>12.170000099999999</c:v>
                </c:pt>
                <c:pt idx="70">
                  <c:v>10.970000300000001</c:v>
                </c:pt>
                <c:pt idx="71">
                  <c:v>12.2600002</c:v>
                </c:pt>
                <c:pt idx="72">
                  <c:v>13.029999699999999</c:v>
                </c:pt>
                <c:pt idx="73">
                  <c:v>12.359999699999999</c:v>
                </c:pt>
                <c:pt idx="74">
                  <c:v>12.399999599999999</c:v>
                </c:pt>
                <c:pt idx="75">
                  <c:v>12.5</c:v>
                </c:pt>
                <c:pt idx="76">
                  <c:v>12.600000400000001</c:v>
                </c:pt>
                <c:pt idx="77">
                  <c:v>12.670000099999999</c:v>
                </c:pt>
                <c:pt idx="78">
                  <c:v>12.699999800000001</c:v>
                </c:pt>
                <c:pt idx="79">
                  <c:v>14.4300003</c:v>
                </c:pt>
              </c:numCache>
            </c:numRef>
          </c:xVal>
          <c:yVal>
            <c:numRef>
              <c:f>mark!$G$63:$G$156</c:f>
              <c:numCache>
                <c:formatCode>0.00</c:formatCode>
                <c:ptCount val="94"/>
                <c:pt idx="0">
                  <c:v>-8.1999599999999617E-2</c:v>
                </c:pt>
                <c:pt idx="1">
                  <c:v>0.62399950000000004</c:v>
                </c:pt>
                <c:pt idx="2">
                  <c:v>0.34800000000000075</c:v>
                </c:pt>
                <c:pt idx="3">
                  <c:v>0.3620000000000001</c:v>
                </c:pt>
                <c:pt idx="4">
                  <c:v>0.53000030000000109</c:v>
                </c:pt>
                <c:pt idx="5">
                  <c:v>0.36700019999999967</c:v>
                </c:pt>
                <c:pt idx="6">
                  <c:v>0.17099950000000064</c:v>
                </c:pt>
                <c:pt idx="7">
                  <c:v>0.40399980000000113</c:v>
                </c:pt>
                <c:pt idx="8">
                  <c:v>0.38399989999999917</c:v>
                </c:pt>
                <c:pt idx="9">
                  <c:v>3.8999600000000356E-2</c:v>
                </c:pt>
                <c:pt idx="10">
                  <c:v>0.23399979999999942</c:v>
                </c:pt>
                <c:pt idx="11">
                  <c:v>-0.1139998999999996</c:v>
                </c:pt>
                <c:pt idx="12">
                  <c:v>0.43899999999999828</c:v>
                </c:pt>
                <c:pt idx="13">
                  <c:v>0.85999999999999943</c:v>
                </c:pt>
                <c:pt idx="14">
                  <c:v>1.0190002000000007</c:v>
                </c:pt>
                <c:pt idx="15">
                  <c:v>0.90699979999999947</c:v>
                </c:pt>
                <c:pt idx="16">
                  <c:v>0.73200009999999871</c:v>
                </c:pt>
                <c:pt idx="17">
                  <c:v>0.38000029999999896</c:v>
                </c:pt>
                <c:pt idx="18">
                  <c:v>0.77199990000000085</c:v>
                </c:pt>
                <c:pt idx="19">
                  <c:v>0.20799990000000079</c:v>
                </c:pt>
                <c:pt idx="20">
                  <c:v>0.4399999999999995</c:v>
                </c:pt>
                <c:pt idx="21">
                  <c:v>0.34500010000000003</c:v>
                </c:pt>
                <c:pt idx="22">
                  <c:v>8.6999799999999183E-2</c:v>
                </c:pt>
                <c:pt idx="23">
                  <c:v>5.0999899999998988E-2</c:v>
                </c:pt>
                <c:pt idx="24">
                  <c:v>0.46999980000000008</c:v>
                </c:pt>
                <c:pt idx="25">
                  <c:v>0.11700000000000088</c:v>
                </c:pt>
                <c:pt idx="26">
                  <c:v>1.0299996</c:v>
                </c:pt>
                <c:pt idx="27">
                  <c:v>0.29700039999999994</c:v>
                </c:pt>
                <c:pt idx="28">
                  <c:v>0.26800030000000064</c:v>
                </c:pt>
                <c:pt idx="29">
                  <c:v>-2.7000000000001023E-2</c:v>
                </c:pt>
                <c:pt idx="30">
                  <c:v>0.22500039999999899</c:v>
                </c:pt>
                <c:pt idx="31">
                  <c:v>0.45700010000000013</c:v>
                </c:pt>
                <c:pt idx="32">
                  <c:v>0.39599989999999963</c:v>
                </c:pt>
                <c:pt idx="33">
                  <c:v>0.66499989999999976</c:v>
                </c:pt>
                <c:pt idx="34">
                  <c:v>0.23600010000000005</c:v>
                </c:pt>
                <c:pt idx="35">
                  <c:v>0.32200009999999857</c:v>
                </c:pt>
                <c:pt idx="36">
                  <c:v>0.46199980000000096</c:v>
                </c:pt>
                <c:pt idx="37">
                  <c:v>0.24100030000000139</c:v>
                </c:pt>
                <c:pt idx="38">
                  <c:v>0.21200020000000031</c:v>
                </c:pt>
                <c:pt idx="39">
                  <c:v>0.50099990000000005</c:v>
                </c:pt>
                <c:pt idx="40">
                  <c:v>-0.17499980000000015</c:v>
                </c:pt>
                <c:pt idx="41">
                  <c:v>0.26400019999999991</c:v>
                </c:pt>
                <c:pt idx="42">
                  <c:v>0.65799999999999947</c:v>
                </c:pt>
                <c:pt idx="43">
                  <c:v>0.10299969999999981</c:v>
                </c:pt>
                <c:pt idx="44">
                  <c:v>-7.6999599999998836E-2</c:v>
                </c:pt>
                <c:pt idx="45">
                  <c:v>0.69600030000000146</c:v>
                </c:pt>
                <c:pt idx="46">
                  <c:v>0.56299959999999949</c:v>
                </c:pt>
                <c:pt idx="47">
                  <c:v>8.899959999999929E-2</c:v>
                </c:pt>
                <c:pt idx="48">
                  <c:v>0.82999970000000012</c:v>
                </c:pt>
                <c:pt idx="49">
                  <c:v>0.16800010000000043</c:v>
                </c:pt>
                <c:pt idx="50">
                  <c:v>1.1000005000000002</c:v>
                </c:pt>
                <c:pt idx="51">
                  <c:v>0.50800049999999963</c:v>
                </c:pt>
                <c:pt idx="52">
                  <c:v>0.68900050000000057</c:v>
                </c:pt>
                <c:pt idx="53">
                  <c:v>0.78600020000000015</c:v>
                </c:pt>
                <c:pt idx="54">
                  <c:v>0.29199960000000047</c:v>
                </c:pt>
                <c:pt idx="55">
                  <c:v>0.22900029999999916</c:v>
                </c:pt>
                <c:pt idx="56">
                  <c:v>-0.13199960000000033</c:v>
                </c:pt>
                <c:pt idx="57">
                  <c:v>5.0000199999999495E-2</c:v>
                </c:pt>
                <c:pt idx="58">
                  <c:v>0.84699990000000014</c:v>
                </c:pt>
                <c:pt idx="59">
                  <c:v>6.0999999999999943E-2</c:v>
                </c:pt>
                <c:pt idx="60">
                  <c:v>-0.35000030000000137</c:v>
                </c:pt>
                <c:pt idx="61">
                  <c:v>0.23500019999999999</c:v>
                </c:pt>
                <c:pt idx="62">
                  <c:v>0.46599989999999991</c:v>
                </c:pt>
                <c:pt idx="63">
                  <c:v>4.3999599999999361E-2</c:v>
                </c:pt>
                <c:pt idx="64">
                  <c:v>-0.15999979999999958</c:v>
                </c:pt>
                <c:pt idx="65">
                  <c:v>0.57100020000000029</c:v>
                </c:pt>
                <c:pt idx="66">
                  <c:v>0.32499999999999929</c:v>
                </c:pt>
                <c:pt idx="67">
                  <c:v>0.65199999999999925</c:v>
                </c:pt>
                <c:pt idx="68">
                  <c:v>-0.14399979999999957</c:v>
                </c:pt>
                <c:pt idx="69">
                  <c:v>0.86599990000000027</c:v>
                </c:pt>
                <c:pt idx="70">
                  <c:v>0.40099969999999985</c:v>
                </c:pt>
                <c:pt idx="71">
                  <c:v>0.35199979999999975</c:v>
                </c:pt>
                <c:pt idx="72">
                  <c:v>0.30500030000000145</c:v>
                </c:pt>
                <c:pt idx="73">
                  <c:v>0.76500030000000052</c:v>
                </c:pt>
                <c:pt idx="74">
                  <c:v>0.45800040000000131</c:v>
                </c:pt>
                <c:pt idx="75">
                  <c:v>0.3279999999999994</c:v>
                </c:pt>
                <c:pt idx="76">
                  <c:v>0.60899959999999886</c:v>
                </c:pt>
                <c:pt idx="77">
                  <c:v>-0.12200009999999928</c:v>
                </c:pt>
                <c:pt idx="78">
                  <c:v>-1.4999800000000008E-2</c:v>
                </c:pt>
                <c:pt idx="79">
                  <c:v>2.8999699999999962E-2</c:v>
                </c:pt>
              </c:numCache>
            </c:numRef>
          </c:yVal>
          <c:smooth val="0"/>
          <c:extLst>
            <c:ext xmlns:c16="http://schemas.microsoft.com/office/drawing/2014/chart" uri="{C3380CC4-5D6E-409C-BE32-E72D297353CC}">
              <c16:uniqueId val="{00000001-F897-4251-96EA-58871F516FF6}"/>
            </c:ext>
          </c:extLst>
        </c:ser>
        <c:dLbls>
          <c:showLegendKey val="0"/>
          <c:showVal val="0"/>
          <c:showCatName val="0"/>
          <c:showSerName val="0"/>
          <c:showPercent val="0"/>
          <c:showBubbleSize val="0"/>
        </c:dLbls>
        <c:axId val="244482048"/>
        <c:axId val="244483968"/>
      </c:scatterChart>
      <c:valAx>
        <c:axId val="244482048"/>
        <c:scaling>
          <c:orientation val="minMax"/>
        </c:scaling>
        <c:delete val="0"/>
        <c:axPos val="b"/>
        <c:title>
          <c:tx>
            <c:rich>
              <a:bodyPr/>
              <a:lstStyle/>
              <a:p>
                <a:pPr>
                  <a:defRPr/>
                </a:pPr>
                <a:r>
                  <a:rPr lang="en-US"/>
                  <a:t>REFERENCE VALUES</a:t>
                </a:r>
              </a:p>
            </c:rich>
          </c:tx>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244483968"/>
        <c:crosses val="autoZero"/>
        <c:crossBetween val="midCat"/>
      </c:valAx>
      <c:valAx>
        <c:axId val="244483968"/>
        <c:scaling>
          <c:orientation val="minMax"/>
        </c:scaling>
        <c:delete val="0"/>
        <c:axPos val="l"/>
        <c:majorGridlines/>
        <c:numFmt formatCode="0.00" sourceLinked="1"/>
        <c:majorTickMark val="out"/>
        <c:minorTickMark val="none"/>
        <c:tickLblPos val="nextTo"/>
        <c:crossAx val="244482048"/>
        <c:crosses val="autoZero"/>
        <c:crossBetween val="midCat"/>
      </c:valAx>
    </c:plotArea>
    <c:plotVisOnly val="1"/>
    <c:dispBlanksAs val="gap"/>
    <c:showDLblsOverMax val="0"/>
  </c:chart>
  <c:printSettings>
    <c:headerFooter/>
    <c:pageMargins b="0.750000000000004" l="0.70000000000000062" r="0.70000000000000062" t="0.750000000000004" header="0.30000000000000032" footer="0.30000000000000032"/>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400" baseline="0"/>
              <a:t>Residuals vs predicted</a:t>
            </a:r>
          </a:p>
        </c:rich>
      </c:tx>
      <c:layout>
        <c:manualLayout>
          <c:xMode val="edge"/>
          <c:yMode val="edge"/>
          <c:x val="0.59043500709952246"/>
          <c:y val="0"/>
        </c:manualLayout>
      </c:layout>
      <c:overlay val="1"/>
    </c:title>
    <c:autoTitleDeleted val="0"/>
    <c:plotArea>
      <c:layout/>
      <c:scatterChart>
        <c:scatterStyle val="lineMarker"/>
        <c:varyColors val="0"/>
        <c:ser>
          <c:idx val="0"/>
          <c:order val="0"/>
          <c:spPr>
            <a:ln>
              <a:noFill/>
            </a:ln>
          </c:spPr>
          <c:trendline>
            <c:trendlineType val="linear"/>
            <c:dispRSqr val="0"/>
            <c:dispEq val="1"/>
            <c:trendlineLbl>
              <c:layout>
                <c:manualLayout>
                  <c:x val="8.6646154745701892E-3"/>
                  <c:y val="0.32626926854701888"/>
                </c:manualLayout>
              </c:layout>
              <c:numFmt formatCode="General" sourceLinked="0"/>
            </c:trendlineLbl>
          </c:trendline>
          <c:xVal>
            <c:numRef>
              <c:f>mark!$F$63:$F$156</c:f>
              <c:numCache>
                <c:formatCode>General</c:formatCode>
                <c:ptCount val="94"/>
                <c:pt idx="0">
                  <c:v>9.8580000000000005</c:v>
                </c:pt>
                <c:pt idx="1">
                  <c:v>10.644</c:v>
                </c:pt>
                <c:pt idx="2">
                  <c:v>10.348000000000001</c:v>
                </c:pt>
                <c:pt idx="3">
                  <c:v>10.862</c:v>
                </c:pt>
                <c:pt idx="4">
                  <c:v>11.31</c:v>
                </c:pt>
                <c:pt idx="5">
                  <c:v>10.817</c:v>
                </c:pt>
                <c:pt idx="6">
                  <c:v>11.191000000000001</c:v>
                </c:pt>
                <c:pt idx="7">
                  <c:v>11.204000000000001</c:v>
                </c:pt>
                <c:pt idx="8">
                  <c:v>11.263999999999999</c:v>
                </c:pt>
                <c:pt idx="9">
                  <c:v>11.099</c:v>
                </c:pt>
                <c:pt idx="10">
                  <c:v>11.324</c:v>
                </c:pt>
                <c:pt idx="11">
                  <c:v>11.506</c:v>
                </c:pt>
                <c:pt idx="12">
                  <c:v>10.398999999999999</c:v>
                </c:pt>
                <c:pt idx="13">
                  <c:v>10.36</c:v>
                </c:pt>
                <c:pt idx="14">
                  <c:v>11.009</c:v>
                </c:pt>
                <c:pt idx="15">
                  <c:v>10.917</c:v>
                </c:pt>
                <c:pt idx="16">
                  <c:v>10.561999999999999</c:v>
                </c:pt>
                <c:pt idx="17">
                  <c:v>9.9499999999999993</c:v>
                </c:pt>
                <c:pt idx="18">
                  <c:v>10.692</c:v>
                </c:pt>
                <c:pt idx="19">
                  <c:v>11.878</c:v>
                </c:pt>
                <c:pt idx="20">
                  <c:v>11.94</c:v>
                </c:pt>
                <c:pt idx="21">
                  <c:v>11.715</c:v>
                </c:pt>
                <c:pt idx="22">
                  <c:v>11.677</c:v>
                </c:pt>
                <c:pt idx="23">
                  <c:v>9.9309999999999992</c:v>
                </c:pt>
                <c:pt idx="24">
                  <c:v>12.31</c:v>
                </c:pt>
                <c:pt idx="25">
                  <c:v>10.117000000000001</c:v>
                </c:pt>
                <c:pt idx="26">
                  <c:v>11.13</c:v>
                </c:pt>
                <c:pt idx="27">
                  <c:v>11.696999999999999</c:v>
                </c:pt>
                <c:pt idx="28">
                  <c:v>10.548</c:v>
                </c:pt>
                <c:pt idx="29">
                  <c:v>12.183</c:v>
                </c:pt>
                <c:pt idx="30">
                  <c:v>12.164999999999999</c:v>
                </c:pt>
                <c:pt idx="31">
                  <c:v>10.827</c:v>
                </c:pt>
                <c:pt idx="32">
                  <c:v>10.776</c:v>
                </c:pt>
                <c:pt idx="33">
                  <c:v>10.545</c:v>
                </c:pt>
                <c:pt idx="34">
                  <c:v>12.316000000000001</c:v>
                </c:pt>
                <c:pt idx="35">
                  <c:v>9.4019999999999992</c:v>
                </c:pt>
                <c:pt idx="36">
                  <c:v>11.262</c:v>
                </c:pt>
                <c:pt idx="37">
                  <c:v>9.6010000000000009</c:v>
                </c:pt>
                <c:pt idx="38">
                  <c:v>12.662000000000001</c:v>
                </c:pt>
                <c:pt idx="39">
                  <c:v>11.420999999999999</c:v>
                </c:pt>
                <c:pt idx="40">
                  <c:v>10.775</c:v>
                </c:pt>
                <c:pt idx="41">
                  <c:v>11.254</c:v>
                </c:pt>
                <c:pt idx="42">
                  <c:v>11.657999999999999</c:v>
                </c:pt>
                <c:pt idx="43">
                  <c:v>10.073</c:v>
                </c:pt>
                <c:pt idx="44">
                  <c:v>12.823</c:v>
                </c:pt>
                <c:pt idx="45">
                  <c:v>11.226000000000001</c:v>
                </c:pt>
                <c:pt idx="46">
                  <c:v>11.622999999999999</c:v>
                </c:pt>
                <c:pt idx="47">
                  <c:v>9.1890000000000001</c:v>
                </c:pt>
                <c:pt idx="48">
                  <c:v>9.8000000000000007</c:v>
                </c:pt>
                <c:pt idx="49">
                  <c:v>11.288</c:v>
                </c:pt>
                <c:pt idx="50">
                  <c:v>10.33</c:v>
                </c:pt>
                <c:pt idx="51">
                  <c:v>11.738</c:v>
                </c:pt>
                <c:pt idx="52">
                  <c:v>11.919</c:v>
                </c:pt>
                <c:pt idx="53">
                  <c:v>12.026</c:v>
                </c:pt>
                <c:pt idx="54">
                  <c:v>12.852</c:v>
                </c:pt>
                <c:pt idx="55">
                  <c:v>10.298999999999999</c:v>
                </c:pt>
                <c:pt idx="56">
                  <c:v>9.8079999999999998</c:v>
                </c:pt>
                <c:pt idx="57">
                  <c:v>10.29</c:v>
                </c:pt>
                <c:pt idx="58">
                  <c:v>12.266999999999999</c:v>
                </c:pt>
                <c:pt idx="59">
                  <c:v>10.561</c:v>
                </c:pt>
                <c:pt idx="60">
                  <c:v>12.79</c:v>
                </c:pt>
                <c:pt idx="61">
                  <c:v>11.935</c:v>
                </c:pt>
                <c:pt idx="62">
                  <c:v>10.846</c:v>
                </c:pt>
                <c:pt idx="63">
                  <c:v>13.394</c:v>
                </c:pt>
                <c:pt idx="64">
                  <c:v>12.5</c:v>
                </c:pt>
                <c:pt idx="65">
                  <c:v>12.561</c:v>
                </c:pt>
                <c:pt idx="66">
                  <c:v>12.324999999999999</c:v>
                </c:pt>
                <c:pt idx="67">
                  <c:v>12.651999999999999</c:v>
                </c:pt>
                <c:pt idx="68">
                  <c:v>13.016</c:v>
                </c:pt>
                <c:pt idx="69">
                  <c:v>13.036</c:v>
                </c:pt>
                <c:pt idx="70">
                  <c:v>11.371</c:v>
                </c:pt>
                <c:pt idx="71">
                  <c:v>12.612</c:v>
                </c:pt>
                <c:pt idx="72">
                  <c:v>13.335000000000001</c:v>
                </c:pt>
                <c:pt idx="73">
                  <c:v>13.125</c:v>
                </c:pt>
                <c:pt idx="74">
                  <c:v>12.858000000000001</c:v>
                </c:pt>
                <c:pt idx="75">
                  <c:v>12.827999999999999</c:v>
                </c:pt>
                <c:pt idx="76">
                  <c:v>13.209</c:v>
                </c:pt>
                <c:pt idx="77">
                  <c:v>12.548</c:v>
                </c:pt>
                <c:pt idx="78">
                  <c:v>12.685</c:v>
                </c:pt>
                <c:pt idx="79">
                  <c:v>14.459</c:v>
                </c:pt>
              </c:numCache>
            </c:numRef>
          </c:xVal>
          <c:yVal>
            <c:numRef>
              <c:f>mark!$G$63:$G$156</c:f>
              <c:numCache>
                <c:formatCode>0.00</c:formatCode>
                <c:ptCount val="94"/>
                <c:pt idx="0">
                  <c:v>-8.1999599999999617E-2</c:v>
                </c:pt>
                <c:pt idx="1">
                  <c:v>0.62399950000000004</c:v>
                </c:pt>
                <c:pt idx="2">
                  <c:v>0.34800000000000075</c:v>
                </c:pt>
                <c:pt idx="3">
                  <c:v>0.3620000000000001</c:v>
                </c:pt>
                <c:pt idx="4">
                  <c:v>0.53000030000000109</c:v>
                </c:pt>
                <c:pt idx="5">
                  <c:v>0.36700019999999967</c:v>
                </c:pt>
                <c:pt idx="6">
                  <c:v>0.17099950000000064</c:v>
                </c:pt>
                <c:pt idx="7">
                  <c:v>0.40399980000000113</c:v>
                </c:pt>
                <c:pt idx="8">
                  <c:v>0.38399989999999917</c:v>
                </c:pt>
                <c:pt idx="9">
                  <c:v>3.8999600000000356E-2</c:v>
                </c:pt>
                <c:pt idx="10">
                  <c:v>0.23399979999999942</c:v>
                </c:pt>
                <c:pt idx="11">
                  <c:v>-0.1139998999999996</c:v>
                </c:pt>
                <c:pt idx="12">
                  <c:v>0.43899999999999828</c:v>
                </c:pt>
                <c:pt idx="13">
                  <c:v>0.85999999999999943</c:v>
                </c:pt>
                <c:pt idx="14">
                  <c:v>1.0190002000000007</c:v>
                </c:pt>
                <c:pt idx="15">
                  <c:v>0.90699979999999947</c:v>
                </c:pt>
                <c:pt idx="16">
                  <c:v>0.73200009999999871</c:v>
                </c:pt>
                <c:pt idx="17">
                  <c:v>0.38000029999999896</c:v>
                </c:pt>
                <c:pt idx="18">
                  <c:v>0.77199990000000085</c:v>
                </c:pt>
                <c:pt idx="19">
                  <c:v>0.20799990000000079</c:v>
                </c:pt>
                <c:pt idx="20">
                  <c:v>0.4399999999999995</c:v>
                </c:pt>
                <c:pt idx="21">
                  <c:v>0.34500010000000003</c:v>
                </c:pt>
                <c:pt idx="22">
                  <c:v>8.6999799999999183E-2</c:v>
                </c:pt>
                <c:pt idx="23">
                  <c:v>5.0999899999998988E-2</c:v>
                </c:pt>
                <c:pt idx="24">
                  <c:v>0.46999980000000008</c:v>
                </c:pt>
                <c:pt idx="25">
                  <c:v>0.11700000000000088</c:v>
                </c:pt>
                <c:pt idx="26">
                  <c:v>1.0299996</c:v>
                </c:pt>
                <c:pt idx="27">
                  <c:v>0.29700039999999994</c:v>
                </c:pt>
                <c:pt idx="28">
                  <c:v>0.26800030000000064</c:v>
                </c:pt>
                <c:pt idx="29">
                  <c:v>-2.7000000000001023E-2</c:v>
                </c:pt>
                <c:pt idx="30">
                  <c:v>0.22500039999999899</c:v>
                </c:pt>
                <c:pt idx="31">
                  <c:v>0.45700010000000013</c:v>
                </c:pt>
                <c:pt idx="32">
                  <c:v>0.39599989999999963</c:v>
                </c:pt>
                <c:pt idx="33">
                  <c:v>0.66499989999999976</c:v>
                </c:pt>
                <c:pt idx="34">
                  <c:v>0.23600010000000005</c:v>
                </c:pt>
                <c:pt idx="35">
                  <c:v>0.32200009999999857</c:v>
                </c:pt>
                <c:pt idx="36">
                  <c:v>0.46199980000000096</c:v>
                </c:pt>
                <c:pt idx="37">
                  <c:v>0.24100030000000139</c:v>
                </c:pt>
                <c:pt idx="38">
                  <c:v>0.21200020000000031</c:v>
                </c:pt>
                <c:pt idx="39">
                  <c:v>0.50099990000000005</c:v>
                </c:pt>
                <c:pt idx="40">
                  <c:v>-0.17499980000000015</c:v>
                </c:pt>
                <c:pt idx="41">
                  <c:v>0.26400019999999991</c:v>
                </c:pt>
                <c:pt idx="42">
                  <c:v>0.65799999999999947</c:v>
                </c:pt>
                <c:pt idx="43">
                  <c:v>0.10299969999999981</c:v>
                </c:pt>
                <c:pt idx="44">
                  <c:v>-7.6999599999998836E-2</c:v>
                </c:pt>
                <c:pt idx="45">
                  <c:v>0.69600030000000146</c:v>
                </c:pt>
                <c:pt idx="46">
                  <c:v>0.56299959999999949</c:v>
                </c:pt>
                <c:pt idx="47">
                  <c:v>8.899959999999929E-2</c:v>
                </c:pt>
                <c:pt idx="48">
                  <c:v>0.82999970000000012</c:v>
                </c:pt>
                <c:pt idx="49">
                  <c:v>0.16800010000000043</c:v>
                </c:pt>
                <c:pt idx="50">
                  <c:v>1.1000005000000002</c:v>
                </c:pt>
                <c:pt idx="51">
                  <c:v>0.50800049999999963</c:v>
                </c:pt>
                <c:pt idx="52">
                  <c:v>0.68900050000000057</c:v>
                </c:pt>
                <c:pt idx="53">
                  <c:v>0.78600020000000015</c:v>
                </c:pt>
                <c:pt idx="54">
                  <c:v>0.29199960000000047</c:v>
                </c:pt>
                <c:pt idx="55">
                  <c:v>0.22900029999999916</c:v>
                </c:pt>
                <c:pt idx="56">
                  <c:v>-0.13199960000000033</c:v>
                </c:pt>
                <c:pt idx="57">
                  <c:v>5.0000199999999495E-2</c:v>
                </c:pt>
                <c:pt idx="58">
                  <c:v>0.84699990000000014</c:v>
                </c:pt>
                <c:pt idx="59">
                  <c:v>6.0999999999999943E-2</c:v>
                </c:pt>
                <c:pt idx="60">
                  <c:v>-0.35000030000000137</c:v>
                </c:pt>
                <c:pt idx="61">
                  <c:v>0.23500019999999999</c:v>
                </c:pt>
                <c:pt idx="62">
                  <c:v>0.46599989999999991</c:v>
                </c:pt>
                <c:pt idx="63">
                  <c:v>4.3999599999999361E-2</c:v>
                </c:pt>
                <c:pt idx="64">
                  <c:v>-0.15999979999999958</c:v>
                </c:pt>
                <c:pt idx="65">
                  <c:v>0.57100020000000029</c:v>
                </c:pt>
                <c:pt idx="66">
                  <c:v>0.32499999999999929</c:v>
                </c:pt>
                <c:pt idx="67">
                  <c:v>0.65199999999999925</c:v>
                </c:pt>
                <c:pt idx="68">
                  <c:v>-0.14399979999999957</c:v>
                </c:pt>
                <c:pt idx="69">
                  <c:v>0.86599990000000027</c:v>
                </c:pt>
                <c:pt idx="70">
                  <c:v>0.40099969999999985</c:v>
                </c:pt>
                <c:pt idx="71">
                  <c:v>0.35199979999999975</c:v>
                </c:pt>
                <c:pt idx="72">
                  <c:v>0.30500030000000145</c:v>
                </c:pt>
                <c:pt idx="73">
                  <c:v>0.76500030000000052</c:v>
                </c:pt>
                <c:pt idx="74">
                  <c:v>0.45800040000000131</c:v>
                </c:pt>
                <c:pt idx="75">
                  <c:v>0.3279999999999994</c:v>
                </c:pt>
                <c:pt idx="76">
                  <c:v>0.60899959999999886</c:v>
                </c:pt>
                <c:pt idx="77">
                  <c:v>-0.12200009999999928</c:v>
                </c:pt>
                <c:pt idx="78">
                  <c:v>-1.4999800000000008E-2</c:v>
                </c:pt>
                <c:pt idx="79">
                  <c:v>2.8999699999999962E-2</c:v>
                </c:pt>
              </c:numCache>
            </c:numRef>
          </c:yVal>
          <c:smooth val="0"/>
          <c:extLst>
            <c:ext xmlns:c16="http://schemas.microsoft.com/office/drawing/2014/chart" uri="{C3380CC4-5D6E-409C-BE32-E72D297353CC}">
              <c16:uniqueId val="{00000001-59CF-45ED-8B72-C8A09DFC3F84}"/>
            </c:ext>
          </c:extLst>
        </c:ser>
        <c:dLbls>
          <c:showLegendKey val="0"/>
          <c:showVal val="0"/>
          <c:showCatName val="0"/>
          <c:showSerName val="0"/>
          <c:showPercent val="0"/>
          <c:showBubbleSize val="0"/>
        </c:dLbls>
        <c:axId val="251667584"/>
        <c:axId val="251669504"/>
      </c:scatterChart>
      <c:valAx>
        <c:axId val="251667584"/>
        <c:scaling>
          <c:orientation val="minMax"/>
        </c:scaling>
        <c:delete val="0"/>
        <c:axPos val="b"/>
        <c:title>
          <c:tx>
            <c:rich>
              <a:bodyPr/>
              <a:lstStyle/>
              <a:p>
                <a:pPr>
                  <a:defRPr/>
                </a:pPr>
                <a:r>
                  <a:rPr lang="en-US"/>
                  <a:t>PREDICTED NIRS</a:t>
                </a:r>
              </a:p>
            </c:rich>
          </c:tx>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251669504"/>
        <c:crosses val="autoZero"/>
        <c:crossBetween val="midCat"/>
      </c:valAx>
      <c:valAx>
        <c:axId val="251669504"/>
        <c:scaling>
          <c:orientation val="minMax"/>
        </c:scaling>
        <c:delete val="0"/>
        <c:axPos val="l"/>
        <c:majorGridlines/>
        <c:numFmt formatCode="0.00" sourceLinked="1"/>
        <c:majorTickMark val="out"/>
        <c:minorTickMark val="none"/>
        <c:tickLblPos val="nextTo"/>
        <c:crossAx val="251667584"/>
        <c:crosses val="autoZero"/>
        <c:crossBetween val="midCat"/>
      </c:valAx>
    </c:plotArea>
    <c:plotVisOnly val="1"/>
    <c:dispBlanksAs val="gap"/>
    <c:showDLblsOverMax val="0"/>
  </c:chart>
  <c:printSettings>
    <c:headerFooter/>
    <c:pageMargins b="0.75000000000000422" l="0.70000000000000062" r="0.70000000000000062" t="0.75000000000000422" header="0.30000000000000032" footer="0.30000000000000032"/>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400" baseline="0"/>
              <a:t>Residuals vs position</a:t>
            </a:r>
          </a:p>
        </c:rich>
      </c:tx>
      <c:layout>
        <c:manualLayout>
          <c:xMode val="edge"/>
          <c:yMode val="edge"/>
          <c:x val="0.61770845220434401"/>
          <c:y val="9.2592592592592587E-3"/>
        </c:manualLayout>
      </c:layout>
      <c:overlay val="1"/>
    </c:title>
    <c:autoTitleDeleted val="0"/>
    <c:plotArea>
      <c:layout>
        <c:manualLayout>
          <c:layoutTarget val="inner"/>
          <c:xMode val="edge"/>
          <c:yMode val="edge"/>
          <c:x val="9.7295231451277789E-2"/>
          <c:y val="4.1365688184682434E-2"/>
          <c:w val="0.8505582003234009"/>
          <c:h val="0.89909093674129181"/>
        </c:manualLayout>
      </c:layout>
      <c:scatterChart>
        <c:scatterStyle val="lineMarker"/>
        <c:varyColors val="0"/>
        <c:ser>
          <c:idx val="0"/>
          <c:order val="0"/>
          <c:spPr>
            <a:ln w="28575">
              <a:noFill/>
            </a:ln>
          </c:spPr>
          <c:xVal>
            <c:numRef>
              <c:f>mark!$B$63:$B$156</c:f>
              <c:numCache>
                <c:formatCode>General</c:formatCode>
                <c:ptCount val="9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numCache>
            </c:numRef>
          </c:xVal>
          <c:yVal>
            <c:numRef>
              <c:f>mark!$G$63:$G$156</c:f>
              <c:numCache>
                <c:formatCode>0.00</c:formatCode>
                <c:ptCount val="94"/>
                <c:pt idx="0">
                  <c:v>-8.1999599999999617E-2</c:v>
                </c:pt>
                <c:pt idx="1">
                  <c:v>0.62399950000000004</c:v>
                </c:pt>
                <c:pt idx="2">
                  <c:v>0.34800000000000075</c:v>
                </c:pt>
                <c:pt idx="3">
                  <c:v>0.3620000000000001</c:v>
                </c:pt>
                <c:pt idx="4">
                  <c:v>0.53000030000000109</c:v>
                </c:pt>
                <c:pt idx="5">
                  <c:v>0.36700019999999967</c:v>
                </c:pt>
                <c:pt idx="6">
                  <c:v>0.17099950000000064</c:v>
                </c:pt>
                <c:pt idx="7">
                  <c:v>0.40399980000000113</c:v>
                </c:pt>
                <c:pt idx="8">
                  <c:v>0.38399989999999917</c:v>
                </c:pt>
                <c:pt idx="9">
                  <c:v>3.8999600000000356E-2</c:v>
                </c:pt>
                <c:pt idx="10">
                  <c:v>0.23399979999999942</c:v>
                </c:pt>
                <c:pt idx="11">
                  <c:v>-0.1139998999999996</c:v>
                </c:pt>
                <c:pt idx="12">
                  <c:v>0.43899999999999828</c:v>
                </c:pt>
                <c:pt idx="13">
                  <c:v>0.85999999999999943</c:v>
                </c:pt>
                <c:pt idx="14">
                  <c:v>1.0190002000000007</c:v>
                </c:pt>
                <c:pt idx="15">
                  <c:v>0.90699979999999947</c:v>
                </c:pt>
                <c:pt idx="16">
                  <c:v>0.73200009999999871</c:v>
                </c:pt>
                <c:pt idx="17">
                  <c:v>0.38000029999999896</c:v>
                </c:pt>
                <c:pt idx="18">
                  <c:v>0.77199990000000085</c:v>
                </c:pt>
                <c:pt idx="19">
                  <c:v>0.20799990000000079</c:v>
                </c:pt>
                <c:pt idx="20">
                  <c:v>0.4399999999999995</c:v>
                </c:pt>
                <c:pt idx="21">
                  <c:v>0.34500010000000003</c:v>
                </c:pt>
                <c:pt idx="22">
                  <c:v>8.6999799999999183E-2</c:v>
                </c:pt>
                <c:pt idx="23">
                  <c:v>5.0999899999998988E-2</c:v>
                </c:pt>
                <c:pt idx="24">
                  <c:v>0.46999980000000008</c:v>
                </c:pt>
                <c:pt idx="25">
                  <c:v>0.11700000000000088</c:v>
                </c:pt>
                <c:pt idx="26">
                  <c:v>1.0299996</c:v>
                </c:pt>
                <c:pt idx="27">
                  <c:v>0.29700039999999994</c:v>
                </c:pt>
                <c:pt idx="28">
                  <c:v>0.26800030000000064</c:v>
                </c:pt>
                <c:pt idx="29">
                  <c:v>-2.7000000000001023E-2</c:v>
                </c:pt>
                <c:pt idx="30">
                  <c:v>0.22500039999999899</c:v>
                </c:pt>
                <c:pt idx="31">
                  <c:v>0.45700010000000013</c:v>
                </c:pt>
                <c:pt idx="32">
                  <c:v>0.39599989999999963</c:v>
                </c:pt>
                <c:pt idx="33">
                  <c:v>0.66499989999999976</c:v>
                </c:pt>
                <c:pt idx="34">
                  <c:v>0.23600010000000005</c:v>
                </c:pt>
                <c:pt idx="35">
                  <c:v>0.32200009999999857</c:v>
                </c:pt>
                <c:pt idx="36">
                  <c:v>0.46199980000000096</c:v>
                </c:pt>
                <c:pt idx="37">
                  <c:v>0.24100030000000139</c:v>
                </c:pt>
                <c:pt idx="38">
                  <c:v>0.21200020000000031</c:v>
                </c:pt>
                <c:pt idx="39">
                  <c:v>0.50099990000000005</c:v>
                </c:pt>
                <c:pt idx="40">
                  <c:v>-0.17499980000000015</c:v>
                </c:pt>
                <c:pt idx="41">
                  <c:v>0.26400019999999991</c:v>
                </c:pt>
                <c:pt idx="42">
                  <c:v>0.65799999999999947</c:v>
                </c:pt>
                <c:pt idx="43">
                  <c:v>0.10299969999999981</c:v>
                </c:pt>
                <c:pt idx="44">
                  <c:v>-7.6999599999998836E-2</c:v>
                </c:pt>
                <c:pt idx="45">
                  <c:v>0.69600030000000146</c:v>
                </c:pt>
                <c:pt idx="46">
                  <c:v>0.56299959999999949</c:v>
                </c:pt>
                <c:pt idx="47">
                  <c:v>8.899959999999929E-2</c:v>
                </c:pt>
                <c:pt idx="48">
                  <c:v>0.82999970000000012</c:v>
                </c:pt>
                <c:pt idx="49">
                  <c:v>0.16800010000000043</c:v>
                </c:pt>
                <c:pt idx="50">
                  <c:v>1.1000005000000002</c:v>
                </c:pt>
                <c:pt idx="51">
                  <c:v>0.50800049999999963</c:v>
                </c:pt>
                <c:pt idx="52">
                  <c:v>0.68900050000000057</c:v>
                </c:pt>
                <c:pt idx="53">
                  <c:v>0.78600020000000015</c:v>
                </c:pt>
                <c:pt idx="54">
                  <c:v>0.29199960000000047</c:v>
                </c:pt>
                <c:pt idx="55">
                  <c:v>0.22900029999999916</c:v>
                </c:pt>
                <c:pt idx="56">
                  <c:v>-0.13199960000000033</c:v>
                </c:pt>
                <c:pt idx="57">
                  <c:v>5.0000199999999495E-2</c:v>
                </c:pt>
                <c:pt idx="58">
                  <c:v>0.84699990000000014</c:v>
                </c:pt>
                <c:pt idx="59">
                  <c:v>6.0999999999999943E-2</c:v>
                </c:pt>
                <c:pt idx="60">
                  <c:v>-0.35000030000000137</c:v>
                </c:pt>
                <c:pt idx="61">
                  <c:v>0.23500019999999999</c:v>
                </c:pt>
                <c:pt idx="62">
                  <c:v>0.46599989999999991</c:v>
                </c:pt>
                <c:pt idx="63">
                  <c:v>4.3999599999999361E-2</c:v>
                </c:pt>
                <c:pt idx="64">
                  <c:v>-0.15999979999999958</c:v>
                </c:pt>
                <c:pt idx="65">
                  <c:v>0.57100020000000029</c:v>
                </c:pt>
                <c:pt idx="66">
                  <c:v>0.32499999999999929</c:v>
                </c:pt>
                <c:pt idx="67">
                  <c:v>0.65199999999999925</c:v>
                </c:pt>
                <c:pt idx="68">
                  <c:v>-0.14399979999999957</c:v>
                </c:pt>
                <c:pt idx="69">
                  <c:v>0.86599990000000027</c:v>
                </c:pt>
                <c:pt idx="70">
                  <c:v>0.40099969999999985</c:v>
                </c:pt>
                <c:pt idx="71">
                  <c:v>0.35199979999999975</c:v>
                </c:pt>
                <c:pt idx="72">
                  <c:v>0.30500030000000145</c:v>
                </c:pt>
                <c:pt idx="73">
                  <c:v>0.76500030000000052</c:v>
                </c:pt>
                <c:pt idx="74">
                  <c:v>0.45800040000000131</c:v>
                </c:pt>
                <c:pt idx="75">
                  <c:v>0.3279999999999994</c:v>
                </c:pt>
                <c:pt idx="76">
                  <c:v>0.60899959999999886</c:v>
                </c:pt>
                <c:pt idx="77">
                  <c:v>-0.12200009999999928</c:v>
                </c:pt>
                <c:pt idx="78">
                  <c:v>-1.4999800000000008E-2</c:v>
                </c:pt>
                <c:pt idx="79">
                  <c:v>2.8999699999999962E-2</c:v>
                </c:pt>
              </c:numCache>
            </c:numRef>
          </c:yVal>
          <c:smooth val="0"/>
          <c:extLst>
            <c:ext xmlns:c16="http://schemas.microsoft.com/office/drawing/2014/chart" uri="{C3380CC4-5D6E-409C-BE32-E72D297353CC}">
              <c16:uniqueId val="{00000000-4244-4192-BFDF-336B1D719416}"/>
            </c:ext>
          </c:extLst>
        </c:ser>
        <c:dLbls>
          <c:showLegendKey val="0"/>
          <c:showVal val="0"/>
          <c:showCatName val="0"/>
          <c:showSerName val="0"/>
          <c:showPercent val="0"/>
          <c:showBubbleSize val="0"/>
        </c:dLbls>
        <c:axId val="274780160"/>
        <c:axId val="274781696"/>
      </c:scatterChart>
      <c:valAx>
        <c:axId val="274780160"/>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274781696"/>
        <c:crosses val="autoZero"/>
        <c:crossBetween val="midCat"/>
      </c:valAx>
      <c:valAx>
        <c:axId val="274781696"/>
        <c:scaling>
          <c:orientation val="minMax"/>
        </c:scaling>
        <c:delete val="0"/>
        <c:axPos val="l"/>
        <c:majorGridlines/>
        <c:numFmt formatCode="0.00" sourceLinked="1"/>
        <c:majorTickMark val="out"/>
        <c:minorTickMark val="none"/>
        <c:tickLblPos val="nextTo"/>
        <c:crossAx val="274780160"/>
        <c:crosses val="autoZero"/>
        <c:crossBetween val="midCat"/>
      </c:valAx>
    </c:plotArea>
    <c:plotVisOnly val="1"/>
    <c:dispBlanksAs val="gap"/>
    <c:showDLblsOverMax val="0"/>
  </c:chart>
  <c:printSettings>
    <c:headerFooter/>
    <c:pageMargins b="0.75000000000000211" l="0.70000000000000062" r="0.70000000000000062" t="0.75000000000000211" header="0.30000000000000032" footer="0.30000000000000032"/>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3834418474441655E-2"/>
          <c:y val="0.13250935178105364"/>
          <c:w val="0.6729182365583003"/>
          <c:h val="0.71284029659820869"/>
        </c:manualLayout>
      </c:layout>
      <c:scatterChart>
        <c:scatterStyle val="lineMarker"/>
        <c:varyColors val="0"/>
        <c:ser>
          <c:idx val="0"/>
          <c:order val="0"/>
          <c:tx>
            <c:v> </c:v>
          </c:tx>
          <c:spPr>
            <a:ln w="28575">
              <a:noFill/>
            </a:ln>
          </c:spPr>
          <c:marker>
            <c:symbol val="circle"/>
            <c:size val="8"/>
            <c:spPr>
              <a:solidFill>
                <a:srgbClr val="000080"/>
              </a:solidFill>
              <a:ln>
                <a:solidFill>
                  <a:srgbClr val="000080"/>
                </a:solidFill>
                <a:prstDash val="solid"/>
              </a:ln>
            </c:spPr>
          </c:marker>
          <c:dLbls>
            <c:dLbl>
              <c:idx val="0"/>
              <c:tx>
                <c:rich>
                  <a:bodyPr/>
                  <a:lstStyle/>
                  <a:p>
                    <a:fld id="{7DF69CE1-A344-4E63-82F7-5AE6E67DCB09}" type="CELLRANGE">
                      <a:rPr lang="en-US"/>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BBD1-44BB-B51A-0804226C5F5C}"/>
                </c:ext>
              </c:extLst>
            </c:dLbl>
            <c:dLbl>
              <c:idx val="1"/>
              <c:tx>
                <c:rich>
                  <a:bodyPr/>
                  <a:lstStyle/>
                  <a:p>
                    <a:fld id="{931FF8DA-3997-4522-92AD-4C7BB900E7B0}"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BD1-44BB-B51A-0804226C5F5C}"/>
                </c:ext>
              </c:extLst>
            </c:dLbl>
            <c:dLbl>
              <c:idx val="2"/>
              <c:tx>
                <c:rich>
                  <a:bodyPr/>
                  <a:lstStyle/>
                  <a:p>
                    <a:fld id="{75C8461B-C350-4B44-A4FA-F90BADC784CB}"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BD1-44BB-B51A-0804226C5F5C}"/>
                </c:ext>
              </c:extLst>
            </c:dLbl>
            <c:dLbl>
              <c:idx val="3"/>
              <c:tx>
                <c:rich>
                  <a:bodyPr/>
                  <a:lstStyle/>
                  <a:p>
                    <a:fld id="{9DA5AC75-B4C2-48EE-A9A6-7B19D2E39A1D}"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BD1-44BB-B51A-0804226C5F5C}"/>
                </c:ext>
              </c:extLst>
            </c:dLbl>
            <c:dLbl>
              <c:idx val="4"/>
              <c:tx>
                <c:rich>
                  <a:bodyPr/>
                  <a:lstStyle/>
                  <a:p>
                    <a:fld id="{0FF3D6B3-A159-4486-A2B8-4D0C82E60394}"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BD1-44BB-B51A-0804226C5F5C}"/>
                </c:ext>
              </c:extLst>
            </c:dLbl>
            <c:dLbl>
              <c:idx val="5"/>
              <c:tx>
                <c:rich>
                  <a:bodyPr/>
                  <a:lstStyle/>
                  <a:p>
                    <a:fld id="{C88BF787-096D-46D3-9331-4E534891F8B0}"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BD1-44BB-B51A-0804226C5F5C}"/>
                </c:ext>
              </c:extLst>
            </c:dLbl>
            <c:dLbl>
              <c:idx val="6"/>
              <c:tx>
                <c:rich>
                  <a:bodyPr/>
                  <a:lstStyle/>
                  <a:p>
                    <a:fld id="{F60D68C9-3FA5-44EF-B6BB-3B0D66BC54F4}"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BD1-44BB-B51A-0804226C5F5C}"/>
                </c:ext>
              </c:extLst>
            </c:dLbl>
            <c:dLbl>
              <c:idx val="7"/>
              <c:tx>
                <c:rich>
                  <a:bodyPr/>
                  <a:lstStyle/>
                  <a:p>
                    <a:fld id="{4B023628-A3B4-4CBB-A1E2-683C15E354BA}"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BD1-44BB-B51A-0804226C5F5C}"/>
                </c:ext>
              </c:extLst>
            </c:dLbl>
            <c:dLbl>
              <c:idx val="8"/>
              <c:tx>
                <c:rich>
                  <a:bodyPr/>
                  <a:lstStyle/>
                  <a:p>
                    <a:fld id="{3788C17D-5892-4010-B7B1-659FDE2A9278}"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BD1-44BB-B51A-0804226C5F5C}"/>
                </c:ext>
              </c:extLst>
            </c:dLbl>
            <c:dLbl>
              <c:idx val="9"/>
              <c:tx>
                <c:rich>
                  <a:bodyPr/>
                  <a:lstStyle/>
                  <a:p>
                    <a:fld id="{277B3E84-0A79-4EF8-ABF8-2E8A5C456D59}"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BD1-44BB-B51A-0804226C5F5C}"/>
                </c:ext>
              </c:extLst>
            </c:dLbl>
            <c:dLbl>
              <c:idx val="10"/>
              <c:tx>
                <c:rich>
                  <a:bodyPr/>
                  <a:lstStyle/>
                  <a:p>
                    <a:fld id="{80ECD00B-9A2D-45A6-96A2-1798A522A908}"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BD1-44BB-B51A-0804226C5F5C}"/>
                </c:ext>
              </c:extLst>
            </c:dLbl>
            <c:dLbl>
              <c:idx val="11"/>
              <c:tx>
                <c:rich>
                  <a:bodyPr/>
                  <a:lstStyle/>
                  <a:p>
                    <a:fld id="{6DEBD007-FE03-44A0-B651-CFA04AAA152D}"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BD1-44BB-B51A-0804226C5F5C}"/>
                </c:ext>
              </c:extLst>
            </c:dLbl>
            <c:dLbl>
              <c:idx val="12"/>
              <c:tx>
                <c:rich>
                  <a:bodyPr/>
                  <a:lstStyle/>
                  <a:p>
                    <a:fld id="{5D6EFE84-65CA-4F4C-934E-CD40FF82497F}"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BD1-44BB-B51A-0804226C5F5C}"/>
                </c:ext>
              </c:extLst>
            </c:dLbl>
            <c:dLbl>
              <c:idx val="13"/>
              <c:tx>
                <c:rich>
                  <a:bodyPr/>
                  <a:lstStyle/>
                  <a:p>
                    <a:fld id="{B58CB4A9-9C00-41F1-BB5C-98D29FFDBB95}"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BD1-44BB-B51A-0804226C5F5C}"/>
                </c:ext>
              </c:extLst>
            </c:dLbl>
            <c:dLbl>
              <c:idx val="14"/>
              <c:tx>
                <c:rich>
                  <a:bodyPr/>
                  <a:lstStyle/>
                  <a:p>
                    <a:fld id="{B38114A0-10D1-4FC3-9FBB-8D4529B1E493}"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BBD1-44BB-B51A-0804226C5F5C}"/>
                </c:ext>
              </c:extLst>
            </c:dLbl>
            <c:dLbl>
              <c:idx val="15"/>
              <c:tx>
                <c:rich>
                  <a:bodyPr/>
                  <a:lstStyle/>
                  <a:p>
                    <a:fld id="{41FF4955-558C-4F9E-921E-34BA625BB221}"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BBD1-44BB-B51A-0804226C5F5C}"/>
                </c:ext>
              </c:extLst>
            </c:dLbl>
            <c:dLbl>
              <c:idx val="16"/>
              <c:tx>
                <c:rich>
                  <a:bodyPr/>
                  <a:lstStyle/>
                  <a:p>
                    <a:fld id="{AA4FBAF4-DA94-4F53-A178-87BBFBF045B0}"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BBD1-44BB-B51A-0804226C5F5C}"/>
                </c:ext>
              </c:extLst>
            </c:dLbl>
            <c:dLbl>
              <c:idx val="17"/>
              <c:tx>
                <c:rich>
                  <a:bodyPr/>
                  <a:lstStyle/>
                  <a:p>
                    <a:fld id="{7C46190F-900E-47C0-BA2D-47DA01226EFA}"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BBD1-44BB-B51A-0804226C5F5C}"/>
                </c:ext>
              </c:extLst>
            </c:dLbl>
            <c:dLbl>
              <c:idx val="18"/>
              <c:tx>
                <c:rich>
                  <a:bodyPr/>
                  <a:lstStyle/>
                  <a:p>
                    <a:fld id="{D704D427-71CD-4B33-B160-523F2ACE67A5}"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BBD1-44BB-B51A-0804226C5F5C}"/>
                </c:ext>
              </c:extLst>
            </c:dLbl>
            <c:dLbl>
              <c:idx val="19"/>
              <c:tx>
                <c:rich>
                  <a:bodyPr/>
                  <a:lstStyle/>
                  <a:p>
                    <a:fld id="{95507BC9-DF15-4302-B212-38F8F63DAD8D}"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BBD1-44BB-B51A-0804226C5F5C}"/>
                </c:ext>
              </c:extLst>
            </c:dLbl>
            <c:dLbl>
              <c:idx val="20"/>
              <c:tx>
                <c:rich>
                  <a:bodyPr/>
                  <a:lstStyle/>
                  <a:p>
                    <a:fld id="{0782C0D6-9CBA-4D53-9119-421FBE049E72}"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BBD1-44BB-B51A-0804226C5F5C}"/>
                </c:ext>
              </c:extLst>
            </c:dLbl>
            <c:dLbl>
              <c:idx val="21"/>
              <c:tx>
                <c:rich>
                  <a:bodyPr/>
                  <a:lstStyle/>
                  <a:p>
                    <a:fld id="{5CDCBE88-64D8-4384-9A26-8C39A74002DB}"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BBD1-44BB-B51A-0804226C5F5C}"/>
                </c:ext>
              </c:extLst>
            </c:dLbl>
            <c:dLbl>
              <c:idx val="22"/>
              <c:tx>
                <c:rich>
                  <a:bodyPr/>
                  <a:lstStyle/>
                  <a:p>
                    <a:fld id="{91893AA0-31FE-4AFF-A10B-52E1AF5A13EF}"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BBD1-44BB-B51A-0804226C5F5C}"/>
                </c:ext>
              </c:extLst>
            </c:dLbl>
            <c:dLbl>
              <c:idx val="23"/>
              <c:tx>
                <c:rich>
                  <a:bodyPr/>
                  <a:lstStyle/>
                  <a:p>
                    <a:fld id="{BDA8E6E7-BCAA-4223-BE05-69F02CF65C42}"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BBD1-44BB-B51A-0804226C5F5C}"/>
                </c:ext>
              </c:extLst>
            </c:dLbl>
            <c:dLbl>
              <c:idx val="24"/>
              <c:tx>
                <c:rich>
                  <a:bodyPr/>
                  <a:lstStyle/>
                  <a:p>
                    <a:fld id="{BEA1AD23-76EF-4E03-9455-F3C8F507CD52}"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BBD1-44BB-B51A-0804226C5F5C}"/>
                </c:ext>
              </c:extLst>
            </c:dLbl>
            <c:dLbl>
              <c:idx val="25"/>
              <c:tx>
                <c:rich>
                  <a:bodyPr/>
                  <a:lstStyle/>
                  <a:p>
                    <a:fld id="{9AF24CD7-C4AA-43BE-BE9B-6E86A78474C0}"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BBD1-44BB-B51A-0804226C5F5C}"/>
                </c:ext>
              </c:extLst>
            </c:dLbl>
            <c:dLbl>
              <c:idx val="26"/>
              <c:tx>
                <c:rich>
                  <a:bodyPr/>
                  <a:lstStyle/>
                  <a:p>
                    <a:fld id="{8A20E130-7DF4-4AB1-9137-3F182A3F5208}"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BBD1-44BB-B51A-0804226C5F5C}"/>
                </c:ext>
              </c:extLst>
            </c:dLbl>
            <c:dLbl>
              <c:idx val="27"/>
              <c:tx>
                <c:rich>
                  <a:bodyPr/>
                  <a:lstStyle/>
                  <a:p>
                    <a:fld id="{B34D833F-2470-490D-986C-6BF4E4417BA4}"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BBD1-44BB-B51A-0804226C5F5C}"/>
                </c:ext>
              </c:extLst>
            </c:dLbl>
            <c:dLbl>
              <c:idx val="28"/>
              <c:tx>
                <c:rich>
                  <a:bodyPr/>
                  <a:lstStyle/>
                  <a:p>
                    <a:fld id="{5688CC9B-5659-4599-B424-7B7707D9D4AF}"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BBD1-44BB-B51A-0804226C5F5C}"/>
                </c:ext>
              </c:extLst>
            </c:dLbl>
            <c:dLbl>
              <c:idx val="29"/>
              <c:tx>
                <c:rich>
                  <a:bodyPr/>
                  <a:lstStyle/>
                  <a:p>
                    <a:fld id="{8C076E5A-655D-4F84-9DE0-55647B927C20}"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BBD1-44BB-B51A-0804226C5F5C}"/>
                </c:ext>
              </c:extLst>
            </c:dLbl>
            <c:dLbl>
              <c:idx val="30"/>
              <c:tx>
                <c:rich>
                  <a:bodyPr/>
                  <a:lstStyle/>
                  <a:p>
                    <a:fld id="{9084A3AC-D96C-42D8-BB57-0554B4FC4C61}"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BBD1-44BB-B51A-0804226C5F5C}"/>
                </c:ext>
              </c:extLst>
            </c:dLbl>
            <c:dLbl>
              <c:idx val="31"/>
              <c:tx>
                <c:rich>
                  <a:bodyPr/>
                  <a:lstStyle/>
                  <a:p>
                    <a:fld id="{336745AA-4201-49DA-AEBB-B2BF6D0F0935}"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BBD1-44BB-B51A-0804226C5F5C}"/>
                </c:ext>
              </c:extLst>
            </c:dLbl>
            <c:dLbl>
              <c:idx val="32"/>
              <c:tx>
                <c:rich>
                  <a:bodyPr/>
                  <a:lstStyle/>
                  <a:p>
                    <a:fld id="{1A2E47D1-37D6-4531-9F15-12CB4C3EC253}"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BBD1-44BB-B51A-0804226C5F5C}"/>
                </c:ext>
              </c:extLst>
            </c:dLbl>
            <c:dLbl>
              <c:idx val="33"/>
              <c:tx>
                <c:rich>
                  <a:bodyPr/>
                  <a:lstStyle/>
                  <a:p>
                    <a:fld id="{4F27453B-0CF6-4B0F-80B5-50BD70975065}"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BBD1-44BB-B51A-0804226C5F5C}"/>
                </c:ext>
              </c:extLst>
            </c:dLbl>
            <c:dLbl>
              <c:idx val="34"/>
              <c:tx>
                <c:rich>
                  <a:bodyPr/>
                  <a:lstStyle/>
                  <a:p>
                    <a:fld id="{3F2B13C4-BAE6-4A19-AB34-7E2A94AE62B6}"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BBD1-44BB-B51A-0804226C5F5C}"/>
                </c:ext>
              </c:extLst>
            </c:dLbl>
            <c:dLbl>
              <c:idx val="35"/>
              <c:tx>
                <c:rich>
                  <a:bodyPr/>
                  <a:lstStyle/>
                  <a:p>
                    <a:fld id="{FB027ED1-E186-4A21-8222-6C0A69AE28F5}"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BBD1-44BB-B51A-0804226C5F5C}"/>
                </c:ext>
              </c:extLst>
            </c:dLbl>
            <c:dLbl>
              <c:idx val="36"/>
              <c:tx>
                <c:rich>
                  <a:bodyPr/>
                  <a:lstStyle/>
                  <a:p>
                    <a:fld id="{281EBA74-58D8-40FF-84AD-D08BC0AE2C4E}"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BBD1-44BB-B51A-0804226C5F5C}"/>
                </c:ext>
              </c:extLst>
            </c:dLbl>
            <c:dLbl>
              <c:idx val="37"/>
              <c:tx>
                <c:rich>
                  <a:bodyPr/>
                  <a:lstStyle/>
                  <a:p>
                    <a:fld id="{67DA428C-6502-424E-B16F-BF93A479792F}"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BBD1-44BB-B51A-0804226C5F5C}"/>
                </c:ext>
              </c:extLst>
            </c:dLbl>
            <c:dLbl>
              <c:idx val="38"/>
              <c:tx>
                <c:rich>
                  <a:bodyPr/>
                  <a:lstStyle/>
                  <a:p>
                    <a:fld id="{2FD08F35-78FE-49AF-847F-7F8AD4B18DEB}"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BBD1-44BB-B51A-0804226C5F5C}"/>
                </c:ext>
              </c:extLst>
            </c:dLbl>
            <c:dLbl>
              <c:idx val="39"/>
              <c:tx>
                <c:rich>
                  <a:bodyPr/>
                  <a:lstStyle/>
                  <a:p>
                    <a:fld id="{92CB46F7-3ADF-483A-AB2F-07BA156DE43E}"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BBD1-44BB-B51A-0804226C5F5C}"/>
                </c:ext>
              </c:extLst>
            </c:dLbl>
            <c:dLbl>
              <c:idx val="40"/>
              <c:tx>
                <c:rich>
                  <a:bodyPr/>
                  <a:lstStyle/>
                  <a:p>
                    <a:fld id="{34A8F6CC-D25B-4D89-9270-1B461758D543}"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BBD1-44BB-B51A-0804226C5F5C}"/>
                </c:ext>
              </c:extLst>
            </c:dLbl>
            <c:dLbl>
              <c:idx val="41"/>
              <c:tx>
                <c:rich>
                  <a:bodyPr/>
                  <a:lstStyle/>
                  <a:p>
                    <a:fld id="{9F2BB433-59A1-4916-9A1E-636887FD366B}"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BBD1-44BB-B51A-0804226C5F5C}"/>
                </c:ext>
              </c:extLst>
            </c:dLbl>
            <c:dLbl>
              <c:idx val="42"/>
              <c:tx>
                <c:rich>
                  <a:bodyPr/>
                  <a:lstStyle/>
                  <a:p>
                    <a:fld id="{1236FAF4-9271-4E11-8FF6-0CC1442F6F0A}"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BBD1-44BB-B51A-0804226C5F5C}"/>
                </c:ext>
              </c:extLst>
            </c:dLbl>
            <c:dLbl>
              <c:idx val="43"/>
              <c:tx>
                <c:rich>
                  <a:bodyPr/>
                  <a:lstStyle/>
                  <a:p>
                    <a:fld id="{8C5E1E48-8321-4FBC-9507-065B99076A74}"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BBD1-44BB-B51A-0804226C5F5C}"/>
                </c:ext>
              </c:extLst>
            </c:dLbl>
            <c:dLbl>
              <c:idx val="44"/>
              <c:tx>
                <c:rich>
                  <a:bodyPr/>
                  <a:lstStyle/>
                  <a:p>
                    <a:fld id="{7D734FA3-6AF1-421B-9EA2-A32667D57F59}"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BBD1-44BB-B51A-0804226C5F5C}"/>
                </c:ext>
              </c:extLst>
            </c:dLbl>
            <c:dLbl>
              <c:idx val="45"/>
              <c:tx>
                <c:rich>
                  <a:bodyPr/>
                  <a:lstStyle/>
                  <a:p>
                    <a:fld id="{A569E24F-2D95-43BB-928F-C2852B541109}"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BBD1-44BB-B51A-0804226C5F5C}"/>
                </c:ext>
              </c:extLst>
            </c:dLbl>
            <c:dLbl>
              <c:idx val="46"/>
              <c:tx>
                <c:rich>
                  <a:bodyPr/>
                  <a:lstStyle/>
                  <a:p>
                    <a:fld id="{D8218F9F-5A05-4243-A416-8415E3471953}"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BBD1-44BB-B51A-0804226C5F5C}"/>
                </c:ext>
              </c:extLst>
            </c:dLbl>
            <c:dLbl>
              <c:idx val="47"/>
              <c:tx>
                <c:rich>
                  <a:bodyPr/>
                  <a:lstStyle/>
                  <a:p>
                    <a:fld id="{E78F8EA4-8DB6-4CEA-B339-599FE9B1BC36}"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BBD1-44BB-B51A-0804226C5F5C}"/>
                </c:ext>
              </c:extLst>
            </c:dLbl>
            <c:dLbl>
              <c:idx val="48"/>
              <c:tx>
                <c:rich>
                  <a:bodyPr/>
                  <a:lstStyle/>
                  <a:p>
                    <a:fld id="{68592A4F-0EE2-448F-BB76-13D319D878A3}"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BBD1-44BB-B51A-0804226C5F5C}"/>
                </c:ext>
              </c:extLst>
            </c:dLbl>
            <c:dLbl>
              <c:idx val="49"/>
              <c:tx>
                <c:rich>
                  <a:bodyPr/>
                  <a:lstStyle/>
                  <a:p>
                    <a:fld id="{2B5175A2-1A51-4F49-9F4A-97B7EF88B8E7}"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BBD1-44BB-B51A-0804226C5F5C}"/>
                </c:ext>
              </c:extLst>
            </c:dLbl>
            <c:dLbl>
              <c:idx val="50"/>
              <c:tx>
                <c:rich>
                  <a:bodyPr/>
                  <a:lstStyle/>
                  <a:p>
                    <a:fld id="{00210B08-6B50-4B1D-BF68-D3FDCCF9662B}"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BBD1-44BB-B51A-0804226C5F5C}"/>
                </c:ext>
              </c:extLst>
            </c:dLbl>
            <c:dLbl>
              <c:idx val="51"/>
              <c:tx>
                <c:rich>
                  <a:bodyPr/>
                  <a:lstStyle/>
                  <a:p>
                    <a:fld id="{ACF0CB7A-BEB2-4BBB-BCF4-92F7913087E0}"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BBD1-44BB-B51A-0804226C5F5C}"/>
                </c:ext>
              </c:extLst>
            </c:dLbl>
            <c:dLbl>
              <c:idx val="52"/>
              <c:tx>
                <c:rich>
                  <a:bodyPr/>
                  <a:lstStyle/>
                  <a:p>
                    <a:fld id="{E282D943-90F7-46F1-AC46-899134D79B4D}"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BBD1-44BB-B51A-0804226C5F5C}"/>
                </c:ext>
              </c:extLst>
            </c:dLbl>
            <c:dLbl>
              <c:idx val="53"/>
              <c:tx>
                <c:rich>
                  <a:bodyPr/>
                  <a:lstStyle/>
                  <a:p>
                    <a:fld id="{ED3A3745-D0FA-4DEE-ABE5-FB7FAD1D3B35}"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BBD1-44BB-B51A-0804226C5F5C}"/>
                </c:ext>
              </c:extLst>
            </c:dLbl>
            <c:dLbl>
              <c:idx val="54"/>
              <c:tx>
                <c:rich>
                  <a:bodyPr/>
                  <a:lstStyle/>
                  <a:p>
                    <a:fld id="{ACCDBAAC-3F3F-44BB-9D66-AFE669E6B261}"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BBD1-44BB-B51A-0804226C5F5C}"/>
                </c:ext>
              </c:extLst>
            </c:dLbl>
            <c:dLbl>
              <c:idx val="55"/>
              <c:tx>
                <c:rich>
                  <a:bodyPr/>
                  <a:lstStyle/>
                  <a:p>
                    <a:fld id="{299C666F-78DD-41D9-8DB6-16E10A0E71BC}"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BBD1-44BB-B51A-0804226C5F5C}"/>
                </c:ext>
              </c:extLst>
            </c:dLbl>
            <c:dLbl>
              <c:idx val="56"/>
              <c:tx>
                <c:rich>
                  <a:bodyPr/>
                  <a:lstStyle/>
                  <a:p>
                    <a:fld id="{3B4C0BBC-C004-44E5-BAAA-C9062EC44B5B}"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BBD1-44BB-B51A-0804226C5F5C}"/>
                </c:ext>
              </c:extLst>
            </c:dLbl>
            <c:dLbl>
              <c:idx val="57"/>
              <c:tx>
                <c:rich>
                  <a:bodyPr/>
                  <a:lstStyle/>
                  <a:p>
                    <a:fld id="{DD40D0FE-D596-439E-B73B-E9D031101FC5}"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BBD1-44BB-B51A-0804226C5F5C}"/>
                </c:ext>
              </c:extLst>
            </c:dLbl>
            <c:dLbl>
              <c:idx val="58"/>
              <c:tx>
                <c:rich>
                  <a:bodyPr/>
                  <a:lstStyle/>
                  <a:p>
                    <a:fld id="{E1A10047-72DF-406B-8A00-F68B0C81540D}"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A-BBD1-44BB-B51A-0804226C5F5C}"/>
                </c:ext>
              </c:extLst>
            </c:dLbl>
            <c:dLbl>
              <c:idx val="59"/>
              <c:tx>
                <c:rich>
                  <a:bodyPr/>
                  <a:lstStyle/>
                  <a:p>
                    <a:fld id="{5A3C7EFD-2755-40E7-BC5F-C7C839999537}"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BBD1-44BB-B51A-0804226C5F5C}"/>
                </c:ext>
              </c:extLst>
            </c:dLbl>
            <c:dLbl>
              <c:idx val="60"/>
              <c:tx>
                <c:rich>
                  <a:bodyPr/>
                  <a:lstStyle/>
                  <a:p>
                    <a:fld id="{CBA7A3A1-0034-4FDD-8953-852E5BCD5735}"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BBD1-44BB-B51A-0804226C5F5C}"/>
                </c:ext>
              </c:extLst>
            </c:dLbl>
            <c:dLbl>
              <c:idx val="61"/>
              <c:tx>
                <c:rich>
                  <a:bodyPr/>
                  <a:lstStyle/>
                  <a:p>
                    <a:fld id="{257AF8A0-AFA5-4646-A9F2-1F8D21491A41}"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BBD1-44BB-B51A-0804226C5F5C}"/>
                </c:ext>
              </c:extLst>
            </c:dLbl>
            <c:dLbl>
              <c:idx val="62"/>
              <c:tx>
                <c:rich>
                  <a:bodyPr/>
                  <a:lstStyle/>
                  <a:p>
                    <a:fld id="{E04DF69C-E0BC-4D05-A976-31CB033D3DC5}"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BBD1-44BB-B51A-0804226C5F5C}"/>
                </c:ext>
              </c:extLst>
            </c:dLbl>
            <c:dLbl>
              <c:idx val="63"/>
              <c:tx>
                <c:rich>
                  <a:bodyPr/>
                  <a:lstStyle/>
                  <a:p>
                    <a:fld id="{A8BF6C7D-822A-4487-96EE-FB51CED624CF}"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BBD1-44BB-B51A-0804226C5F5C}"/>
                </c:ext>
              </c:extLst>
            </c:dLbl>
            <c:dLbl>
              <c:idx val="64"/>
              <c:tx>
                <c:rich>
                  <a:bodyPr/>
                  <a:lstStyle/>
                  <a:p>
                    <a:fld id="{E554CB3F-3812-41E5-9FB0-83EA17992691}"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0-BBD1-44BB-B51A-0804226C5F5C}"/>
                </c:ext>
              </c:extLst>
            </c:dLbl>
            <c:dLbl>
              <c:idx val="65"/>
              <c:tx>
                <c:rich>
                  <a:bodyPr/>
                  <a:lstStyle/>
                  <a:p>
                    <a:fld id="{321F67FE-EE93-4A79-803E-D6E21009E3E4}"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1-BBD1-44BB-B51A-0804226C5F5C}"/>
                </c:ext>
              </c:extLst>
            </c:dLbl>
            <c:dLbl>
              <c:idx val="66"/>
              <c:tx>
                <c:rich>
                  <a:bodyPr/>
                  <a:lstStyle/>
                  <a:p>
                    <a:fld id="{63DA4662-8393-4221-9FB2-5049DB968E4B}"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BBD1-44BB-B51A-0804226C5F5C}"/>
                </c:ext>
              </c:extLst>
            </c:dLbl>
            <c:dLbl>
              <c:idx val="67"/>
              <c:tx>
                <c:rich>
                  <a:bodyPr/>
                  <a:lstStyle/>
                  <a:p>
                    <a:fld id="{E0F0C6D1-803E-4B30-9472-CB3C4816644E}"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3-BBD1-44BB-B51A-0804226C5F5C}"/>
                </c:ext>
              </c:extLst>
            </c:dLbl>
            <c:dLbl>
              <c:idx val="68"/>
              <c:tx>
                <c:rich>
                  <a:bodyPr/>
                  <a:lstStyle/>
                  <a:p>
                    <a:fld id="{EABF8E73-6330-4D90-B9E0-5A7F412544BD}"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4-BBD1-44BB-B51A-0804226C5F5C}"/>
                </c:ext>
              </c:extLst>
            </c:dLbl>
            <c:dLbl>
              <c:idx val="69"/>
              <c:tx>
                <c:rich>
                  <a:bodyPr/>
                  <a:lstStyle/>
                  <a:p>
                    <a:fld id="{2A3CB9CC-9961-4142-A116-B0B353757C14}"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5-BBD1-44BB-B51A-0804226C5F5C}"/>
                </c:ext>
              </c:extLst>
            </c:dLbl>
            <c:dLbl>
              <c:idx val="70"/>
              <c:tx>
                <c:rich>
                  <a:bodyPr/>
                  <a:lstStyle/>
                  <a:p>
                    <a:fld id="{68BBE154-058D-489A-9940-D1D8DAD99116}"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6-BBD1-44BB-B51A-0804226C5F5C}"/>
                </c:ext>
              </c:extLst>
            </c:dLbl>
            <c:dLbl>
              <c:idx val="71"/>
              <c:tx>
                <c:rich>
                  <a:bodyPr/>
                  <a:lstStyle/>
                  <a:p>
                    <a:fld id="{AB704A43-09DD-44EE-BDF0-BDC5ACCC253E}"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7-BBD1-44BB-B51A-0804226C5F5C}"/>
                </c:ext>
              </c:extLst>
            </c:dLbl>
            <c:dLbl>
              <c:idx val="72"/>
              <c:tx>
                <c:rich>
                  <a:bodyPr/>
                  <a:lstStyle/>
                  <a:p>
                    <a:fld id="{9BDBF837-39F6-4469-A487-3ABC01B6806B}"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8-BBD1-44BB-B51A-0804226C5F5C}"/>
                </c:ext>
              </c:extLst>
            </c:dLbl>
            <c:dLbl>
              <c:idx val="73"/>
              <c:tx>
                <c:rich>
                  <a:bodyPr/>
                  <a:lstStyle/>
                  <a:p>
                    <a:fld id="{D25F0A63-BEEB-44C0-865C-AE0B81B3987C}"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9-BBD1-44BB-B51A-0804226C5F5C}"/>
                </c:ext>
              </c:extLst>
            </c:dLbl>
            <c:dLbl>
              <c:idx val="74"/>
              <c:tx>
                <c:rich>
                  <a:bodyPr/>
                  <a:lstStyle/>
                  <a:p>
                    <a:fld id="{F115561E-D96B-4B9F-9ECD-5B90FF60E87E}"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A-BBD1-44BB-B51A-0804226C5F5C}"/>
                </c:ext>
              </c:extLst>
            </c:dLbl>
            <c:dLbl>
              <c:idx val="75"/>
              <c:tx>
                <c:rich>
                  <a:bodyPr/>
                  <a:lstStyle/>
                  <a:p>
                    <a:fld id="{BBEDFF7F-9128-4A4B-9E64-F8D8AF005144}"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B-BBD1-44BB-B51A-0804226C5F5C}"/>
                </c:ext>
              </c:extLst>
            </c:dLbl>
            <c:dLbl>
              <c:idx val="76"/>
              <c:tx>
                <c:rich>
                  <a:bodyPr/>
                  <a:lstStyle/>
                  <a:p>
                    <a:fld id="{F61641B2-2C72-4FAA-8F00-F766B3DC39B8}"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C-BBD1-44BB-B51A-0804226C5F5C}"/>
                </c:ext>
              </c:extLst>
            </c:dLbl>
            <c:dLbl>
              <c:idx val="77"/>
              <c:tx>
                <c:rich>
                  <a:bodyPr/>
                  <a:lstStyle/>
                  <a:p>
                    <a:fld id="{88917151-745A-48D9-9B61-93AE94346806}"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D-BBD1-44BB-B51A-0804226C5F5C}"/>
                </c:ext>
              </c:extLst>
            </c:dLbl>
            <c:dLbl>
              <c:idx val="78"/>
              <c:tx>
                <c:rich>
                  <a:bodyPr/>
                  <a:lstStyle/>
                  <a:p>
                    <a:fld id="{22AE84EE-E1E8-4E85-B98D-FBB7707D1C84}"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E-BBD1-44BB-B51A-0804226C5F5C}"/>
                </c:ext>
              </c:extLst>
            </c:dLbl>
            <c:dLbl>
              <c:idx val="79"/>
              <c:tx>
                <c:rich>
                  <a:bodyPr/>
                  <a:lstStyle/>
                  <a:p>
                    <a:fld id="{D7D40BE7-BA02-44D7-BDE4-82DE81AD80D6}" type="CELLRANGE">
                      <a:rPr lang="fr-BE"/>
                      <a:pPr/>
                      <a:t>[CELLRANGE]</a:t>
                    </a:fld>
                    <a:endParaRPr lang="fr-BE"/>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F-BBD1-44BB-B51A-0804226C5F5C}"/>
                </c:ext>
              </c:extLst>
            </c:dLbl>
            <c:dLbl>
              <c:idx val="80"/>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0-BBD1-44BB-B51A-0804226C5F5C}"/>
                </c:ext>
              </c:extLst>
            </c:dLbl>
            <c:dLbl>
              <c:idx val="81"/>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1-BBD1-44BB-B51A-0804226C5F5C}"/>
                </c:ext>
              </c:extLst>
            </c:dLbl>
            <c:dLbl>
              <c:idx val="82"/>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2-BBD1-44BB-B51A-0804226C5F5C}"/>
                </c:ext>
              </c:extLst>
            </c:dLbl>
            <c:dLbl>
              <c:idx val="83"/>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3-BBD1-44BB-B51A-0804226C5F5C}"/>
                </c:ext>
              </c:extLst>
            </c:dLbl>
            <c:dLbl>
              <c:idx val="84"/>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4-BBD1-44BB-B51A-0804226C5F5C}"/>
                </c:ext>
              </c:extLst>
            </c:dLbl>
            <c:dLbl>
              <c:idx val="85"/>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5-BBD1-44BB-B51A-0804226C5F5C}"/>
                </c:ext>
              </c:extLst>
            </c:dLbl>
            <c:dLbl>
              <c:idx val="86"/>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6-BBD1-44BB-B51A-0804226C5F5C}"/>
                </c:ext>
              </c:extLst>
            </c:dLbl>
            <c:dLbl>
              <c:idx val="87"/>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7-BBD1-44BB-B51A-0804226C5F5C}"/>
                </c:ext>
              </c:extLst>
            </c:dLbl>
            <c:dLbl>
              <c:idx val="88"/>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8-BBD1-44BB-B51A-0804226C5F5C}"/>
                </c:ext>
              </c:extLst>
            </c:dLbl>
            <c:dLbl>
              <c:idx val="89"/>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9-BBD1-44BB-B51A-0804226C5F5C}"/>
                </c:ext>
              </c:extLst>
            </c:dLbl>
            <c:dLbl>
              <c:idx val="90"/>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A-BBD1-44BB-B51A-0804226C5F5C}"/>
                </c:ext>
              </c:extLst>
            </c:dLbl>
            <c:dLbl>
              <c:idx val="91"/>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B-BBD1-44BB-B51A-0804226C5F5C}"/>
                </c:ext>
              </c:extLst>
            </c:dLbl>
            <c:dLbl>
              <c:idx val="92"/>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C-BBD1-44BB-B51A-0804226C5F5C}"/>
                </c:ext>
              </c:extLst>
            </c:dLbl>
            <c:dLbl>
              <c:idx val="93"/>
              <c:tx>
                <c:rich>
                  <a:bodyPr/>
                  <a:lstStyle/>
                  <a:p>
                    <a:endParaRPr lang="fr-BE"/>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D-BBD1-44BB-B51A-0804226C5F5C}"/>
                </c:ext>
              </c:extLst>
            </c:dLbl>
            <c:spPr>
              <a:noFill/>
              <a:ln>
                <a:noFill/>
              </a:ln>
              <a:effectLst/>
            </c:spPr>
            <c:txPr>
              <a:bodyPr wrap="square" lIns="38100" tIns="19050" rIns="38100" bIns="19050" anchor="ctr">
                <a:spAutoFit/>
              </a:bodyPr>
              <a:lstStyle/>
              <a:p>
                <a:pPr>
                  <a:defRPr sz="1000" baseline="0">
                    <a:solidFill>
                      <a:schemeClr val="bg1">
                        <a:lumMod val="75000"/>
                      </a:schemeClr>
                    </a:solidFill>
                  </a:defRPr>
                </a:pPr>
                <a:endParaRPr lang="fr-FR"/>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trendline>
            <c:spPr>
              <a:ln w="38100">
                <a:solidFill>
                  <a:srgbClr val="000000"/>
                </a:solidFill>
                <a:prstDash val="sysDash"/>
              </a:ln>
            </c:spPr>
            <c:trendlineType val="linear"/>
            <c:dispRSqr val="0"/>
            <c:dispEq val="0"/>
          </c:trendline>
          <c:trendline>
            <c:trendlineType val="linear"/>
            <c:dispRSqr val="0"/>
            <c:dispEq val="0"/>
          </c:trendline>
          <c:xVal>
            <c:numRef>
              <c:f>doug!$F$63:$F$156</c:f>
              <c:numCache>
                <c:formatCode>0.00E+00</c:formatCode>
                <c:ptCount val="94"/>
                <c:pt idx="0">
                  <c:v>10.145585000000001</c:v>
                </c:pt>
                <c:pt idx="1">
                  <c:v>10.967974</c:v>
                </c:pt>
                <c:pt idx="2">
                  <c:v>9.6530714</c:v>
                </c:pt>
                <c:pt idx="3">
                  <c:v>10.965744000000001</c:v>
                </c:pt>
                <c:pt idx="4">
                  <c:v>10.204038000000001</c:v>
                </c:pt>
                <c:pt idx="5">
                  <c:v>11.170874</c:v>
                </c:pt>
                <c:pt idx="6">
                  <c:v>9.2850447000000003</c:v>
                </c:pt>
                <c:pt idx="7">
                  <c:v>10.620988000000001</c:v>
                </c:pt>
                <c:pt idx="8">
                  <c:v>11.739637</c:v>
                </c:pt>
                <c:pt idx="9">
                  <c:v>10.677352000000001</c:v>
                </c:pt>
                <c:pt idx="10">
                  <c:v>11.950561</c:v>
                </c:pt>
                <c:pt idx="11">
                  <c:v>11.947528</c:v>
                </c:pt>
                <c:pt idx="12">
                  <c:v>11.276165000000001</c:v>
                </c:pt>
                <c:pt idx="13">
                  <c:v>10.327201000000001</c:v>
                </c:pt>
                <c:pt idx="14">
                  <c:v>10.522550000000001</c:v>
                </c:pt>
                <c:pt idx="15">
                  <c:v>10.910275</c:v>
                </c:pt>
                <c:pt idx="16">
                  <c:v>10.936845</c:v>
                </c:pt>
                <c:pt idx="17">
                  <c:v>8.3143402999999996</c:v>
                </c:pt>
                <c:pt idx="18">
                  <c:v>10.691554</c:v>
                </c:pt>
                <c:pt idx="19">
                  <c:v>11.032344</c:v>
                </c:pt>
                <c:pt idx="20">
                  <c:v>11.496608999999999</c:v>
                </c:pt>
                <c:pt idx="21">
                  <c:v>12.116168999999999</c:v>
                </c:pt>
                <c:pt idx="22">
                  <c:v>11.294841</c:v>
                </c:pt>
                <c:pt idx="23">
                  <c:v>8.9914255999999995</c:v>
                </c:pt>
                <c:pt idx="24">
                  <c:v>11.964447</c:v>
                </c:pt>
                <c:pt idx="25">
                  <c:v>9.8438514999999995</c:v>
                </c:pt>
                <c:pt idx="26">
                  <c:v>9.0712516999999995</c:v>
                </c:pt>
                <c:pt idx="27">
                  <c:v>12.316875</c:v>
                </c:pt>
                <c:pt idx="28">
                  <c:v>9.7997935999999992</c:v>
                </c:pt>
                <c:pt idx="29">
                  <c:v>12.541176</c:v>
                </c:pt>
                <c:pt idx="30">
                  <c:v>12.518743000000001</c:v>
                </c:pt>
                <c:pt idx="31">
                  <c:v>10.1172</c:v>
                </c:pt>
                <c:pt idx="32">
                  <c:v>9.9468923999999994</c:v>
                </c:pt>
                <c:pt idx="33">
                  <c:v>10.641629999999999</c:v>
                </c:pt>
                <c:pt idx="34">
                  <c:v>11.436615</c:v>
                </c:pt>
                <c:pt idx="35">
                  <c:v>8.8885594000000001</c:v>
                </c:pt>
                <c:pt idx="36">
                  <c:v>10.091426</c:v>
                </c:pt>
                <c:pt idx="37">
                  <c:v>10.628814999999999</c:v>
                </c:pt>
                <c:pt idx="38">
                  <c:v>12.235423000000001</c:v>
                </c:pt>
                <c:pt idx="39">
                  <c:v>10.430629</c:v>
                </c:pt>
                <c:pt idx="40">
                  <c:v>11.183251</c:v>
                </c:pt>
                <c:pt idx="41">
                  <c:v>11.545598999999999</c:v>
                </c:pt>
                <c:pt idx="42">
                  <c:v>11.078524</c:v>
                </c:pt>
                <c:pt idx="43">
                  <c:v>10.676183999999999</c:v>
                </c:pt>
                <c:pt idx="44">
                  <c:v>12.322775999999999</c:v>
                </c:pt>
                <c:pt idx="45">
                  <c:v>10.966441</c:v>
                </c:pt>
                <c:pt idx="46">
                  <c:v>11.205799000000001</c:v>
                </c:pt>
                <c:pt idx="47">
                  <c:v>10.065064</c:v>
                </c:pt>
                <c:pt idx="48">
                  <c:v>10.548353000000001</c:v>
                </c:pt>
                <c:pt idx="49">
                  <c:v>10.758212</c:v>
                </c:pt>
                <c:pt idx="50">
                  <c:v>8.7850582999999993</c:v>
                </c:pt>
                <c:pt idx="51">
                  <c:v>11.378147</c:v>
                </c:pt>
                <c:pt idx="52">
                  <c:v>10.792693999999999</c:v>
                </c:pt>
                <c:pt idx="53">
                  <c:v>9.6022753000000005</c:v>
                </c:pt>
                <c:pt idx="54">
                  <c:v>13.339952</c:v>
                </c:pt>
                <c:pt idx="55">
                  <c:v>9.8652837000000009</c:v>
                </c:pt>
                <c:pt idx="56">
                  <c:v>10.03152</c:v>
                </c:pt>
                <c:pt idx="57">
                  <c:v>9.7229015000000008</c:v>
                </c:pt>
                <c:pt idx="58">
                  <c:v>11.917802</c:v>
                </c:pt>
                <c:pt idx="59">
                  <c:v>9.9951180999999991</c:v>
                </c:pt>
                <c:pt idx="60">
                  <c:v>12.747372</c:v>
                </c:pt>
                <c:pt idx="61">
                  <c:v>11.263916</c:v>
                </c:pt>
                <c:pt idx="62">
                  <c:v>10.514411000000001</c:v>
                </c:pt>
                <c:pt idx="63">
                  <c:v>13.071164</c:v>
                </c:pt>
                <c:pt idx="64">
                  <c:v>13.095594</c:v>
                </c:pt>
                <c:pt idx="65">
                  <c:v>12.569417</c:v>
                </c:pt>
                <c:pt idx="66">
                  <c:v>11.524317</c:v>
                </c:pt>
                <c:pt idx="67">
                  <c:v>11.064543</c:v>
                </c:pt>
                <c:pt idx="68">
                  <c:v>12.979231</c:v>
                </c:pt>
                <c:pt idx="69">
                  <c:v>10.349714000000001</c:v>
                </c:pt>
                <c:pt idx="70">
                  <c:v>11.493994000000001</c:v>
                </c:pt>
                <c:pt idx="71">
                  <c:v>12.053884999999999</c:v>
                </c:pt>
                <c:pt idx="72">
                  <c:v>12.965482</c:v>
                </c:pt>
                <c:pt idx="73">
                  <c:v>12.648023</c:v>
                </c:pt>
                <c:pt idx="74">
                  <c:v>12.186525</c:v>
                </c:pt>
                <c:pt idx="75">
                  <c:v>11.449725000000001</c:v>
                </c:pt>
                <c:pt idx="76">
                  <c:v>11.508879</c:v>
                </c:pt>
                <c:pt idx="77">
                  <c:v>13.076029999999999</c:v>
                </c:pt>
                <c:pt idx="78">
                  <c:v>11.962852</c:v>
                </c:pt>
                <c:pt idx="79">
                  <c:v>14.519897</c:v>
                </c:pt>
              </c:numCache>
            </c:numRef>
          </c:xVal>
          <c:yVal>
            <c:numRef>
              <c:f>doug!$D$63:$D$156</c:f>
              <c:numCache>
                <c:formatCode>General</c:formatCode>
                <c:ptCount val="94"/>
                <c:pt idx="0">
                  <c:v>9.9399996000000002</c:v>
                </c:pt>
                <c:pt idx="1">
                  <c:v>10.0200005</c:v>
                </c:pt>
                <c:pt idx="2">
                  <c:v>10</c:v>
                </c:pt>
                <c:pt idx="3">
                  <c:v>10.5</c:v>
                </c:pt>
                <c:pt idx="4">
                  <c:v>10.779999699999999</c:v>
                </c:pt>
                <c:pt idx="5">
                  <c:v>10.449999800000001</c:v>
                </c:pt>
                <c:pt idx="6">
                  <c:v>11.0200005</c:v>
                </c:pt>
                <c:pt idx="7">
                  <c:v>10.800000199999999</c:v>
                </c:pt>
                <c:pt idx="8">
                  <c:v>10.8800001</c:v>
                </c:pt>
                <c:pt idx="9">
                  <c:v>11.0600004</c:v>
                </c:pt>
                <c:pt idx="10">
                  <c:v>11.0900002</c:v>
                </c:pt>
                <c:pt idx="11">
                  <c:v>11.6199999</c:v>
                </c:pt>
                <c:pt idx="12">
                  <c:v>9.9600000000000009</c:v>
                </c:pt>
                <c:pt idx="13">
                  <c:v>9.5</c:v>
                </c:pt>
                <c:pt idx="14">
                  <c:v>9.9899997999999997</c:v>
                </c:pt>
                <c:pt idx="15">
                  <c:v>10.0100002</c:v>
                </c:pt>
                <c:pt idx="16">
                  <c:v>9.8299999000000007</c:v>
                </c:pt>
                <c:pt idx="17">
                  <c:v>9.5699997000000003</c:v>
                </c:pt>
                <c:pt idx="18">
                  <c:v>9.9200000999999993</c:v>
                </c:pt>
                <c:pt idx="19">
                  <c:v>11.670000099999999</c:v>
                </c:pt>
                <c:pt idx="20">
                  <c:v>11.5</c:v>
                </c:pt>
                <c:pt idx="21">
                  <c:v>11.3699999</c:v>
                </c:pt>
                <c:pt idx="22">
                  <c:v>11.5900002</c:v>
                </c:pt>
                <c:pt idx="23">
                  <c:v>9.8800001000000002</c:v>
                </c:pt>
                <c:pt idx="24">
                  <c:v>11.8400002</c:v>
                </c:pt>
                <c:pt idx="25">
                  <c:v>10</c:v>
                </c:pt>
                <c:pt idx="26">
                  <c:v>10.100000400000001</c:v>
                </c:pt>
                <c:pt idx="27">
                  <c:v>11.399999599999999</c:v>
                </c:pt>
                <c:pt idx="28">
                  <c:v>10.279999699999999</c:v>
                </c:pt>
                <c:pt idx="29">
                  <c:v>12.21</c:v>
                </c:pt>
                <c:pt idx="30">
                  <c:v>11.9399996</c:v>
                </c:pt>
                <c:pt idx="31">
                  <c:v>10.3699999</c:v>
                </c:pt>
                <c:pt idx="32">
                  <c:v>10.3800001</c:v>
                </c:pt>
                <c:pt idx="33">
                  <c:v>9.8800001000000002</c:v>
                </c:pt>
                <c:pt idx="34">
                  <c:v>12.079999900000001</c:v>
                </c:pt>
                <c:pt idx="35">
                  <c:v>9.0799999000000007</c:v>
                </c:pt>
                <c:pt idx="36">
                  <c:v>10.800000199999999</c:v>
                </c:pt>
                <c:pt idx="37">
                  <c:v>9.3599996999999995</c:v>
                </c:pt>
                <c:pt idx="38">
                  <c:v>12.449999800000001</c:v>
                </c:pt>
                <c:pt idx="39">
                  <c:v>10.920000099999999</c:v>
                </c:pt>
                <c:pt idx="40">
                  <c:v>10.949999800000001</c:v>
                </c:pt>
                <c:pt idx="41">
                  <c:v>10.9899998</c:v>
                </c:pt>
                <c:pt idx="42">
                  <c:v>11</c:v>
                </c:pt>
                <c:pt idx="43">
                  <c:v>9.9700003000000006</c:v>
                </c:pt>
                <c:pt idx="44">
                  <c:v>12.899999599999999</c:v>
                </c:pt>
                <c:pt idx="45">
                  <c:v>10.529999699999999</c:v>
                </c:pt>
                <c:pt idx="46">
                  <c:v>11.0600004</c:v>
                </c:pt>
                <c:pt idx="47">
                  <c:v>9.1000004000000008</c:v>
                </c:pt>
                <c:pt idx="48">
                  <c:v>8.9700003000000006</c:v>
                </c:pt>
                <c:pt idx="49">
                  <c:v>11.1199999</c:v>
                </c:pt>
                <c:pt idx="50">
                  <c:v>9.2299994999999999</c:v>
                </c:pt>
                <c:pt idx="51">
                  <c:v>11.2299995</c:v>
                </c:pt>
                <c:pt idx="52">
                  <c:v>11.2299995</c:v>
                </c:pt>
                <c:pt idx="53">
                  <c:v>11.2399998</c:v>
                </c:pt>
                <c:pt idx="54">
                  <c:v>12.5600004</c:v>
                </c:pt>
                <c:pt idx="55">
                  <c:v>10.0699997</c:v>
                </c:pt>
                <c:pt idx="56">
                  <c:v>9.9399996000000002</c:v>
                </c:pt>
                <c:pt idx="57">
                  <c:v>10.2399998</c:v>
                </c:pt>
                <c:pt idx="58">
                  <c:v>11.420000099999999</c:v>
                </c:pt>
                <c:pt idx="59">
                  <c:v>10.5</c:v>
                </c:pt>
                <c:pt idx="60">
                  <c:v>13.140000300000001</c:v>
                </c:pt>
                <c:pt idx="61">
                  <c:v>11.699999800000001</c:v>
                </c:pt>
                <c:pt idx="62">
                  <c:v>10.3800001</c:v>
                </c:pt>
                <c:pt idx="63">
                  <c:v>13.350000400000001</c:v>
                </c:pt>
                <c:pt idx="64">
                  <c:v>12.6599998</c:v>
                </c:pt>
                <c:pt idx="65">
                  <c:v>11.9899998</c:v>
                </c:pt>
                <c:pt idx="66">
                  <c:v>12</c:v>
                </c:pt>
                <c:pt idx="67">
                  <c:v>12</c:v>
                </c:pt>
                <c:pt idx="68">
                  <c:v>13.1599998</c:v>
                </c:pt>
                <c:pt idx="69">
                  <c:v>12.170000099999999</c:v>
                </c:pt>
                <c:pt idx="70">
                  <c:v>10.970000300000001</c:v>
                </c:pt>
                <c:pt idx="71">
                  <c:v>12.2600002</c:v>
                </c:pt>
                <c:pt idx="72">
                  <c:v>13.029999699999999</c:v>
                </c:pt>
                <c:pt idx="73">
                  <c:v>12.359999699999999</c:v>
                </c:pt>
                <c:pt idx="74">
                  <c:v>12.399999599999999</c:v>
                </c:pt>
                <c:pt idx="75">
                  <c:v>12.5</c:v>
                </c:pt>
                <c:pt idx="76">
                  <c:v>12.600000400000001</c:v>
                </c:pt>
                <c:pt idx="77">
                  <c:v>12.670000099999999</c:v>
                </c:pt>
                <c:pt idx="78">
                  <c:v>12.699999800000001</c:v>
                </c:pt>
                <c:pt idx="79">
                  <c:v>14.4300003</c:v>
                </c:pt>
              </c:numCache>
            </c:numRef>
          </c:yVal>
          <c:smooth val="0"/>
          <c:extLst>
            <c:ext xmlns:c15="http://schemas.microsoft.com/office/drawing/2012/chart" uri="{02D57815-91ED-43cb-92C2-25804820EDAC}">
              <c15:datalabelsRange>
                <c15:f>doug!$B$63:$B$142</c15:f>
                <c15:dlblRangeCache>
                  <c:ptCount val="8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15:dlblRangeCache>
              </c15:datalabelsRange>
            </c:ext>
            <c:ext xmlns:c16="http://schemas.microsoft.com/office/drawing/2014/chart" uri="{C3380CC4-5D6E-409C-BE32-E72D297353CC}">
              <c16:uniqueId val="{00000060-BBD1-44BB-B51A-0804226C5F5C}"/>
            </c:ext>
          </c:extLst>
        </c:ser>
        <c:ser>
          <c:idx val="1"/>
          <c:order val="1"/>
          <c:tx>
            <c:v>45°</c:v>
          </c:tx>
          <c:spPr>
            <a:ln w="25400">
              <a:solidFill>
                <a:srgbClr val="FF0000"/>
              </a:solidFill>
              <a:prstDash val="solid"/>
            </a:ln>
          </c:spPr>
          <c:marker>
            <c:symbol val="none"/>
          </c:marker>
          <c:xVal>
            <c:numRef>
              <c:f>doug!$E$10:$E$11</c:f>
              <c:numCache>
                <c:formatCode>0.00</c:formatCode>
                <c:ptCount val="2"/>
                <c:pt idx="0">
                  <c:v>8</c:v>
                </c:pt>
                <c:pt idx="1">
                  <c:v>16</c:v>
                </c:pt>
              </c:numCache>
            </c:numRef>
          </c:xVal>
          <c:yVal>
            <c:numRef>
              <c:f>doug!$E$10:$E$11</c:f>
              <c:numCache>
                <c:formatCode>0.00</c:formatCode>
                <c:ptCount val="2"/>
                <c:pt idx="0">
                  <c:v>8</c:v>
                </c:pt>
                <c:pt idx="1">
                  <c:v>16</c:v>
                </c:pt>
              </c:numCache>
            </c:numRef>
          </c:yVal>
          <c:smooth val="0"/>
          <c:extLst>
            <c:ext xmlns:c16="http://schemas.microsoft.com/office/drawing/2014/chart" uri="{C3380CC4-5D6E-409C-BE32-E72D297353CC}">
              <c16:uniqueId val="{00000061-BBD1-44BB-B51A-0804226C5F5C}"/>
            </c:ext>
          </c:extLst>
        </c:ser>
        <c:ser>
          <c:idx val="2"/>
          <c:order val="2"/>
          <c:tx>
            <c:v>45°-Bias</c:v>
          </c:tx>
          <c:spPr>
            <a:ln w="38100">
              <a:solidFill>
                <a:srgbClr val="0000FF"/>
              </a:solidFill>
              <a:prstDash val="lgDashDotDot"/>
            </a:ln>
          </c:spPr>
          <c:marker>
            <c:symbol val="none"/>
          </c:marker>
          <c:xVal>
            <c:numRef>
              <c:f>doug!$W$10:$W$11</c:f>
              <c:numCache>
                <c:formatCode>0.00</c:formatCode>
                <c:ptCount val="2"/>
                <c:pt idx="0">
                  <c:v>7.9972246387499961</c:v>
                </c:pt>
                <c:pt idx="1">
                  <c:v>15.997224638749996</c:v>
                </c:pt>
              </c:numCache>
            </c:numRef>
          </c:xVal>
          <c:yVal>
            <c:numRef>
              <c:f>doug!$E$10:$E$11</c:f>
              <c:numCache>
                <c:formatCode>0.00</c:formatCode>
                <c:ptCount val="2"/>
                <c:pt idx="0">
                  <c:v>8</c:v>
                </c:pt>
                <c:pt idx="1">
                  <c:v>16</c:v>
                </c:pt>
              </c:numCache>
            </c:numRef>
          </c:yVal>
          <c:smooth val="0"/>
          <c:extLst>
            <c:ext xmlns:c16="http://schemas.microsoft.com/office/drawing/2014/chart" uri="{C3380CC4-5D6E-409C-BE32-E72D297353CC}">
              <c16:uniqueId val="{00000062-BBD1-44BB-B51A-0804226C5F5C}"/>
            </c:ext>
          </c:extLst>
        </c:ser>
        <c:ser>
          <c:idx val="3"/>
          <c:order val="3"/>
          <c:tx>
            <c:v>Least Rec </c:v>
          </c:tx>
          <c:spPr>
            <a:ln w="25400">
              <a:solidFill>
                <a:srgbClr val="FF9900"/>
              </a:solidFill>
              <a:prstDash val="sysDash"/>
            </a:ln>
          </c:spPr>
          <c:marker>
            <c:symbol val="none"/>
          </c:marker>
          <c:xVal>
            <c:numRef>
              <c:f>doug!$Y$19:$Y$20</c:f>
              <c:numCache>
                <c:formatCode>General</c:formatCode>
                <c:ptCount val="2"/>
                <c:pt idx="0">
                  <c:v>8</c:v>
                </c:pt>
                <c:pt idx="1">
                  <c:v>16</c:v>
                </c:pt>
              </c:numCache>
            </c:numRef>
          </c:xVal>
          <c:yVal>
            <c:numRef>
              <c:f>doug!$X$19:$X$20</c:f>
              <c:numCache>
                <c:formatCode>0.000</c:formatCode>
                <c:ptCount val="2"/>
                <c:pt idx="0">
                  <c:v>8.0627705182243332</c:v>
                </c:pt>
                <c:pt idx="1">
                  <c:v>15.908279433659603</c:v>
                </c:pt>
              </c:numCache>
            </c:numRef>
          </c:yVal>
          <c:smooth val="0"/>
          <c:extLst>
            <c:ext xmlns:c16="http://schemas.microsoft.com/office/drawing/2014/chart" uri="{C3380CC4-5D6E-409C-BE32-E72D297353CC}">
              <c16:uniqueId val="{00000063-BBD1-44BB-B51A-0804226C5F5C}"/>
            </c:ext>
          </c:extLst>
        </c:ser>
        <c:dLbls>
          <c:showLegendKey val="0"/>
          <c:showVal val="0"/>
          <c:showCatName val="0"/>
          <c:showSerName val="0"/>
          <c:showPercent val="0"/>
          <c:showBubbleSize val="0"/>
        </c:dLbls>
        <c:axId val="159636864"/>
        <c:axId val="201328128"/>
      </c:scatterChart>
      <c:valAx>
        <c:axId val="159636864"/>
        <c:scaling>
          <c:orientation val="minMax"/>
          <c:max val="18"/>
          <c:min val="5"/>
        </c:scaling>
        <c:delete val="0"/>
        <c:axPos val="b"/>
        <c:numFmt formatCode="0.00E+00" sourceLinked="1"/>
        <c:majorTickMark val="out"/>
        <c:minorTickMark val="none"/>
        <c:tickLblPos val="nextTo"/>
        <c:spPr>
          <a:ln w="3175">
            <a:solidFill>
              <a:srgbClr val="000000"/>
            </a:solidFill>
            <a:prstDash val="solid"/>
          </a:ln>
        </c:spPr>
        <c:txPr>
          <a:bodyPr rot="0" vert="horz"/>
          <a:lstStyle/>
          <a:p>
            <a:pPr>
              <a:defRPr sz="1775" b="0" i="0" u="none" strike="noStrike" baseline="0">
                <a:solidFill>
                  <a:srgbClr val="000000"/>
                </a:solidFill>
                <a:latin typeface="Arial"/>
                <a:ea typeface="Arial"/>
                <a:cs typeface="Arial"/>
              </a:defRPr>
            </a:pPr>
            <a:endParaRPr lang="fr-FR"/>
          </a:p>
        </c:txPr>
        <c:crossAx val="201328128"/>
        <c:crosses val="autoZero"/>
        <c:crossBetween val="midCat"/>
      </c:valAx>
      <c:valAx>
        <c:axId val="201328128"/>
        <c:scaling>
          <c:orientation val="minMax"/>
          <c:max val="16"/>
          <c:min val="8"/>
        </c:scaling>
        <c:delete val="0"/>
        <c:axPos val="l"/>
        <c:numFmt formatCode="General" sourceLinked="1"/>
        <c:majorTickMark val="out"/>
        <c:minorTickMark val="none"/>
        <c:tickLblPos val="nextTo"/>
        <c:spPr>
          <a:ln w="3175">
            <a:solidFill>
              <a:srgbClr val="000000"/>
            </a:solidFill>
            <a:prstDash val="solid"/>
          </a:ln>
        </c:spPr>
        <c:txPr>
          <a:bodyPr rot="0" vert="horz"/>
          <a:lstStyle/>
          <a:p>
            <a:pPr>
              <a:defRPr sz="1775" b="0" i="0" u="none" strike="noStrike" baseline="0">
                <a:solidFill>
                  <a:srgbClr val="000000"/>
                </a:solidFill>
                <a:latin typeface="Arial"/>
                <a:ea typeface="Arial"/>
                <a:cs typeface="Arial"/>
              </a:defRPr>
            </a:pPr>
            <a:endParaRPr lang="fr-FR"/>
          </a:p>
        </c:txPr>
        <c:crossAx val="159636864"/>
        <c:crosses val="autoZero"/>
        <c:crossBetween val="midCat"/>
      </c:valAx>
      <c:spPr>
        <a:noFill/>
        <a:ln w="12700">
          <a:solidFill>
            <a:srgbClr val="808080"/>
          </a:solidFill>
          <a:prstDash val="solid"/>
        </a:ln>
      </c:spPr>
    </c:plotArea>
    <c:legend>
      <c:legendPos val="r"/>
      <c:legendEntry>
        <c:idx val="5"/>
        <c:delete val="1"/>
      </c:legendEntry>
      <c:layout>
        <c:manualLayout>
          <c:xMode val="edge"/>
          <c:yMode val="edge"/>
          <c:x val="0.79767434134024384"/>
          <c:y val="0.33862478127734036"/>
          <c:w val="0.15397255752001976"/>
          <c:h val="0.2372110830586843"/>
        </c:manualLayout>
      </c:layout>
      <c:overlay val="0"/>
      <c:spPr>
        <a:solidFill>
          <a:srgbClr val="FFFFFF"/>
        </a:solidFill>
        <a:ln w="3175">
          <a:solidFill>
            <a:srgbClr val="000000"/>
          </a:solidFill>
          <a:prstDash val="solid"/>
        </a:ln>
      </c:spPr>
      <c:txPr>
        <a:bodyPr/>
        <a:lstStyle/>
        <a:p>
          <a:pPr>
            <a:defRPr sz="1350" b="1" i="0" u="none" strike="noStrike" baseline="0">
              <a:solidFill>
                <a:srgbClr val="000000"/>
              </a:solidFill>
              <a:latin typeface="Arial"/>
              <a:ea typeface="Arial"/>
              <a:cs typeface="Arial"/>
            </a:defRPr>
          </a:pPr>
          <a:endParaRPr lang="fr-FR"/>
        </a:p>
      </c:txPr>
    </c:legend>
    <c:plotVisOnly val="1"/>
    <c:dispBlanksAs val="gap"/>
    <c:showDLblsOverMax val="0"/>
  </c:chart>
  <c:spPr>
    <a:solidFill>
      <a:srgbClr val="FFFFFF"/>
    </a:solidFill>
    <a:ln w="25400">
      <a:solidFill>
        <a:srgbClr val="000000"/>
      </a:solidFill>
      <a:prstDash val="solid"/>
    </a:ln>
  </c:spPr>
  <c:txPr>
    <a:bodyPr/>
    <a:lstStyle/>
    <a:p>
      <a:pPr>
        <a:defRPr sz="1775" b="0" i="0" u="none" strike="noStrike" baseline="0">
          <a:solidFill>
            <a:srgbClr val="000000"/>
          </a:solidFill>
          <a:latin typeface="Arial"/>
          <a:ea typeface="Arial"/>
          <a:cs typeface="Arial"/>
        </a:defRPr>
      </a:pPr>
      <a:endParaRPr lang="fr-FR"/>
    </a:p>
  </c:txPr>
  <c:printSettings>
    <c:headerFooter alignWithMargins="0"/>
    <c:pageMargins b="1" l="0.75000000000000377" r="0.75000000000000377" t="1" header="0.5" footer="0.5"/>
    <c:pageSetup paperSize="9" orientation="landscape"/>
  </c:printSettings>
  <c:userShapes r:id="rId1"/>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400" baseline="0"/>
              <a:t>Residuals vs References</a:t>
            </a:r>
          </a:p>
        </c:rich>
      </c:tx>
      <c:layout>
        <c:manualLayout>
          <c:xMode val="edge"/>
          <c:yMode val="edge"/>
          <c:x val="0.56681818181818189"/>
          <c:y val="3.53109202638453E-3"/>
        </c:manualLayout>
      </c:layout>
      <c:overlay val="1"/>
    </c:title>
    <c:autoTitleDeleted val="0"/>
    <c:plotArea>
      <c:layout/>
      <c:scatterChart>
        <c:scatterStyle val="lineMarker"/>
        <c:varyColors val="0"/>
        <c:ser>
          <c:idx val="0"/>
          <c:order val="0"/>
          <c:spPr>
            <a:ln>
              <a:noFill/>
            </a:ln>
          </c:spPr>
          <c:trendline>
            <c:trendlineType val="linear"/>
            <c:dispRSqr val="0"/>
            <c:dispEq val="1"/>
            <c:trendlineLbl>
              <c:layout>
                <c:manualLayout>
                  <c:x val="5.4747515059074582E-2"/>
                  <c:y val="0.43633237847491585"/>
                </c:manualLayout>
              </c:layout>
              <c:numFmt formatCode="General" sourceLinked="0"/>
            </c:trendlineLbl>
          </c:trendline>
          <c:xVal>
            <c:numRef>
              <c:f>doug!$D$63:$D$156</c:f>
              <c:numCache>
                <c:formatCode>General</c:formatCode>
                <c:ptCount val="94"/>
                <c:pt idx="0">
                  <c:v>9.9399996000000002</c:v>
                </c:pt>
                <c:pt idx="1">
                  <c:v>10.0200005</c:v>
                </c:pt>
                <c:pt idx="2">
                  <c:v>10</c:v>
                </c:pt>
                <c:pt idx="3">
                  <c:v>10.5</c:v>
                </c:pt>
                <c:pt idx="4">
                  <c:v>10.779999699999999</c:v>
                </c:pt>
                <c:pt idx="5">
                  <c:v>10.449999800000001</c:v>
                </c:pt>
                <c:pt idx="6">
                  <c:v>11.0200005</c:v>
                </c:pt>
                <c:pt idx="7">
                  <c:v>10.800000199999999</c:v>
                </c:pt>
                <c:pt idx="8">
                  <c:v>10.8800001</c:v>
                </c:pt>
                <c:pt idx="9">
                  <c:v>11.0600004</c:v>
                </c:pt>
                <c:pt idx="10">
                  <c:v>11.0900002</c:v>
                </c:pt>
                <c:pt idx="11">
                  <c:v>11.6199999</c:v>
                </c:pt>
                <c:pt idx="12">
                  <c:v>9.9600000000000009</c:v>
                </c:pt>
                <c:pt idx="13">
                  <c:v>9.5</c:v>
                </c:pt>
                <c:pt idx="14">
                  <c:v>9.9899997999999997</c:v>
                </c:pt>
                <c:pt idx="15">
                  <c:v>10.0100002</c:v>
                </c:pt>
                <c:pt idx="16">
                  <c:v>9.8299999000000007</c:v>
                </c:pt>
                <c:pt idx="17">
                  <c:v>9.5699997000000003</c:v>
                </c:pt>
                <c:pt idx="18">
                  <c:v>9.9200000999999993</c:v>
                </c:pt>
                <c:pt idx="19">
                  <c:v>11.670000099999999</c:v>
                </c:pt>
                <c:pt idx="20">
                  <c:v>11.5</c:v>
                </c:pt>
                <c:pt idx="21">
                  <c:v>11.3699999</c:v>
                </c:pt>
                <c:pt idx="22">
                  <c:v>11.5900002</c:v>
                </c:pt>
                <c:pt idx="23">
                  <c:v>9.8800001000000002</c:v>
                </c:pt>
                <c:pt idx="24">
                  <c:v>11.8400002</c:v>
                </c:pt>
                <c:pt idx="25">
                  <c:v>10</c:v>
                </c:pt>
                <c:pt idx="26">
                  <c:v>10.100000400000001</c:v>
                </c:pt>
                <c:pt idx="27">
                  <c:v>11.399999599999999</c:v>
                </c:pt>
                <c:pt idx="28">
                  <c:v>10.279999699999999</c:v>
                </c:pt>
                <c:pt idx="29">
                  <c:v>12.21</c:v>
                </c:pt>
                <c:pt idx="30">
                  <c:v>11.9399996</c:v>
                </c:pt>
                <c:pt idx="31">
                  <c:v>10.3699999</c:v>
                </c:pt>
                <c:pt idx="32">
                  <c:v>10.3800001</c:v>
                </c:pt>
                <c:pt idx="33">
                  <c:v>9.8800001000000002</c:v>
                </c:pt>
                <c:pt idx="34">
                  <c:v>12.079999900000001</c:v>
                </c:pt>
                <c:pt idx="35">
                  <c:v>9.0799999000000007</c:v>
                </c:pt>
                <c:pt idx="36">
                  <c:v>10.800000199999999</c:v>
                </c:pt>
                <c:pt idx="37">
                  <c:v>9.3599996999999995</c:v>
                </c:pt>
                <c:pt idx="38">
                  <c:v>12.449999800000001</c:v>
                </c:pt>
                <c:pt idx="39">
                  <c:v>10.920000099999999</c:v>
                </c:pt>
                <c:pt idx="40">
                  <c:v>10.949999800000001</c:v>
                </c:pt>
                <c:pt idx="41">
                  <c:v>10.9899998</c:v>
                </c:pt>
                <c:pt idx="42">
                  <c:v>11</c:v>
                </c:pt>
                <c:pt idx="43">
                  <c:v>9.9700003000000006</c:v>
                </c:pt>
                <c:pt idx="44">
                  <c:v>12.899999599999999</c:v>
                </c:pt>
                <c:pt idx="45">
                  <c:v>10.529999699999999</c:v>
                </c:pt>
                <c:pt idx="46">
                  <c:v>11.0600004</c:v>
                </c:pt>
                <c:pt idx="47">
                  <c:v>9.1000004000000008</c:v>
                </c:pt>
                <c:pt idx="48">
                  <c:v>8.9700003000000006</c:v>
                </c:pt>
                <c:pt idx="49">
                  <c:v>11.1199999</c:v>
                </c:pt>
                <c:pt idx="50">
                  <c:v>9.2299994999999999</c:v>
                </c:pt>
                <c:pt idx="51">
                  <c:v>11.2299995</c:v>
                </c:pt>
                <c:pt idx="52">
                  <c:v>11.2299995</c:v>
                </c:pt>
                <c:pt idx="53">
                  <c:v>11.2399998</c:v>
                </c:pt>
                <c:pt idx="54">
                  <c:v>12.5600004</c:v>
                </c:pt>
                <c:pt idx="55">
                  <c:v>10.0699997</c:v>
                </c:pt>
                <c:pt idx="56">
                  <c:v>9.9399996000000002</c:v>
                </c:pt>
                <c:pt idx="57">
                  <c:v>10.2399998</c:v>
                </c:pt>
                <c:pt idx="58">
                  <c:v>11.420000099999999</c:v>
                </c:pt>
                <c:pt idx="59">
                  <c:v>10.5</c:v>
                </c:pt>
                <c:pt idx="60">
                  <c:v>13.140000300000001</c:v>
                </c:pt>
                <c:pt idx="61">
                  <c:v>11.699999800000001</c:v>
                </c:pt>
                <c:pt idx="62">
                  <c:v>10.3800001</c:v>
                </c:pt>
                <c:pt idx="63">
                  <c:v>13.350000400000001</c:v>
                </c:pt>
                <c:pt idx="64">
                  <c:v>12.6599998</c:v>
                </c:pt>
                <c:pt idx="65">
                  <c:v>11.9899998</c:v>
                </c:pt>
                <c:pt idx="66">
                  <c:v>12</c:v>
                </c:pt>
                <c:pt idx="67">
                  <c:v>12</c:v>
                </c:pt>
                <c:pt idx="68">
                  <c:v>13.1599998</c:v>
                </c:pt>
                <c:pt idx="69">
                  <c:v>12.170000099999999</c:v>
                </c:pt>
                <c:pt idx="70">
                  <c:v>10.970000300000001</c:v>
                </c:pt>
                <c:pt idx="71">
                  <c:v>12.2600002</c:v>
                </c:pt>
                <c:pt idx="72">
                  <c:v>13.029999699999999</c:v>
                </c:pt>
                <c:pt idx="73">
                  <c:v>12.359999699999999</c:v>
                </c:pt>
                <c:pt idx="74">
                  <c:v>12.399999599999999</c:v>
                </c:pt>
                <c:pt idx="75">
                  <c:v>12.5</c:v>
                </c:pt>
                <c:pt idx="76">
                  <c:v>12.600000400000001</c:v>
                </c:pt>
                <c:pt idx="77">
                  <c:v>12.670000099999999</c:v>
                </c:pt>
                <c:pt idx="78">
                  <c:v>12.699999800000001</c:v>
                </c:pt>
                <c:pt idx="79">
                  <c:v>14.4300003</c:v>
                </c:pt>
              </c:numCache>
            </c:numRef>
          </c:xVal>
          <c:yVal>
            <c:numRef>
              <c:f>doug!$G$63:$G$156</c:f>
              <c:numCache>
                <c:formatCode>0.00</c:formatCode>
                <c:ptCount val="94"/>
                <c:pt idx="0">
                  <c:v>0.20558540000000036</c:v>
                </c:pt>
                <c:pt idx="1">
                  <c:v>0.9479734999999998</c:v>
                </c:pt>
                <c:pt idx="2">
                  <c:v>-0.34692860000000003</c:v>
                </c:pt>
                <c:pt idx="3">
                  <c:v>0.46574400000000082</c:v>
                </c:pt>
                <c:pt idx="4">
                  <c:v>-0.5759616999999988</c:v>
                </c:pt>
                <c:pt idx="5">
                  <c:v>0.72087419999999902</c:v>
                </c:pt>
                <c:pt idx="6">
                  <c:v>-1.7349557999999998</c:v>
                </c:pt>
                <c:pt idx="7">
                  <c:v>-0.17901219999999896</c:v>
                </c:pt>
                <c:pt idx="8">
                  <c:v>0.85963689999999993</c:v>
                </c:pt>
                <c:pt idx="9">
                  <c:v>-0.382648399999999</c:v>
                </c:pt>
                <c:pt idx="10">
                  <c:v>0.86056080000000001</c:v>
                </c:pt>
                <c:pt idx="11">
                  <c:v>0.32752810000000032</c:v>
                </c:pt>
                <c:pt idx="12">
                  <c:v>1.3161649999999998</c:v>
                </c:pt>
                <c:pt idx="13">
                  <c:v>0.82720100000000052</c:v>
                </c:pt>
                <c:pt idx="14">
                  <c:v>0.53255020000000108</c:v>
                </c:pt>
                <c:pt idx="15">
                  <c:v>0.90027480000000004</c:v>
                </c:pt>
                <c:pt idx="16">
                  <c:v>1.1068450999999992</c:v>
                </c:pt>
                <c:pt idx="17">
                  <c:v>-1.2556594000000008</c:v>
                </c:pt>
                <c:pt idx="18">
                  <c:v>0.77155390000000068</c:v>
                </c:pt>
                <c:pt idx="19">
                  <c:v>-0.63765609999999917</c:v>
                </c:pt>
                <c:pt idx="20">
                  <c:v>-3.391000000000588E-3</c:v>
                </c:pt>
                <c:pt idx="21">
                  <c:v>0.74616909999999947</c:v>
                </c:pt>
                <c:pt idx="22">
                  <c:v>-0.29515920000000051</c:v>
                </c:pt>
                <c:pt idx="23">
                  <c:v>-0.88857450000000071</c:v>
                </c:pt>
                <c:pt idx="24">
                  <c:v>0.12444679999999941</c:v>
                </c:pt>
                <c:pt idx="25">
                  <c:v>-0.15614850000000047</c:v>
                </c:pt>
                <c:pt idx="26">
                  <c:v>-1.0287487000000013</c:v>
                </c:pt>
                <c:pt idx="27">
                  <c:v>0.91687540000000034</c:v>
                </c:pt>
                <c:pt idx="28">
                  <c:v>-0.48020610000000019</c:v>
                </c:pt>
                <c:pt idx="29">
                  <c:v>0.33117599999999925</c:v>
                </c:pt>
                <c:pt idx="30">
                  <c:v>0.57874340000000046</c:v>
                </c:pt>
                <c:pt idx="31">
                  <c:v>-0.25279989999999941</c:v>
                </c:pt>
                <c:pt idx="32">
                  <c:v>-0.43310770000000076</c:v>
                </c:pt>
                <c:pt idx="33">
                  <c:v>0.76162989999999908</c:v>
                </c:pt>
                <c:pt idx="34">
                  <c:v>-0.64338490000000093</c:v>
                </c:pt>
                <c:pt idx="35">
                  <c:v>-0.19144050000000057</c:v>
                </c:pt>
                <c:pt idx="36">
                  <c:v>-0.70857419999999927</c:v>
                </c:pt>
                <c:pt idx="37">
                  <c:v>1.2688153</c:v>
                </c:pt>
                <c:pt idx="38">
                  <c:v>-0.21457679999999968</c:v>
                </c:pt>
                <c:pt idx="39">
                  <c:v>-0.48937109999999961</c:v>
                </c:pt>
                <c:pt idx="40">
                  <c:v>0.23325119999999977</c:v>
                </c:pt>
                <c:pt idx="41">
                  <c:v>0.55559919999999963</c:v>
                </c:pt>
                <c:pt idx="42">
                  <c:v>7.8523999999999816E-2</c:v>
                </c:pt>
                <c:pt idx="43">
                  <c:v>0.70618369999999864</c:v>
                </c:pt>
                <c:pt idx="44">
                  <c:v>-0.57722359999999995</c:v>
                </c:pt>
                <c:pt idx="45">
                  <c:v>0.43644130000000025</c:v>
                </c:pt>
                <c:pt idx="46">
                  <c:v>0.14579860000000089</c:v>
                </c:pt>
                <c:pt idx="47">
                  <c:v>0.9650635999999988</c:v>
                </c:pt>
                <c:pt idx="48">
                  <c:v>1.5783526999999999</c:v>
                </c:pt>
                <c:pt idx="49">
                  <c:v>-0.3617878999999995</c:v>
                </c:pt>
                <c:pt idx="50">
                  <c:v>-0.44494120000000059</c:v>
                </c:pt>
                <c:pt idx="51">
                  <c:v>0.14814750000000032</c:v>
                </c:pt>
                <c:pt idx="52">
                  <c:v>-0.43730550000000079</c:v>
                </c:pt>
                <c:pt idx="53">
                  <c:v>-1.6377244999999991</c:v>
                </c:pt>
                <c:pt idx="54">
                  <c:v>0.77995160000000041</c:v>
                </c:pt>
                <c:pt idx="55">
                  <c:v>-0.20471599999999945</c:v>
                </c:pt>
                <c:pt idx="56">
                  <c:v>9.1520400000000279E-2</c:v>
                </c:pt>
                <c:pt idx="57">
                  <c:v>-0.5170982999999989</c:v>
                </c:pt>
                <c:pt idx="58">
                  <c:v>0.49780190000000069</c:v>
                </c:pt>
                <c:pt idx="59">
                  <c:v>-0.50488190000000088</c:v>
                </c:pt>
                <c:pt idx="60">
                  <c:v>-0.39262830000000015</c:v>
                </c:pt>
                <c:pt idx="61">
                  <c:v>-0.43608380000000047</c:v>
                </c:pt>
                <c:pt idx="62">
                  <c:v>0.13441090000000067</c:v>
                </c:pt>
                <c:pt idx="63">
                  <c:v>-0.27883640000000121</c:v>
                </c:pt>
                <c:pt idx="64">
                  <c:v>0.4355942000000006</c:v>
                </c:pt>
                <c:pt idx="65">
                  <c:v>0.57941719999999997</c:v>
                </c:pt>
                <c:pt idx="66">
                  <c:v>-0.47568300000000008</c:v>
                </c:pt>
                <c:pt idx="67">
                  <c:v>-0.93545699999999954</c:v>
                </c:pt>
                <c:pt idx="68">
                  <c:v>-0.18076879999999917</c:v>
                </c:pt>
                <c:pt idx="69">
                  <c:v>-1.8202860999999988</c:v>
                </c:pt>
                <c:pt idx="70">
                  <c:v>0.52399370000000012</c:v>
                </c:pt>
                <c:pt idx="71">
                  <c:v>-0.20611520000000105</c:v>
                </c:pt>
                <c:pt idx="72">
                  <c:v>-6.4517699999999678E-2</c:v>
                </c:pt>
                <c:pt idx="73">
                  <c:v>0.28802330000000076</c:v>
                </c:pt>
                <c:pt idx="74">
                  <c:v>-0.21347459999999963</c:v>
                </c:pt>
                <c:pt idx="75">
                  <c:v>-1.0502749999999992</c:v>
                </c:pt>
                <c:pt idx="76">
                  <c:v>-1.0911214000000005</c:v>
                </c:pt>
                <c:pt idx="77">
                  <c:v>0.40602990000000005</c:v>
                </c:pt>
                <c:pt idx="78">
                  <c:v>-0.73714780000000069</c:v>
                </c:pt>
                <c:pt idx="79">
                  <c:v>8.9896700000000607E-2</c:v>
                </c:pt>
              </c:numCache>
            </c:numRef>
          </c:yVal>
          <c:smooth val="0"/>
          <c:extLst>
            <c:ext xmlns:c16="http://schemas.microsoft.com/office/drawing/2014/chart" uri="{C3380CC4-5D6E-409C-BE32-E72D297353CC}">
              <c16:uniqueId val="{00000001-039B-4F4F-8A10-3B9830BE5F90}"/>
            </c:ext>
          </c:extLst>
        </c:ser>
        <c:dLbls>
          <c:showLegendKey val="0"/>
          <c:showVal val="0"/>
          <c:showCatName val="0"/>
          <c:showSerName val="0"/>
          <c:showPercent val="0"/>
          <c:showBubbleSize val="0"/>
        </c:dLbls>
        <c:axId val="244482048"/>
        <c:axId val="244483968"/>
      </c:scatterChart>
      <c:valAx>
        <c:axId val="244482048"/>
        <c:scaling>
          <c:orientation val="minMax"/>
        </c:scaling>
        <c:delete val="0"/>
        <c:axPos val="b"/>
        <c:title>
          <c:tx>
            <c:rich>
              <a:bodyPr/>
              <a:lstStyle/>
              <a:p>
                <a:pPr>
                  <a:defRPr/>
                </a:pPr>
                <a:r>
                  <a:rPr lang="en-US"/>
                  <a:t>REFERENCE VALUES</a:t>
                </a:r>
              </a:p>
            </c:rich>
          </c:tx>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244483968"/>
        <c:crosses val="autoZero"/>
        <c:crossBetween val="midCat"/>
      </c:valAx>
      <c:valAx>
        <c:axId val="244483968"/>
        <c:scaling>
          <c:orientation val="minMax"/>
        </c:scaling>
        <c:delete val="0"/>
        <c:axPos val="l"/>
        <c:majorGridlines/>
        <c:numFmt formatCode="0.00" sourceLinked="1"/>
        <c:majorTickMark val="out"/>
        <c:minorTickMark val="none"/>
        <c:tickLblPos val="nextTo"/>
        <c:crossAx val="244482048"/>
        <c:crosses val="autoZero"/>
        <c:crossBetween val="midCat"/>
      </c:valAx>
    </c:plotArea>
    <c:plotVisOnly val="1"/>
    <c:dispBlanksAs val="gap"/>
    <c:showDLblsOverMax val="0"/>
  </c:chart>
  <c:printSettings>
    <c:headerFooter/>
    <c:pageMargins b="0.750000000000004" l="0.70000000000000062" r="0.70000000000000062" t="0.750000000000004" header="0.30000000000000032" footer="0.30000000000000032"/>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400" baseline="0"/>
              <a:t>Residuals vs predicted</a:t>
            </a:r>
          </a:p>
        </c:rich>
      </c:tx>
      <c:layout>
        <c:manualLayout>
          <c:xMode val="edge"/>
          <c:yMode val="edge"/>
          <c:x val="0.59043500709952246"/>
          <c:y val="0"/>
        </c:manualLayout>
      </c:layout>
      <c:overlay val="1"/>
    </c:title>
    <c:autoTitleDeleted val="0"/>
    <c:plotArea>
      <c:layout/>
      <c:scatterChart>
        <c:scatterStyle val="lineMarker"/>
        <c:varyColors val="0"/>
        <c:ser>
          <c:idx val="0"/>
          <c:order val="0"/>
          <c:spPr>
            <a:ln>
              <a:noFill/>
            </a:ln>
          </c:spPr>
          <c:trendline>
            <c:trendlineType val="linear"/>
            <c:dispRSqr val="0"/>
            <c:dispEq val="1"/>
            <c:trendlineLbl>
              <c:layout>
                <c:manualLayout>
                  <c:x val="8.6646154745701892E-3"/>
                  <c:y val="0.32626926854701888"/>
                </c:manualLayout>
              </c:layout>
              <c:numFmt formatCode="General" sourceLinked="0"/>
            </c:trendlineLbl>
          </c:trendline>
          <c:xVal>
            <c:numRef>
              <c:f>doug!$F$63:$F$156</c:f>
              <c:numCache>
                <c:formatCode>0.00E+00</c:formatCode>
                <c:ptCount val="94"/>
                <c:pt idx="0">
                  <c:v>10.145585000000001</c:v>
                </c:pt>
                <c:pt idx="1">
                  <c:v>10.967974</c:v>
                </c:pt>
                <c:pt idx="2">
                  <c:v>9.6530714</c:v>
                </c:pt>
                <c:pt idx="3">
                  <c:v>10.965744000000001</c:v>
                </c:pt>
                <c:pt idx="4">
                  <c:v>10.204038000000001</c:v>
                </c:pt>
                <c:pt idx="5">
                  <c:v>11.170874</c:v>
                </c:pt>
                <c:pt idx="6">
                  <c:v>9.2850447000000003</c:v>
                </c:pt>
                <c:pt idx="7">
                  <c:v>10.620988000000001</c:v>
                </c:pt>
                <c:pt idx="8">
                  <c:v>11.739637</c:v>
                </c:pt>
                <c:pt idx="9">
                  <c:v>10.677352000000001</c:v>
                </c:pt>
                <c:pt idx="10">
                  <c:v>11.950561</c:v>
                </c:pt>
                <c:pt idx="11">
                  <c:v>11.947528</c:v>
                </c:pt>
                <c:pt idx="12">
                  <c:v>11.276165000000001</c:v>
                </c:pt>
                <c:pt idx="13">
                  <c:v>10.327201000000001</c:v>
                </c:pt>
                <c:pt idx="14">
                  <c:v>10.522550000000001</c:v>
                </c:pt>
                <c:pt idx="15">
                  <c:v>10.910275</c:v>
                </c:pt>
                <c:pt idx="16">
                  <c:v>10.936845</c:v>
                </c:pt>
                <c:pt idx="17">
                  <c:v>8.3143402999999996</c:v>
                </c:pt>
                <c:pt idx="18">
                  <c:v>10.691554</c:v>
                </c:pt>
                <c:pt idx="19">
                  <c:v>11.032344</c:v>
                </c:pt>
                <c:pt idx="20">
                  <c:v>11.496608999999999</c:v>
                </c:pt>
                <c:pt idx="21">
                  <c:v>12.116168999999999</c:v>
                </c:pt>
                <c:pt idx="22">
                  <c:v>11.294841</c:v>
                </c:pt>
                <c:pt idx="23">
                  <c:v>8.9914255999999995</c:v>
                </c:pt>
                <c:pt idx="24">
                  <c:v>11.964447</c:v>
                </c:pt>
                <c:pt idx="25">
                  <c:v>9.8438514999999995</c:v>
                </c:pt>
                <c:pt idx="26">
                  <c:v>9.0712516999999995</c:v>
                </c:pt>
                <c:pt idx="27">
                  <c:v>12.316875</c:v>
                </c:pt>
                <c:pt idx="28">
                  <c:v>9.7997935999999992</c:v>
                </c:pt>
                <c:pt idx="29">
                  <c:v>12.541176</c:v>
                </c:pt>
                <c:pt idx="30">
                  <c:v>12.518743000000001</c:v>
                </c:pt>
                <c:pt idx="31">
                  <c:v>10.1172</c:v>
                </c:pt>
                <c:pt idx="32">
                  <c:v>9.9468923999999994</c:v>
                </c:pt>
                <c:pt idx="33">
                  <c:v>10.641629999999999</c:v>
                </c:pt>
                <c:pt idx="34">
                  <c:v>11.436615</c:v>
                </c:pt>
                <c:pt idx="35">
                  <c:v>8.8885594000000001</c:v>
                </c:pt>
                <c:pt idx="36">
                  <c:v>10.091426</c:v>
                </c:pt>
                <c:pt idx="37">
                  <c:v>10.628814999999999</c:v>
                </c:pt>
                <c:pt idx="38">
                  <c:v>12.235423000000001</c:v>
                </c:pt>
                <c:pt idx="39">
                  <c:v>10.430629</c:v>
                </c:pt>
                <c:pt idx="40">
                  <c:v>11.183251</c:v>
                </c:pt>
                <c:pt idx="41">
                  <c:v>11.545598999999999</c:v>
                </c:pt>
                <c:pt idx="42">
                  <c:v>11.078524</c:v>
                </c:pt>
                <c:pt idx="43">
                  <c:v>10.676183999999999</c:v>
                </c:pt>
                <c:pt idx="44">
                  <c:v>12.322775999999999</c:v>
                </c:pt>
                <c:pt idx="45">
                  <c:v>10.966441</c:v>
                </c:pt>
                <c:pt idx="46">
                  <c:v>11.205799000000001</c:v>
                </c:pt>
                <c:pt idx="47">
                  <c:v>10.065064</c:v>
                </c:pt>
                <c:pt idx="48">
                  <c:v>10.548353000000001</c:v>
                </c:pt>
                <c:pt idx="49">
                  <c:v>10.758212</c:v>
                </c:pt>
                <c:pt idx="50">
                  <c:v>8.7850582999999993</c:v>
                </c:pt>
                <c:pt idx="51">
                  <c:v>11.378147</c:v>
                </c:pt>
                <c:pt idx="52">
                  <c:v>10.792693999999999</c:v>
                </c:pt>
                <c:pt idx="53">
                  <c:v>9.6022753000000005</c:v>
                </c:pt>
                <c:pt idx="54">
                  <c:v>13.339952</c:v>
                </c:pt>
                <c:pt idx="55">
                  <c:v>9.8652837000000009</c:v>
                </c:pt>
                <c:pt idx="56">
                  <c:v>10.03152</c:v>
                </c:pt>
                <c:pt idx="57">
                  <c:v>9.7229015000000008</c:v>
                </c:pt>
                <c:pt idx="58">
                  <c:v>11.917802</c:v>
                </c:pt>
                <c:pt idx="59">
                  <c:v>9.9951180999999991</c:v>
                </c:pt>
                <c:pt idx="60">
                  <c:v>12.747372</c:v>
                </c:pt>
                <c:pt idx="61">
                  <c:v>11.263916</c:v>
                </c:pt>
                <c:pt idx="62">
                  <c:v>10.514411000000001</c:v>
                </c:pt>
                <c:pt idx="63">
                  <c:v>13.071164</c:v>
                </c:pt>
                <c:pt idx="64">
                  <c:v>13.095594</c:v>
                </c:pt>
                <c:pt idx="65">
                  <c:v>12.569417</c:v>
                </c:pt>
                <c:pt idx="66">
                  <c:v>11.524317</c:v>
                </c:pt>
                <c:pt idx="67">
                  <c:v>11.064543</c:v>
                </c:pt>
                <c:pt idx="68">
                  <c:v>12.979231</c:v>
                </c:pt>
                <c:pt idx="69">
                  <c:v>10.349714000000001</c:v>
                </c:pt>
                <c:pt idx="70">
                  <c:v>11.493994000000001</c:v>
                </c:pt>
                <c:pt idx="71">
                  <c:v>12.053884999999999</c:v>
                </c:pt>
                <c:pt idx="72">
                  <c:v>12.965482</c:v>
                </c:pt>
                <c:pt idx="73">
                  <c:v>12.648023</c:v>
                </c:pt>
                <c:pt idx="74">
                  <c:v>12.186525</c:v>
                </c:pt>
                <c:pt idx="75">
                  <c:v>11.449725000000001</c:v>
                </c:pt>
                <c:pt idx="76">
                  <c:v>11.508879</c:v>
                </c:pt>
                <c:pt idx="77">
                  <c:v>13.076029999999999</c:v>
                </c:pt>
                <c:pt idx="78">
                  <c:v>11.962852</c:v>
                </c:pt>
                <c:pt idx="79">
                  <c:v>14.519897</c:v>
                </c:pt>
              </c:numCache>
            </c:numRef>
          </c:xVal>
          <c:yVal>
            <c:numRef>
              <c:f>doug!$G$63:$G$156</c:f>
              <c:numCache>
                <c:formatCode>0.00</c:formatCode>
                <c:ptCount val="94"/>
                <c:pt idx="0">
                  <c:v>0.20558540000000036</c:v>
                </c:pt>
                <c:pt idx="1">
                  <c:v>0.9479734999999998</c:v>
                </c:pt>
                <c:pt idx="2">
                  <c:v>-0.34692860000000003</c:v>
                </c:pt>
                <c:pt idx="3">
                  <c:v>0.46574400000000082</c:v>
                </c:pt>
                <c:pt idx="4">
                  <c:v>-0.5759616999999988</c:v>
                </c:pt>
                <c:pt idx="5">
                  <c:v>0.72087419999999902</c:v>
                </c:pt>
                <c:pt idx="6">
                  <c:v>-1.7349557999999998</c:v>
                </c:pt>
                <c:pt idx="7">
                  <c:v>-0.17901219999999896</c:v>
                </c:pt>
                <c:pt idx="8">
                  <c:v>0.85963689999999993</c:v>
                </c:pt>
                <c:pt idx="9">
                  <c:v>-0.382648399999999</c:v>
                </c:pt>
                <c:pt idx="10">
                  <c:v>0.86056080000000001</c:v>
                </c:pt>
                <c:pt idx="11">
                  <c:v>0.32752810000000032</c:v>
                </c:pt>
                <c:pt idx="12">
                  <c:v>1.3161649999999998</c:v>
                </c:pt>
                <c:pt idx="13">
                  <c:v>0.82720100000000052</c:v>
                </c:pt>
                <c:pt idx="14">
                  <c:v>0.53255020000000108</c:v>
                </c:pt>
                <c:pt idx="15">
                  <c:v>0.90027480000000004</c:v>
                </c:pt>
                <c:pt idx="16">
                  <c:v>1.1068450999999992</c:v>
                </c:pt>
                <c:pt idx="17">
                  <c:v>-1.2556594000000008</c:v>
                </c:pt>
                <c:pt idx="18">
                  <c:v>0.77155390000000068</c:v>
                </c:pt>
                <c:pt idx="19">
                  <c:v>-0.63765609999999917</c:v>
                </c:pt>
                <c:pt idx="20">
                  <c:v>-3.391000000000588E-3</c:v>
                </c:pt>
                <c:pt idx="21">
                  <c:v>0.74616909999999947</c:v>
                </c:pt>
                <c:pt idx="22">
                  <c:v>-0.29515920000000051</c:v>
                </c:pt>
                <c:pt idx="23">
                  <c:v>-0.88857450000000071</c:v>
                </c:pt>
                <c:pt idx="24">
                  <c:v>0.12444679999999941</c:v>
                </c:pt>
                <c:pt idx="25">
                  <c:v>-0.15614850000000047</c:v>
                </c:pt>
                <c:pt idx="26">
                  <c:v>-1.0287487000000013</c:v>
                </c:pt>
                <c:pt idx="27">
                  <c:v>0.91687540000000034</c:v>
                </c:pt>
                <c:pt idx="28">
                  <c:v>-0.48020610000000019</c:v>
                </c:pt>
                <c:pt idx="29">
                  <c:v>0.33117599999999925</c:v>
                </c:pt>
                <c:pt idx="30">
                  <c:v>0.57874340000000046</c:v>
                </c:pt>
                <c:pt idx="31">
                  <c:v>-0.25279989999999941</c:v>
                </c:pt>
                <c:pt idx="32">
                  <c:v>-0.43310770000000076</c:v>
                </c:pt>
                <c:pt idx="33">
                  <c:v>0.76162989999999908</c:v>
                </c:pt>
                <c:pt idx="34">
                  <c:v>-0.64338490000000093</c:v>
                </c:pt>
                <c:pt idx="35">
                  <c:v>-0.19144050000000057</c:v>
                </c:pt>
                <c:pt idx="36">
                  <c:v>-0.70857419999999927</c:v>
                </c:pt>
                <c:pt idx="37">
                  <c:v>1.2688153</c:v>
                </c:pt>
                <c:pt idx="38">
                  <c:v>-0.21457679999999968</c:v>
                </c:pt>
                <c:pt idx="39">
                  <c:v>-0.48937109999999961</c:v>
                </c:pt>
                <c:pt idx="40">
                  <c:v>0.23325119999999977</c:v>
                </c:pt>
                <c:pt idx="41">
                  <c:v>0.55559919999999963</c:v>
                </c:pt>
                <c:pt idx="42">
                  <c:v>7.8523999999999816E-2</c:v>
                </c:pt>
                <c:pt idx="43">
                  <c:v>0.70618369999999864</c:v>
                </c:pt>
                <c:pt idx="44">
                  <c:v>-0.57722359999999995</c:v>
                </c:pt>
                <c:pt idx="45">
                  <c:v>0.43644130000000025</c:v>
                </c:pt>
                <c:pt idx="46">
                  <c:v>0.14579860000000089</c:v>
                </c:pt>
                <c:pt idx="47">
                  <c:v>0.9650635999999988</c:v>
                </c:pt>
                <c:pt idx="48">
                  <c:v>1.5783526999999999</c:v>
                </c:pt>
                <c:pt idx="49">
                  <c:v>-0.3617878999999995</c:v>
                </c:pt>
                <c:pt idx="50">
                  <c:v>-0.44494120000000059</c:v>
                </c:pt>
                <c:pt idx="51">
                  <c:v>0.14814750000000032</c:v>
                </c:pt>
                <c:pt idx="52">
                  <c:v>-0.43730550000000079</c:v>
                </c:pt>
                <c:pt idx="53">
                  <c:v>-1.6377244999999991</c:v>
                </c:pt>
                <c:pt idx="54">
                  <c:v>0.77995160000000041</c:v>
                </c:pt>
                <c:pt idx="55">
                  <c:v>-0.20471599999999945</c:v>
                </c:pt>
                <c:pt idx="56">
                  <c:v>9.1520400000000279E-2</c:v>
                </c:pt>
                <c:pt idx="57">
                  <c:v>-0.5170982999999989</c:v>
                </c:pt>
                <c:pt idx="58">
                  <c:v>0.49780190000000069</c:v>
                </c:pt>
                <c:pt idx="59">
                  <c:v>-0.50488190000000088</c:v>
                </c:pt>
                <c:pt idx="60">
                  <c:v>-0.39262830000000015</c:v>
                </c:pt>
                <c:pt idx="61">
                  <c:v>-0.43608380000000047</c:v>
                </c:pt>
                <c:pt idx="62">
                  <c:v>0.13441090000000067</c:v>
                </c:pt>
                <c:pt idx="63">
                  <c:v>-0.27883640000000121</c:v>
                </c:pt>
                <c:pt idx="64">
                  <c:v>0.4355942000000006</c:v>
                </c:pt>
                <c:pt idx="65">
                  <c:v>0.57941719999999997</c:v>
                </c:pt>
                <c:pt idx="66">
                  <c:v>-0.47568300000000008</c:v>
                </c:pt>
                <c:pt idx="67">
                  <c:v>-0.93545699999999954</c:v>
                </c:pt>
                <c:pt idx="68">
                  <c:v>-0.18076879999999917</c:v>
                </c:pt>
                <c:pt idx="69">
                  <c:v>-1.8202860999999988</c:v>
                </c:pt>
                <c:pt idx="70">
                  <c:v>0.52399370000000012</c:v>
                </c:pt>
                <c:pt idx="71">
                  <c:v>-0.20611520000000105</c:v>
                </c:pt>
                <c:pt idx="72">
                  <c:v>-6.4517699999999678E-2</c:v>
                </c:pt>
                <c:pt idx="73">
                  <c:v>0.28802330000000076</c:v>
                </c:pt>
                <c:pt idx="74">
                  <c:v>-0.21347459999999963</c:v>
                </c:pt>
                <c:pt idx="75">
                  <c:v>-1.0502749999999992</c:v>
                </c:pt>
                <c:pt idx="76">
                  <c:v>-1.0911214000000005</c:v>
                </c:pt>
                <c:pt idx="77">
                  <c:v>0.40602990000000005</c:v>
                </c:pt>
                <c:pt idx="78">
                  <c:v>-0.73714780000000069</c:v>
                </c:pt>
                <c:pt idx="79">
                  <c:v>8.9896700000000607E-2</c:v>
                </c:pt>
              </c:numCache>
            </c:numRef>
          </c:yVal>
          <c:smooth val="0"/>
          <c:extLst>
            <c:ext xmlns:c16="http://schemas.microsoft.com/office/drawing/2014/chart" uri="{C3380CC4-5D6E-409C-BE32-E72D297353CC}">
              <c16:uniqueId val="{00000001-0656-4B8E-9FDF-76A25D05E01C}"/>
            </c:ext>
          </c:extLst>
        </c:ser>
        <c:dLbls>
          <c:showLegendKey val="0"/>
          <c:showVal val="0"/>
          <c:showCatName val="0"/>
          <c:showSerName val="0"/>
          <c:showPercent val="0"/>
          <c:showBubbleSize val="0"/>
        </c:dLbls>
        <c:axId val="251667584"/>
        <c:axId val="251669504"/>
      </c:scatterChart>
      <c:valAx>
        <c:axId val="251667584"/>
        <c:scaling>
          <c:orientation val="minMax"/>
        </c:scaling>
        <c:delete val="0"/>
        <c:axPos val="b"/>
        <c:title>
          <c:tx>
            <c:rich>
              <a:bodyPr/>
              <a:lstStyle/>
              <a:p>
                <a:pPr>
                  <a:defRPr/>
                </a:pPr>
                <a:r>
                  <a:rPr lang="en-US"/>
                  <a:t>PREDICTED NIRS</a:t>
                </a:r>
              </a:p>
            </c:rich>
          </c:tx>
          <c:overlay val="0"/>
        </c:title>
        <c:numFmt formatCode="0.00E+0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251669504"/>
        <c:crosses val="autoZero"/>
        <c:crossBetween val="midCat"/>
      </c:valAx>
      <c:valAx>
        <c:axId val="251669504"/>
        <c:scaling>
          <c:orientation val="minMax"/>
        </c:scaling>
        <c:delete val="0"/>
        <c:axPos val="l"/>
        <c:majorGridlines/>
        <c:numFmt formatCode="0.00" sourceLinked="1"/>
        <c:majorTickMark val="out"/>
        <c:minorTickMark val="none"/>
        <c:tickLblPos val="nextTo"/>
        <c:crossAx val="251667584"/>
        <c:crosses val="autoZero"/>
        <c:crossBetween val="midCat"/>
      </c:valAx>
    </c:plotArea>
    <c:plotVisOnly val="1"/>
    <c:dispBlanksAs val="gap"/>
    <c:showDLblsOverMax val="0"/>
  </c:chart>
  <c:printSettings>
    <c:headerFooter/>
    <c:pageMargins b="0.75000000000000422" l="0.70000000000000062" r="0.70000000000000062" t="0.75000000000000422" header="0.30000000000000032" footer="0.30000000000000032"/>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400" baseline="0"/>
              <a:t>Residuals vs position</a:t>
            </a:r>
          </a:p>
        </c:rich>
      </c:tx>
      <c:layout>
        <c:manualLayout>
          <c:xMode val="edge"/>
          <c:yMode val="edge"/>
          <c:x val="0.61770845220434401"/>
          <c:y val="9.2592592592592587E-3"/>
        </c:manualLayout>
      </c:layout>
      <c:overlay val="1"/>
    </c:title>
    <c:autoTitleDeleted val="0"/>
    <c:plotArea>
      <c:layout>
        <c:manualLayout>
          <c:layoutTarget val="inner"/>
          <c:xMode val="edge"/>
          <c:yMode val="edge"/>
          <c:x val="9.7295231451277789E-2"/>
          <c:y val="4.1365688184682434E-2"/>
          <c:w val="0.8505582003234009"/>
          <c:h val="0.89909093674129181"/>
        </c:manualLayout>
      </c:layout>
      <c:scatterChart>
        <c:scatterStyle val="lineMarker"/>
        <c:varyColors val="0"/>
        <c:ser>
          <c:idx val="0"/>
          <c:order val="0"/>
          <c:spPr>
            <a:ln w="28575">
              <a:noFill/>
            </a:ln>
          </c:spPr>
          <c:xVal>
            <c:numRef>
              <c:f>doug!$B$63:$B$156</c:f>
              <c:numCache>
                <c:formatCode>General</c:formatCode>
                <c:ptCount val="9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numCache>
            </c:numRef>
          </c:xVal>
          <c:yVal>
            <c:numRef>
              <c:f>doug!$G$63:$G$156</c:f>
              <c:numCache>
                <c:formatCode>0.00</c:formatCode>
                <c:ptCount val="94"/>
                <c:pt idx="0">
                  <c:v>0.20558540000000036</c:v>
                </c:pt>
                <c:pt idx="1">
                  <c:v>0.9479734999999998</c:v>
                </c:pt>
                <c:pt idx="2">
                  <c:v>-0.34692860000000003</c:v>
                </c:pt>
                <c:pt idx="3">
                  <c:v>0.46574400000000082</c:v>
                </c:pt>
                <c:pt idx="4">
                  <c:v>-0.5759616999999988</c:v>
                </c:pt>
                <c:pt idx="5">
                  <c:v>0.72087419999999902</c:v>
                </c:pt>
                <c:pt idx="6">
                  <c:v>-1.7349557999999998</c:v>
                </c:pt>
                <c:pt idx="7">
                  <c:v>-0.17901219999999896</c:v>
                </c:pt>
                <c:pt idx="8">
                  <c:v>0.85963689999999993</c:v>
                </c:pt>
                <c:pt idx="9">
                  <c:v>-0.382648399999999</c:v>
                </c:pt>
                <c:pt idx="10">
                  <c:v>0.86056080000000001</c:v>
                </c:pt>
                <c:pt idx="11">
                  <c:v>0.32752810000000032</c:v>
                </c:pt>
                <c:pt idx="12">
                  <c:v>1.3161649999999998</c:v>
                </c:pt>
                <c:pt idx="13">
                  <c:v>0.82720100000000052</c:v>
                </c:pt>
                <c:pt idx="14">
                  <c:v>0.53255020000000108</c:v>
                </c:pt>
                <c:pt idx="15">
                  <c:v>0.90027480000000004</c:v>
                </c:pt>
                <c:pt idx="16">
                  <c:v>1.1068450999999992</c:v>
                </c:pt>
                <c:pt idx="17">
                  <c:v>-1.2556594000000008</c:v>
                </c:pt>
                <c:pt idx="18">
                  <c:v>0.77155390000000068</c:v>
                </c:pt>
                <c:pt idx="19">
                  <c:v>-0.63765609999999917</c:v>
                </c:pt>
                <c:pt idx="20">
                  <c:v>-3.391000000000588E-3</c:v>
                </c:pt>
                <c:pt idx="21">
                  <c:v>0.74616909999999947</c:v>
                </c:pt>
                <c:pt idx="22">
                  <c:v>-0.29515920000000051</c:v>
                </c:pt>
                <c:pt idx="23">
                  <c:v>-0.88857450000000071</c:v>
                </c:pt>
                <c:pt idx="24">
                  <c:v>0.12444679999999941</c:v>
                </c:pt>
                <c:pt idx="25">
                  <c:v>-0.15614850000000047</c:v>
                </c:pt>
                <c:pt idx="26">
                  <c:v>-1.0287487000000013</c:v>
                </c:pt>
                <c:pt idx="27">
                  <c:v>0.91687540000000034</c:v>
                </c:pt>
                <c:pt idx="28">
                  <c:v>-0.48020610000000019</c:v>
                </c:pt>
                <c:pt idx="29">
                  <c:v>0.33117599999999925</c:v>
                </c:pt>
                <c:pt idx="30">
                  <c:v>0.57874340000000046</c:v>
                </c:pt>
                <c:pt idx="31">
                  <c:v>-0.25279989999999941</c:v>
                </c:pt>
                <c:pt idx="32">
                  <c:v>-0.43310770000000076</c:v>
                </c:pt>
                <c:pt idx="33">
                  <c:v>0.76162989999999908</c:v>
                </c:pt>
                <c:pt idx="34">
                  <c:v>-0.64338490000000093</c:v>
                </c:pt>
                <c:pt idx="35">
                  <c:v>-0.19144050000000057</c:v>
                </c:pt>
                <c:pt idx="36">
                  <c:v>-0.70857419999999927</c:v>
                </c:pt>
                <c:pt idx="37">
                  <c:v>1.2688153</c:v>
                </c:pt>
                <c:pt idx="38">
                  <c:v>-0.21457679999999968</c:v>
                </c:pt>
                <c:pt idx="39">
                  <c:v>-0.48937109999999961</c:v>
                </c:pt>
                <c:pt idx="40">
                  <c:v>0.23325119999999977</c:v>
                </c:pt>
                <c:pt idx="41">
                  <c:v>0.55559919999999963</c:v>
                </c:pt>
                <c:pt idx="42">
                  <c:v>7.8523999999999816E-2</c:v>
                </c:pt>
                <c:pt idx="43">
                  <c:v>0.70618369999999864</c:v>
                </c:pt>
                <c:pt idx="44">
                  <c:v>-0.57722359999999995</c:v>
                </c:pt>
                <c:pt idx="45">
                  <c:v>0.43644130000000025</c:v>
                </c:pt>
                <c:pt idx="46">
                  <c:v>0.14579860000000089</c:v>
                </c:pt>
                <c:pt idx="47">
                  <c:v>0.9650635999999988</c:v>
                </c:pt>
                <c:pt idx="48">
                  <c:v>1.5783526999999999</c:v>
                </c:pt>
                <c:pt idx="49">
                  <c:v>-0.3617878999999995</c:v>
                </c:pt>
                <c:pt idx="50">
                  <c:v>-0.44494120000000059</c:v>
                </c:pt>
                <c:pt idx="51">
                  <c:v>0.14814750000000032</c:v>
                </c:pt>
                <c:pt idx="52">
                  <c:v>-0.43730550000000079</c:v>
                </c:pt>
                <c:pt idx="53">
                  <c:v>-1.6377244999999991</c:v>
                </c:pt>
                <c:pt idx="54">
                  <c:v>0.77995160000000041</c:v>
                </c:pt>
                <c:pt idx="55">
                  <c:v>-0.20471599999999945</c:v>
                </c:pt>
                <c:pt idx="56">
                  <c:v>9.1520400000000279E-2</c:v>
                </c:pt>
                <c:pt idx="57">
                  <c:v>-0.5170982999999989</c:v>
                </c:pt>
                <c:pt idx="58">
                  <c:v>0.49780190000000069</c:v>
                </c:pt>
                <c:pt idx="59">
                  <c:v>-0.50488190000000088</c:v>
                </c:pt>
                <c:pt idx="60">
                  <c:v>-0.39262830000000015</c:v>
                </c:pt>
                <c:pt idx="61">
                  <c:v>-0.43608380000000047</c:v>
                </c:pt>
                <c:pt idx="62">
                  <c:v>0.13441090000000067</c:v>
                </c:pt>
                <c:pt idx="63">
                  <c:v>-0.27883640000000121</c:v>
                </c:pt>
                <c:pt idx="64">
                  <c:v>0.4355942000000006</c:v>
                </c:pt>
                <c:pt idx="65">
                  <c:v>0.57941719999999997</c:v>
                </c:pt>
                <c:pt idx="66">
                  <c:v>-0.47568300000000008</c:v>
                </c:pt>
                <c:pt idx="67">
                  <c:v>-0.93545699999999954</c:v>
                </c:pt>
                <c:pt idx="68">
                  <c:v>-0.18076879999999917</c:v>
                </c:pt>
                <c:pt idx="69">
                  <c:v>-1.8202860999999988</c:v>
                </c:pt>
                <c:pt idx="70">
                  <c:v>0.52399370000000012</c:v>
                </c:pt>
                <c:pt idx="71">
                  <c:v>-0.20611520000000105</c:v>
                </c:pt>
                <c:pt idx="72">
                  <c:v>-6.4517699999999678E-2</c:v>
                </c:pt>
                <c:pt idx="73">
                  <c:v>0.28802330000000076</c:v>
                </c:pt>
                <c:pt idx="74">
                  <c:v>-0.21347459999999963</c:v>
                </c:pt>
                <c:pt idx="75">
                  <c:v>-1.0502749999999992</c:v>
                </c:pt>
                <c:pt idx="76">
                  <c:v>-1.0911214000000005</c:v>
                </c:pt>
                <c:pt idx="77">
                  <c:v>0.40602990000000005</c:v>
                </c:pt>
                <c:pt idx="78">
                  <c:v>-0.73714780000000069</c:v>
                </c:pt>
                <c:pt idx="79">
                  <c:v>8.9896700000000607E-2</c:v>
                </c:pt>
              </c:numCache>
            </c:numRef>
          </c:yVal>
          <c:smooth val="0"/>
          <c:extLst>
            <c:ext xmlns:c16="http://schemas.microsoft.com/office/drawing/2014/chart" uri="{C3380CC4-5D6E-409C-BE32-E72D297353CC}">
              <c16:uniqueId val="{00000000-C99E-4564-8EE7-AE22B37C6208}"/>
            </c:ext>
          </c:extLst>
        </c:ser>
        <c:dLbls>
          <c:showLegendKey val="0"/>
          <c:showVal val="0"/>
          <c:showCatName val="0"/>
          <c:showSerName val="0"/>
          <c:showPercent val="0"/>
          <c:showBubbleSize val="0"/>
        </c:dLbls>
        <c:axId val="274780160"/>
        <c:axId val="274781696"/>
      </c:scatterChart>
      <c:valAx>
        <c:axId val="274780160"/>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274781696"/>
        <c:crosses val="autoZero"/>
        <c:crossBetween val="midCat"/>
      </c:valAx>
      <c:valAx>
        <c:axId val="274781696"/>
        <c:scaling>
          <c:orientation val="minMax"/>
        </c:scaling>
        <c:delete val="0"/>
        <c:axPos val="l"/>
        <c:majorGridlines/>
        <c:numFmt formatCode="0.00" sourceLinked="1"/>
        <c:majorTickMark val="out"/>
        <c:minorTickMark val="none"/>
        <c:tickLblPos val="nextTo"/>
        <c:crossAx val="274780160"/>
        <c:crosses val="autoZero"/>
        <c:crossBetween val="midCat"/>
      </c:valAx>
    </c:plotArea>
    <c:plotVisOnly val="1"/>
    <c:dispBlanksAs val="gap"/>
    <c:showDLblsOverMax val="0"/>
  </c:chart>
  <c:printSettings>
    <c:headerFooter/>
    <c:pageMargins b="0.75000000000000211" l="0.70000000000000062" r="0.70000000000000062" t="0.75000000000000211" header="0.30000000000000032" footer="0.30000000000000032"/>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 Id="rId4" Type="http://schemas.openxmlformats.org/officeDocument/2006/relationships/chart" Target="../charts/chart20.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 Id="rId4" Type="http://schemas.openxmlformats.org/officeDocument/2006/relationships/chart" Target="../charts/chart24.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chart" Target="../charts/chart26.xml"/><Relationship Id="rId1" Type="http://schemas.openxmlformats.org/officeDocument/2006/relationships/chart" Target="../charts/chart25.xml"/><Relationship Id="rId4" Type="http://schemas.openxmlformats.org/officeDocument/2006/relationships/chart" Target="../charts/chart28.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31.xml"/><Relationship Id="rId2" Type="http://schemas.openxmlformats.org/officeDocument/2006/relationships/chart" Target="../charts/chart30.xml"/><Relationship Id="rId1" Type="http://schemas.openxmlformats.org/officeDocument/2006/relationships/chart" Target="../charts/chart29.xml"/><Relationship Id="rId4" Type="http://schemas.openxmlformats.org/officeDocument/2006/relationships/chart" Target="../charts/chart32.xml"/></Relationships>
</file>

<file path=xl/drawings/_rels/drawing17.xml.rels><?xml version="1.0" encoding="UTF-8" standalone="yes"?>
<Relationships xmlns="http://schemas.openxmlformats.org/package/2006/relationships"><Relationship Id="rId3" Type="http://schemas.openxmlformats.org/officeDocument/2006/relationships/chart" Target="../charts/chart35.xml"/><Relationship Id="rId2" Type="http://schemas.openxmlformats.org/officeDocument/2006/relationships/chart" Target="../charts/chart34.xml"/><Relationship Id="rId1" Type="http://schemas.openxmlformats.org/officeDocument/2006/relationships/chart" Target="../charts/chart33.xml"/><Relationship Id="rId4" Type="http://schemas.openxmlformats.org/officeDocument/2006/relationships/chart" Target="../charts/chart36.xml"/></Relationships>
</file>

<file path=xl/drawings/_rels/drawing19.xml.rels><?xml version="1.0" encoding="UTF-8" standalone="yes"?>
<Relationships xmlns="http://schemas.openxmlformats.org/package/2006/relationships"><Relationship Id="rId3" Type="http://schemas.openxmlformats.org/officeDocument/2006/relationships/chart" Target="../charts/chart39.xml"/><Relationship Id="rId2" Type="http://schemas.openxmlformats.org/officeDocument/2006/relationships/chart" Target="../charts/chart38.xml"/><Relationship Id="rId1" Type="http://schemas.openxmlformats.org/officeDocument/2006/relationships/chart" Target="../charts/chart37.xml"/><Relationship Id="rId4" Type="http://schemas.openxmlformats.org/officeDocument/2006/relationships/chart" Target="../charts/chart40.xml"/></Relationships>
</file>

<file path=xl/drawings/_rels/drawing21.xml.rels><?xml version="1.0" encoding="UTF-8" standalone="yes"?>
<Relationships xmlns="http://schemas.openxmlformats.org/package/2006/relationships"><Relationship Id="rId3" Type="http://schemas.openxmlformats.org/officeDocument/2006/relationships/chart" Target="../charts/chart43.xml"/><Relationship Id="rId2" Type="http://schemas.openxmlformats.org/officeDocument/2006/relationships/chart" Target="../charts/chart42.xml"/><Relationship Id="rId1" Type="http://schemas.openxmlformats.org/officeDocument/2006/relationships/chart" Target="../charts/chart41.xml"/><Relationship Id="rId4" Type="http://schemas.openxmlformats.org/officeDocument/2006/relationships/chart" Target="../charts/chart44.xml"/></Relationships>
</file>

<file path=xl/drawings/_rels/drawing23.xml.rels><?xml version="1.0" encoding="UTF-8" standalone="yes"?>
<Relationships xmlns="http://schemas.openxmlformats.org/package/2006/relationships"><Relationship Id="rId3" Type="http://schemas.openxmlformats.org/officeDocument/2006/relationships/chart" Target="../charts/chart47.xml"/><Relationship Id="rId2" Type="http://schemas.openxmlformats.org/officeDocument/2006/relationships/chart" Target="../charts/chart46.xml"/><Relationship Id="rId1" Type="http://schemas.openxmlformats.org/officeDocument/2006/relationships/chart" Target="../charts/chart45.xml"/><Relationship Id="rId4" Type="http://schemas.openxmlformats.org/officeDocument/2006/relationships/chart" Target="../charts/chart48.xml"/></Relationships>
</file>

<file path=xl/drawings/drawing1.xml><?xml version="1.0" encoding="utf-8"?>
<xdr:wsDr xmlns:xdr="http://schemas.openxmlformats.org/drawingml/2006/spreadsheetDrawing" xmlns:a="http://schemas.openxmlformats.org/drawingml/2006/main">
  <xdr:twoCellAnchor>
    <xdr:from>
      <xdr:col>0</xdr:col>
      <xdr:colOff>198120</xdr:colOff>
      <xdr:row>27</xdr:row>
      <xdr:rowOff>144780</xdr:rowOff>
    </xdr:from>
    <xdr:to>
      <xdr:col>10</xdr:col>
      <xdr:colOff>746760</xdr:colOff>
      <xdr:row>58</xdr:row>
      <xdr:rowOff>99060</xdr:rowOff>
    </xdr:to>
    <xdr:graphicFrame macro="">
      <xdr:nvGraphicFramePr>
        <xdr:cNvPr id="2" name="Chart 2">
          <a:extLst>
            <a:ext uri="{FF2B5EF4-FFF2-40B4-BE49-F238E27FC236}">
              <a16:creationId xmlns:a16="http://schemas.microsoft.com/office/drawing/2014/main" id="{2A19D12F-A377-4294-9E30-04E25AA30F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11</xdr:col>
      <xdr:colOff>350520</xdr:colOff>
      <xdr:row>18</xdr:row>
      <xdr:rowOff>106680</xdr:rowOff>
    </xdr:from>
    <xdr:to>
      <xdr:col>18</xdr:col>
      <xdr:colOff>598714</xdr:colOff>
      <xdr:row>35</xdr:row>
      <xdr:rowOff>137160</xdr:rowOff>
    </xdr:to>
    <xdr:graphicFrame macro="">
      <xdr:nvGraphicFramePr>
        <xdr:cNvPr id="3" name="Chart 3">
          <a:extLst>
            <a:ext uri="{FF2B5EF4-FFF2-40B4-BE49-F238E27FC236}">
              <a16:creationId xmlns:a16="http://schemas.microsoft.com/office/drawing/2014/main" id="{C153D228-6DC8-4CAE-A5F9-28BE3E8BBD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342900</xdr:colOff>
      <xdr:row>0</xdr:row>
      <xdr:rowOff>266700</xdr:rowOff>
    </xdr:from>
    <xdr:to>
      <xdr:col>18</xdr:col>
      <xdr:colOff>601980</xdr:colOff>
      <xdr:row>17</xdr:row>
      <xdr:rowOff>167640</xdr:rowOff>
    </xdr:to>
    <xdr:graphicFrame macro="">
      <xdr:nvGraphicFramePr>
        <xdr:cNvPr id="4" name="Chart 4">
          <a:extLst>
            <a:ext uri="{FF2B5EF4-FFF2-40B4-BE49-F238E27FC236}">
              <a16:creationId xmlns:a16="http://schemas.microsoft.com/office/drawing/2014/main" id="{45A94B33-CBE7-4C24-8DC4-E490F3E603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327660</xdr:colOff>
      <xdr:row>36</xdr:row>
      <xdr:rowOff>106680</xdr:rowOff>
    </xdr:from>
    <xdr:to>
      <xdr:col>19</xdr:col>
      <xdr:colOff>0</xdr:colOff>
      <xdr:row>52</xdr:row>
      <xdr:rowOff>91440</xdr:rowOff>
    </xdr:to>
    <xdr:graphicFrame macro="">
      <xdr:nvGraphicFramePr>
        <xdr:cNvPr id="5" name="Chart 5">
          <a:extLst>
            <a:ext uri="{FF2B5EF4-FFF2-40B4-BE49-F238E27FC236}">
              <a16:creationId xmlns:a16="http://schemas.microsoft.com/office/drawing/2014/main" id="{1106C67A-3455-48B4-B8CB-730A12977C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5</xdr:col>
      <xdr:colOff>30787</xdr:colOff>
      <xdr:row>56</xdr:row>
      <xdr:rowOff>19820</xdr:rowOff>
    </xdr:from>
    <xdr:ext cx="2836238" cy="264560"/>
    <xdr:sp macro="" textlink="F62">
      <xdr:nvSpPr>
        <xdr:cNvPr id="6" name="TextBox 5">
          <a:extLst>
            <a:ext uri="{FF2B5EF4-FFF2-40B4-BE49-F238E27FC236}">
              <a16:creationId xmlns:a16="http://schemas.microsoft.com/office/drawing/2014/main" id="{5B4ED1AB-8FED-42D8-AEE2-D400900C1FDE}"/>
            </a:ext>
          </a:extLst>
        </xdr:cNvPr>
        <xdr:cNvSpPr txBox="1"/>
      </xdr:nvSpPr>
      <xdr:spPr>
        <a:xfrm>
          <a:off x="3863647" y="10824980"/>
          <a:ext cx="2836238" cy="264560"/>
        </a:xfrm>
        <a:prstGeom prst="rect">
          <a:avLst/>
        </a:prstGeom>
        <a:noFill/>
        <a:ln>
          <a:solidFill>
            <a:srgbClr val="000080"/>
          </a:solidFill>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fld id="{09913439-0203-4172-9411-EAD92432263A}" type="TxLink">
            <a:rPr lang="en-US" sz="1200" b="1" i="0" u="none" strike="noStrike">
              <a:solidFill>
                <a:srgbClr val="000000"/>
              </a:solidFill>
              <a:latin typeface="Arialri"/>
              <a:cs typeface="Arial"/>
            </a:rPr>
            <a:pPr/>
            <a:t>Ypred</a:t>
          </a:fld>
          <a:endParaRPr lang="fr-BE" sz="1100"/>
        </a:p>
      </xdr:txBody>
    </xdr:sp>
    <xdr:clientData/>
  </xdr:oneCellAnchor>
  <xdr:oneCellAnchor>
    <xdr:from>
      <xdr:col>1</xdr:col>
      <xdr:colOff>528704</xdr:colOff>
      <xdr:row>37</xdr:row>
      <xdr:rowOff>135076</xdr:rowOff>
    </xdr:from>
    <xdr:ext cx="1480699" cy="278415"/>
    <xdr:sp macro="" textlink="D62">
      <xdr:nvSpPr>
        <xdr:cNvPr id="7" name="TextBox 6">
          <a:extLst>
            <a:ext uri="{FF2B5EF4-FFF2-40B4-BE49-F238E27FC236}">
              <a16:creationId xmlns:a16="http://schemas.microsoft.com/office/drawing/2014/main" id="{DF884F53-8F0C-4C77-9DC6-B83E5D262B47}"/>
            </a:ext>
          </a:extLst>
        </xdr:cNvPr>
        <xdr:cNvSpPr txBox="1"/>
      </xdr:nvSpPr>
      <xdr:spPr>
        <a:xfrm>
          <a:off x="738254" y="7640776"/>
          <a:ext cx="1480699" cy="278415"/>
        </a:xfrm>
        <a:prstGeom prst="rect">
          <a:avLst/>
        </a:prstGeom>
        <a:noFill/>
        <a:ln>
          <a:solidFill>
            <a:srgbClr val="000080"/>
          </a:solidFill>
        </a:ln>
        <a:scene3d>
          <a:camera prst="orthographicFront">
            <a:rot lat="0" lon="0" rev="5400000"/>
          </a:camera>
          <a:lightRig rig="threePt" dir="t"/>
        </a:scene3d>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fld id="{790AF03A-9139-4535-8B6E-426918898A32}" type="TxLink">
            <a:rPr lang="en-US" sz="1200" b="1" i="0" u="none" strike="noStrike">
              <a:solidFill>
                <a:srgbClr val="000000"/>
              </a:solidFill>
              <a:latin typeface="Arialri"/>
              <a:cs typeface="Arial"/>
            </a:rPr>
            <a:pPr/>
            <a:t>REF</a:t>
          </a:fld>
          <a:endParaRPr lang="fr-BE" sz="1100"/>
        </a:p>
      </xdr:txBody>
    </xdr:sp>
    <xdr:clientData/>
  </xdr:oneCellAnchor>
</xdr:wsDr>
</file>

<file path=xl/drawings/drawing2.xml><?xml version="1.0" encoding="utf-8"?>
<c:userShapes xmlns:c="http://schemas.openxmlformats.org/drawingml/2006/chart">
  <cdr:relSizeAnchor xmlns:cdr="http://schemas.openxmlformats.org/drawingml/2006/chartDrawing">
    <cdr:from>
      <cdr:x>0.00581</cdr:x>
      <cdr:y>0.0088</cdr:y>
    </cdr:from>
    <cdr:to>
      <cdr:x>0.00581</cdr:x>
      <cdr:y>0.0088</cdr:y>
    </cdr:to>
    <cdr:sp macro="" textlink="'Emmanuel D'!$A$62:$A$62">
      <cdr:nvSpPr>
        <cdr:cNvPr id="8202" name="wbgrtzqmh"/>
        <cdr:cNvSpPr txBox="1">
          <a:spLocks xmlns:a="http://schemas.openxmlformats.org/drawingml/2006/main" noChangeArrowheads="1" noTextEdit="1"/>
        </cdr:cNvSpPr>
      </cdr:nvSpPr>
      <cdr:spPr bwMode="auto">
        <a:xfrm xmlns:a="http://schemas.openxmlformats.org/drawingml/2006/main">
          <a:off x="50800" y="50800"/>
          <a:ext cx="0" cy="0"/>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fld id="{8470AB9A-E220-40D5-9DB6-4A531DC7B7A9}" type="TxLink">
            <a:rPr lang="fr-BE" sz="1000" b="0" i="0" u="none" strike="noStrike">
              <a:solidFill>
                <a:srgbClr val="000000"/>
              </a:solidFill>
              <a:latin typeface="Arial"/>
              <a:cs typeface="Arial"/>
            </a:rPr>
            <a:pPr algn="l" rtl="0">
              <a:defRPr sz="1000"/>
            </a:pPr>
            <a:t> </a:t>
          </a:fld>
          <a:endParaRPr lang="fr-BE" sz="1000" b="0" i="0" strike="noStrike">
            <a:solidFill>
              <a:srgbClr val="000000"/>
            </a:solidFill>
            <a:latin typeface="Arial"/>
            <a:cs typeface="Arial"/>
          </a:endParaRPr>
        </a:p>
      </cdr:txBody>
    </cdr:sp>
  </cdr:relSizeAnchor>
  <cdr:relSizeAnchor xmlns:cdr="http://schemas.openxmlformats.org/drawingml/2006/chartDrawing">
    <cdr:from>
      <cdr:x>0.07223</cdr:x>
      <cdr:y>0.03372</cdr:y>
    </cdr:from>
    <cdr:to>
      <cdr:x>0.90899</cdr:x>
      <cdr:y>0.09901</cdr:y>
    </cdr:to>
    <cdr:sp macro="" textlink="'Emmanuel D'!$C$3">
      <cdr:nvSpPr>
        <cdr:cNvPr id="3" name="TextBox 2"/>
        <cdr:cNvSpPr txBox="1"/>
      </cdr:nvSpPr>
      <cdr:spPr>
        <a:xfrm xmlns:a="http://schemas.openxmlformats.org/drawingml/2006/main">
          <a:off x="611493" y="186749"/>
          <a:ext cx="7084258" cy="361596"/>
        </a:xfrm>
        <a:prstGeom xmlns:a="http://schemas.openxmlformats.org/drawingml/2006/main" prst="rect">
          <a:avLst/>
        </a:prstGeom>
        <a:ln xmlns:a="http://schemas.openxmlformats.org/drawingml/2006/main">
          <a:solidFill>
            <a:srgbClr val="000080"/>
          </a:solidFill>
        </a:ln>
      </cdr:spPr>
      <cdr:txBody>
        <a:bodyPr xmlns:a="http://schemas.openxmlformats.org/drawingml/2006/main" vertOverflow="clip" wrap="none" rtlCol="0"/>
        <a:lstStyle xmlns:a="http://schemas.openxmlformats.org/drawingml/2006/main"/>
        <a:p xmlns:a="http://schemas.openxmlformats.org/drawingml/2006/main">
          <a:fld id="{91EAB017-B76D-498C-99CA-326737BF1109}" type="TxLink">
            <a:rPr lang="en-US" sz="1600" b="0" i="0" u="none" strike="noStrike">
              <a:solidFill>
                <a:srgbClr val="000000"/>
              </a:solidFill>
              <a:latin typeface="Arial"/>
              <a:cs typeface="Arial"/>
            </a:rPr>
            <a:pPr/>
            <a:t>Challenge 2022 Emmanuel D. </a:t>
          </a:fld>
          <a:endParaRPr lang="fr-BE" sz="1100"/>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198120</xdr:colOff>
      <xdr:row>27</xdr:row>
      <xdr:rowOff>144780</xdr:rowOff>
    </xdr:from>
    <xdr:to>
      <xdr:col>10</xdr:col>
      <xdr:colOff>746760</xdr:colOff>
      <xdr:row>58</xdr:row>
      <xdr:rowOff>99060</xdr:rowOff>
    </xdr:to>
    <xdr:graphicFrame macro="">
      <xdr:nvGraphicFramePr>
        <xdr:cNvPr id="2" name="Chart 2">
          <a:extLst>
            <a:ext uri="{FF2B5EF4-FFF2-40B4-BE49-F238E27FC236}">
              <a16:creationId xmlns:a16="http://schemas.microsoft.com/office/drawing/2014/main" id="{661E5159-6797-4669-A40F-A403A194FF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11</xdr:col>
      <xdr:colOff>350520</xdr:colOff>
      <xdr:row>18</xdr:row>
      <xdr:rowOff>106680</xdr:rowOff>
    </xdr:from>
    <xdr:to>
      <xdr:col>18</xdr:col>
      <xdr:colOff>598714</xdr:colOff>
      <xdr:row>35</xdr:row>
      <xdr:rowOff>137160</xdr:rowOff>
    </xdr:to>
    <xdr:graphicFrame macro="">
      <xdr:nvGraphicFramePr>
        <xdr:cNvPr id="3" name="Chart 3">
          <a:extLst>
            <a:ext uri="{FF2B5EF4-FFF2-40B4-BE49-F238E27FC236}">
              <a16:creationId xmlns:a16="http://schemas.microsoft.com/office/drawing/2014/main" id="{E95D01B7-3394-47C5-9917-32C26CC285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342900</xdr:colOff>
      <xdr:row>0</xdr:row>
      <xdr:rowOff>266700</xdr:rowOff>
    </xdr:from>
    <xdr:to>
      <xdr:col>18</xdr:col>
      <xdr:colOff>601980</xdr:colOff>
      <xdr:row>17</xdr:row>
      <xdr:rowOff>167640</xdr:rowOff>
    </xdr:to>
    <xdr:graphicFrame macro="">
      <xdr:nvGraphicFramePr>
        <xdr:cNvPr id="4" name="Chart 4">
          <a:extLst>
            <a:ext uri="{FF2B5EF4-FFF2-40B4-BE49-F238E27FC236}">
              <a16:creationId xmlns:a16="http://schemas.microsoft.com/office/drawing/2014/main" id="{468B00A5-06B5-47B1-9424-90FAEE41D7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327660</xdr:colOff>
      <xdr:row>36</xdr:row>
      <xdr:rowOff>106680</xdr:rowOff>
    </xdr:from>
    <xdr:to>
      <xdr:col>19</xdr:col>
      <xdr:colOff>0</xdr:colOff>
      <xdr:row>52</xdr:row>
      <xdr:rowOff>91440</xdr:rowOff>
    </xdr:to>
    <xdr:graphicFrame macro="">
      <xdr:nvGraphicFramePr>
        <xdr:cNvPr id="5" name="Chart 5">
          <a:extLst>
            <a:ext uri="{FF2B5EF4-FFF2-40B4-BE49-F238E27FC236}">
              <a16:creationId xmlns:a16="http://schemas.microsoft.com/office/drawing/2014/main" id="{9A3132AC-4C16-436E-B1E9-BFD935EFF4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5</xdr:col>
      <xdr:colOff>30787</xdr:colOff>
      <xdr:row>56</xdr:row>
      <xdr:rowOff>19820</xdr:rowOff>
    </xdr:from>
    <xdr:ext cx="2836238" cy="264560"/>
    <xdr:sp macro="" textlink="F62">
      <xdr:nvSpPr>
        <xdr:cNvPr id="6" name="TextBox 5">
          <a:extLst>
            <a:ext uri="{FF2B5EF4-FFF2-40B4-BE49-F238E27FC236}">
              <a16:creationId xmlns:a16="http://schemas.microsoft.com/office/drawing/2014/main" id="{CCBEA03A-C490-4765-8B23-AC4A76A1C67E}"/>
            </a:ext>
          </a:extLst>
        </xdr:cNvPr>
        <xdr:cNvSpPr txBox="1"/>
      </xdr:nvSpPr>
      <xdr:spPr>
        <a:xfrm>
          <a:off x="4012237" y="10773545"/>
          <a:ext cx="2836238" cy="264560"/>
        </a:xfrm>
        <a:prstGeom prst="rect">
          <a:avLst/>
        </a:prstGeom>
        <a:noFill/>
        <a:ln>
          <a:solidFill>
            <a:srgbClr val="000080"/>
          </a:solidFill>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fld id="{09913439-0203-4172-9411-EAD92432263A}" type="TxLink">
            <a:rPr lang="en-US" sz="1200" b="1" i="0" u="none" strike="noStrike">
              <a:solidFill>
                <a:srgbClr val="000000"/>
              </a:solidFill>
              <a:latin typeface="Arialri"/>
              <a:cs typeface="Arial"/>
            </a:rPr>
            <a:pPr/>
            <a:t>Ypred</a:t>
          </a:fld>
          <a:endParaRPr lang="fr-BE" sz="1100"/>
        </a:p>
      </xdr:txBody>
    </xdr:sp>
    <xdr:clientData/>
  </xdr:oneCellAnchor>
  <xdr:oneCellAnchor>
    <xdr:from>
      <xdr:col>1</xdr:col>
      <xdr:colOff>528704</xdr:colOff>
      <xdr:row>37</xdr:row>
      <xdr:rowOff>135076</xdr:rowOff>
    </xdr:from>
    <xdr:ext cx="1480699" cy="278415"/>
    <xdr:sp macro="" textlink="D62">
      <xdr:nvSpPr>
        <xdr:cNvPr id="7" name="TextBox 6">
          <a:extLst>
            <a:ext uri="{FF2B5EF4-FFF2-40B4-BE49-F238E27FC236}">
              <a16:creationId xmlns:a16="http://schemas.microsoft.com/office/drawing/2014/main" id="{AE2C385C-0535-4832-B0B6-7BE1D619F9FF}"/>
            </a:ext>
          </a:extLst>
        </xdr:cNvPr>
        <xdr:cNvSpPr txBox="1"/>
      </xdr:nvSpPr>
      <xdr:spPr>
        <a:xfrm>
          <a:off x="738254" y="7640776"/>
          <a:ext cx="1480699" cy="278415"/>
        </a:xfrm>
        <a:prstGeom prst="rect">
          <a:avLst/>
        </a:prstGeom>
        <a:noFill/>
        <a:ln>
          <a:solidFill>
            <a:srgbClr val="000080"/>
          </a:solidFill>
        </a:ln>
        <a:scene3d>
          <a:camera prst="orthographicFront">
            <a:rot lat="0" lon="0" rev="5400000"/>
          </a:camera>
          <a:lightRig rig="threePt" dir="t"/>
        </a:scene3d>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fld id="{790AF03A-9139-4535-8B6E-426918898A32}" type="TxLink">
            <a:rPr lang="en-US" sz="1200" b="1" i="0" u="none" strike="noStrike">
              <a:solidFill>
                <a:srgbClr val="000000"/>
              </a:solidFill>
              <a:latin typeface="Arialri"/>
              <a:cs typeface="Arial"/>
            </a:rPr>
            <a:pPr/>
            <a:t>REF</a:t>
          </a:fld>
          <a:endParaRPr lang="fr-BE" sz="1100"/>
        </a:p>
      </xdr:txBody>
    </xdr:sp>
    <xdr:clientData/>
  </xdr:oneCellAnchor>
</xdr:wsDr>
</file>

<file path=xl/drawings/drawing4.xml><?xml version="1.0" encoding="utf-8"?>
<c:userShapes xmlns:c="http://schemas.openxmlformats.org/drawingml/2006/chart">
  <cdr:relSizeAnchor xmlns:cdr="http://schemas.openxmlformats.org/drawingml/2006/chartDrawing">
    <cdr:from>
      <cdr:x>0.00581</cdr:x>
      <cdr:y>0.0088</cdr:y>
    </cdr:from>
    <cdr:to>
      <cdr:x>0.00581</cdr:x>
      <cdr:y>0.0088</cdr:y>
    </cdr:to>
    <cdr:sp macro="" textlink="OPEX!$A$62:$A$62">
      <cdr:nvSpPr>
        <cdr:cNvPr id="8202" name="wbgrtzqmh"/>
        <cdr:cNvSpPr txBox="1">
          <a:spLocks xmlns:a="http://schemas.openxmlformats.org/drawingml/2006/main" noChangeArrowheads="1" noTextEdit="1"/>
        </cdr:cNvSpPr>
      </cdr:nvSpPr>
      <cdr:spPr bwMode="auto">
        <a:xfrm xmlns:a="http://schemas.openxmlformats.org/drawingml/2006/main">
          <a:off x="50800" y="50800"/>
          <a:ext cx="0" cy="0"/>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fld id="{8470AB9A-E220-40D5-9DB6-4A531DC7B7A9}" type="TxLink">
            <a:rPr lang="fr-BE" sz="1000" b="0" i="0" u="none" strike="noStrike">
              <a:solidFill>
                <a:srgbClr val="000000"/>
              </a:solidFill>
              <a:latin typeface="Arial"/>
              <a:cs typeface="Arial"/>
            </a:rPr>
            <a:pPr algn="l" rtl="0">
              <a:defRPr sz="1000"/>
            </a:pPr>
            <a:t> </a:t>
          </a:fld>
          <a:endParaRPr lang="fr-BE" sz="1000" b="0" i="0" strike="noStrike">
            <a:solidFill>
              <a:srgbClr val="000000"/>
            </a:solidFill>
            <a:latin typeface="Arial"/>
            <a:cs typeface="Arial"/>
          </a:endParaRPr>
        </a:p>
      </cdr:txBody>
    </cdr:sp>
  </cdr:relSizeAnchor>
  <cdr:relSizeAnchor xmlns:cdr="http://schemas.openxmlformats.org/drawingml/2006/chartDrawing">
    <cdr:from>
      <cdr:x>0.07223</cdr:x>
      <cdr:y>0.03372</cdr:y>
    </cdr:from>
    <cdr:to>
      <cdr:x>0.90899</cdr:x>
      <cdr:y>0.09901</cdr:y>
    </cdr:to>
    <cdr:sp macro="" textlink="OPEX!$C$3">
      <cdr:nvSpPr>
        <cdr:cNvPr id="3" name="TextBox 2"/>
        <cdr:cNvSpPr txBox="1"/>
      </cdr:nvSpPr>
      <cdr:spPr>
        <a:xfrm xmlns:a="http://schemas.openxmlformats.org/drawingml/2006/main">
          <a:off x="611493" y="186749"/>
          <a:ext cx="7084258" cy="361596"/>
        </a:xfrm>
        <a:prstGeom xmlns:a="http://schemas.openxmlformats.org/drawingml/2006/main" prst="rect">
          <a:avLst/>
        </a:prstGeom>
        <a:ln xmlns:a="http://schemas.openxmlformats.org/drawingml/2006/main">
          <a:solidFill>
            <a:srgbClr val="000080"/>
          </a:solidFill>
        </a:ln>
      </cdr:spPr>
      <cdr:txBody>
        <a:bodyPr xmlns:a="http://schemas.openxmlformats.org/drawingml/2006/main" vertOverflow="clip" wrap="none" rtlCol="0"/>
        <a:lstStyle xmlns:a="http://schemas.openxmlformats.org/drawingml/2006/main"/>
        <a:p xmlns:a="http://schemas.openxmlformats.org/drawingml/2006/main">
          <a:fld id="{91EAB017-B76D-498C-99CA-326737BF1109}" type="TxLink">
            <a:rPr lang="en-US" sz="1600" b="0" i="0" u="none" strike="noStrike">
              <a:solidFill>
                <a:srgbClr val="000000"/>
              </a:solidFill>
              <a:latin typeface="Arial"/>
              <a:cs typeface="Arial"/>
            </a:rPr>
            <a:pPr/>
            <a:t>OPEX STUDENTS </a:t>
          </a:fld>
          <a:endParaRPr lang="fr-BE" sz="1100"/>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198120</xdr:colOff>
      <xdr:row>27</xdr:row>
      <xdr:rowOff>144780</xdr:rowOff>
    </xdr:from>
    <xdr:to>
      <xdr:col>10</xdr:col>
      <xdr:colOff>746760</xdr:colOff>
      <xdr:row>58</xdr:row>
      <xdr:rowOff>99060</xdr:rowOff>
    </xdr:to>
    <xdr:graphicFrame macro="">
      <xdr:nvGraphicFramePr>
        <xdr:cNvPr id="2" name="Chart 2">
          <a:extLst>
            <a:ext uri="{FF2B5EF4-FFF2-40B4-BE49-F238E27FC236}">
              <a16:creationId xmlns:a16="http://schemas.microsoft.com/office/drawing/2014/main" id="{BA771317-33C4-427D-8020-F54B6E4C0A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11</xdr:col>
      <xdr:colOff>350520</xdr:colOff>
      <xdr:row>18</xdr:row>
      <xdr:rowOff>106680</xdr:rowOff>
    </xdr:from>
    <xdr:to>
      <xdr:col>18</xdr:col>
      <xdr:colOff>598714</xdr:colOff>
      <xdr:row>35</xdr:row>
      <xdr:rowOff>137160</xdr:rowOff>
    </xdr:to>
    <xdr:graphicFrame macro="">
      <xdr:nvGraphicFramePr>
        <xdr:cNvPr id="3" name="Chart 3">
          <a:extLst>
            <a:ext uri="{FF2B5EF4-FFF2-40B4-BE49-F238E27FC236}">
              <a16:creationId xmlns:a16="http://schemas.microsoft.com/office/drawing/2014/main" id="{61E98BED-01BB-4FF6-A6A5-35BD33F2F8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342900</xdr:colOff>
      <xdr:row>0</xdr:row>
      <xdr:rowOff>266700</xdr:rowOff>
    </xdr:from>
    <xdr:to>
      <xdr:col>18</xdr:col>
      <xdr:colOff>601980</xdr:colOff>
      <xdr:row>17</xdr:row>
      <xdr:rowOff>167640</xdr:rowOff>
    </xdr:to>
    <xdr:graphicFrame macro="">
      <xdr:nvGraphicFramePr>
        <xdr:cNvPr id="4" name="Chart 4">
          <a:extLst>
            <a:ext uri="{FF2B5EF4-FFF2-40B4-BE49-F238E27FC236}">
              <a16:creationId xmlns:a16="http://schemas.microsoft.com/office/drawing/2014/main" id="{89BCBC38-4041-4097-A140-E52426DFDF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327660</xdr:colOff>
      <xdr:row>36</xdr:row>
      <xdr:rowOff>106680</xdr:rowOff>
    </xdr:from>
    <xdr:to>
      <xdr:col>19</xdr:col>
      <xdr:colOff>0</xdr:colOff>
      <xdr:row>52</xdr:row>
      <xdr:rowOff>91440</xdr:rowOff>
    </xdr:to>
    <xdr:graphicFrame macro="">
      <xdr:nvGraphicFramePr>
        <xdr:cNvPr id="5" name="Chart 5">
          <a:extLst>
            <a:ext uri="{FF2B5EF4-FFF2-40B4-BE49-F238E27FC236}">
              <a16:creationId xmlns:a16="http://schemas.microsoft.com/office/drawing/2014/main" id="{9D3A1220-624F-4DDE-9DBB-ABE7A6CAB3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5</xdr:col>
      <xdr:colOff>30787</xdr:colOff>
      <xdr:row>56</xdr:row>
      <xdr:rowOff>19820</xdr:rowOff>
    </xdr:from>
    <xdr:ext cx="2836238" cy="264560"/>
    <xdr:sp macro="" textlink="F62">
      <xdr:nvSpPr>
        <xdr:cNvPr id="6" name="TextBox 5">
          <a:extLst>
            <a:ext uri="{FF2B5EF4-FFF2-40B4-BE49-F238E27FC236}">
              <a16:creationId xmlns:a16="http://schemas.microsoft.com/office/drawing/2014/main" id="{31B73D47-8AC6-4128-8B4B-14CE1217A0F5}"/>
            </a:ext>
          </a:extLst>
        </xdr:cNvPr>
        <xdr:cNvSpPr txBox="1"/>
      </xdr:nvSpPr>
      <xdr:spPr>
        <a:xfrm>
          <a:off x="4012237" y="10840220"/>
          <a:ext cx="2836238" cy="264560"/>
        </a:xfrm>
        <a:prstGeom prst="rect">
          <a:avLst/>
        </a:prstGeom>
        <a:noFill/>
        <a:ln>
          <a:solidFill>
            <a:srgbClr val="000080"/>
          </a:solidFill>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fld id="{09913439-0203-4172-9411-EAD92432263A}" type="TxLink">
            <a:rPr lang="en-US" sz="1200" b="1" i="0" u="none" strike="noStrike">
              <a:solidFill>
                <a:srgbClr val="000000"/>
              </a:solidFill>
              <a:latin typeface="Arialri"/>
              <a:cs typeface="Arial"/>
            </a:rPr>
            <a:pPr/>
            <a:t>yval</a:t>
          </a:fld>
          <a:endParaRPr lang="fr-BE" sz="1100"/>
        </a:p>
      </xdr:txBody>
    </xdr:sp>
    <xdr:clientData/>
  </xdr:oneCellAnchor>
  <xdr:oneCellAnchor>
    <xdr:from>
      <xdr:col>1</xdr:col>
      <xdr:colOff>528704</xdr:colOff>
      <xdr:row>37</xdr:row>
      <xdr:rowOff>135076</xdr:rowOff>
    </xdr:from>
    <xdr:ext cx="1480699" cy="278415"/>
    <xdr:sp macro="" textlink="D62">
      <xdr:nvSpPr>
        <xdr:cNvPr id="7" name="TextBox 6">
          <a:extLst>
            <a:ext uri="{FF2B5EF4-FFF2-40B4-BE49-F238E27FC236}">
              <a16:creationId xmlns:a16="http://schemas.microsoft.com/office/drawing/2014/main" id="{C2454B55-9809-4893-A52A-D502AD6C729B}"/>
            </a:ext>
          </a:extLst>
        </xdr:cNvPr>
        <xdr:cNvSpPr txBox="1"/>
      </xdr:nvSpPr>
      <xdr:spPr>
        <a:xfrm>
          <a:off x="738254" y="7707451"/>
          <a:ext cx="1480699" cy="278415"/>
        </a:xfrm>
        <a:prstGeom prst="rect">
          <a:avLst/>
        </a:prstGeom>
        <a:noFill/>
        <a:ln>
          <a:solidFill>
            <a:srgbClr val="000080"/>
          </a:solidFill>
        </a:ln>
        <a:scene3d>
          <a:camera prst="orthographicFront">
            <a:rot lat="0" lon="0" rev="5400000"/>
          </a:camera>
          <a:lightRig rig="threePt" dir="t"/>
        </a:scene3d>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fld id="{790AF03A-9139-4535-8B6E-426918898A32}" type="TxLink">
            <a:rPr lang="en-US" sz="1200" b="1" i="0" u="none" strike="noStrike">
              <a:solidFill>
                <a:srgbClr val="000000"/>
              </a:solidFill>
              <a:latin typeface="Arialri"/>
              <a:cs typeface="Arial"/>
            </a:rPr>
            <a:pPr/>
            <a:t>REF</a:t>
          </a:fld>
          <a:endParaRPr lang="fr-BE" sz="1100"/>
        </a:p>
      </xdr:txBody>
    </xdr:sp>
    <xdr:clientData/>
  </xdr:oneCellAnchor>
</xdr:wsDr>
</file>

<file path=xl/drawings/drawing6.xml><?xml version="1.0" encoding="utf-8"?>
<c:userShapes xmlns:c="http://schemas.openxmlformats.org/drawingml/2006/chart">
  <cdr:relSizeAnchor xmlns:cdr="http://schemas.openxmlformats.org/drawingml/2006/chartDrawing">
    <cdr:from>
      <cdr:x>0.00581</cdr:x>
      <cdr:y>0.0088</cdr:y>
    </cdr:from>
    <cdr:to>
      <cdr:x>0.00581</cdr:x>
      <cdr:y>0.0088</cdr:y>
    </cdr:to>
    <cdr:sp macro="" textlink="Lijour!$A$62:$A$62">
      <cdr:nvSpPr>
        <cdr:cNvPr id="8202" name="wbgrtzqmh"/>
        <cdr:cNvSpPr txBox="1">
          <a:spLocks xmlns:a="http://schemas.openxmlformats.org/drawingml/2006/main" noChangeArrowheads="1" noTextEdit="1"/>
        </cdr:cNvSpPr>
      </cdr:nvSpPr>
      <cdr:spPr bwMode="auto">
        <a:xfrm xmlns:a="http://schemas.openxmlformats.org/drawingml/2006/main">
          <a:off x="50800" y="50800"/>
          <a:ext cx="0" cy="0"/>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fld id="{8470AB9A-E220-40D5-9DB6-4A531DC7B7A9}" type="TxLink">
            <a:rPr lang="fr-BE" sz="1000" b="0" i="0" u="none" strike="noStrike">
              <a:solidFill>
                <a:srgbClr val="000000"/>
              </a:solidFill>
              <a:latin typeface="Arial"/>
              <a:cs typeface="Arial"/>
            </a:rPr>
            <a:pPr algn="l" rtl="0">
              <a:defRPr sz="1000"/>
            </a:pPr>
            <a:t> </a:t>
          </a:fld>
          <a:endParaRPr lang="fr-BE" sz="1000" b="0" i="0" strike="noStrike">
            <a:solidFill>
              <a:srgbClr val="000000"/>
            </a:solidFill>
            <a:latin typeface="Arial"/>
            <a:cs typeface="Arial"/>
          </a:endParaRPr>
        </a:p>
      </cdr:txBody>
    </cdr:sp>
  </cdr:relSizeAnchor>
  <cdr:relSizeAnchor xmlns:cdr="http://schemas.openxmlformats.org/drawingml/2006/chartDrawing">
    <cdr:from>
      <cdr:x>0.07223</cdr:x>
      <cdr:y>0.03372</cdr:y>
    </cdr:from>
    <cdr:to>
      <cdr:x>0.90899</cdr:x>
      <cdr:y>0.09901</cdr:y>
    </cdr:to>
    <cdr:sp macro="" textlink="Lijour!$C$3">
      <cdr:nvSpPr>
        <cdr:cNvPr id="3" name="TextBox 2"/>
        <cdr:cNvSpPr txBox="1"/>
      </cdr:nvSpPr>
      <cdr:spPr>
        <a:xfrm xmlns:a="http://schemas.openxmlformats.org/drawingml/2006/main">
          <a:off x="611493" y="186749"/>
          <a:ext cx="7084258" cy="361596"/>
        </a:xfrm>
        <a:prstGeom xmlns:a="http://schemas.openxmlformats.org/drawingml/2006/main" prst="rect">
          <a:avLst/>
        </a:prstGeom>
        <a:ln xmlns:a="http://schemas.openxmlformats.org/drawingml/2006/main">
          <a:solidFill>
            <a:srgbClr val="000080"/>
          </a:solidFill>
        </a:ln>
      </cdr:spPr>
      <cdr:txBody>
        <a:bodyPr xmlns:a="http://schemas.openxmlformats.org/drawingml/2006/main" vertOverflow="clip" wrap="none" rtlCol="0"/>
        <a:lstStyle xmlns:a="http://schemas.openxmlformats.org/drawingml/2006/main"/>
        <a:p xmlns:a="http://schemas.openxmlformats.org/drawingml/2006/main">
          <a:fld id="{91EAB017-B76D-498C-99CA-326737BF1109}" type="TxLink">
            <a:rPr lang="en-US" sz="1600" b="0" i="0" u="none" strike="noStrike">
              <a:solidFill>
                <a:srgbClr val="000000"/>
              </a:solidFill>
              <a:latin typeface="Arial"/>
              <a:cs typeface="Arial"/>
            </a:rPr>
            <a:pPr/>
            <a:t>Lijour </a:t>
          </a:fld>
          <a:endParaRPr lang="fr-BE" sz="1100"/>
        </a:p>
      </cdr:txBody>
    </cdr:sp>
  </cdr:relSizeAnchor>
</c:userShapes>
</file>

<file path=xl/drawings/drawing7.xml><?xml version="1.0" encoding="utf-8"?>
<xdr:wsDr xmlns:xdr="http://schemas.openxmlformats.org/drawingml/2006/spreadsheetDrawing" xmlns:a="http://schemas.openxmlformats.org/drawingml/2006/main">
  <xdr:twoCellAnchor>
    <xdr:from>
      <xdr:col>0</xdr:col>
      <xdr:colOff>198120</xdr:colOff>
      <xdr:row>27</xdr:row>
      <xdr:rowOff>144780</xdr:rowOff>
    </xdr:from>
    <xdr:to>
      <xdr:col>10</xdr:col>
      <xdr:colOff>746760</xdr:colOff>
      <xdr:row>58</xdr:row>
      <xdr:rowOff>99060</xdr:rowOff>
    </xdr:to>
    <xdr:graphicFrame macro="">
      <xdr:nvGraphicFramePr>
        <xdr:cNvPr id="2" name="Chart 2">
          <a:extLst>
            <a:ext uri="{FF2B5EF4-FFF2-40B4-BE49-F238E27FC236}">
              <a16:creationId xmlns:a16="http://schemas.microsoft.com/office/drawing/2014/main" id="{73F25DD3-5B47-4365-A70E-6928678446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11</xdr:col>
      <xdr:colOff>350520</xdr:colOff>
      <xdr:row>18</xdr:row>
      <xdr:rowOff>106680</xdr:rowOff>
    </xdr:from>
    <xdr:to>
      <xdr:col>18</xdr:col>
      <xdr:colOff>598714</xdr:colOff>
      <xdr:row>35</xdr:row>
      <xdr:rowOff>137160</xdr:rowOff>
    </xdr:to>
    <xdr:graphicFrame macro="">
      <xdr:nvGraphicFramePr>
        <xdr:cNvPr id="3" name="Chart 3">
          <a:extLst>
            <a:ext uri="{FF2B5EF4-FFF2-40B4-BE49-F238E27FC236}">
              <a16:creationId xmlns:a16="http://schemas.microsoft.com/office/drawing/2014/main" id="{ADADFB3B-0C23-4E66-9BAB-EDE7DD7C55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342900</xdr:colOff>
      <xdr:row>0</xdr:row>
      <xdr:rowOff>266700</xdr:rowOff>
    </xdr:from>
    <xdr:to>
      <xdr:col>18</xdr:col>
      <xdr:colOff>601980</xdr:colOff>
      <xdr:row>17</xdr:row>
      <xdr:rowOff>167640</xdr:rowOff>
    </xdr:to>
    <xdr:graphicFrame macro="">
      <xdr:nvGraphicFramePr>
        <xdr:cNvPr id="4" name="Chart 4">
          <a:extLst>
            <a:ext uri="{FF2B5EF4-FFF2-40B4-BE49-F238E27FC236}">
              <a16:creationId xmlns:a16="http://schemas.microsoft.com/office/drawing/2014/main" id="{0949F353-7192-4FCA-A285-CD1F5F6972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327660</xdr:colOff>
      <xdr:row>36</xdr:row>
      <xdr:rowOff>106680</xdr:rowOff>
    </xdr:from>
    <xdr:to>
      <xdr:col>19</xdr:col>
      <xdr:colOff>0</xdr:colOff>
      <xdr:row>52</xdr:row>
      <xdr:rowOff>91440</xdr:rowOff>
    </xdr:to>
    <xdr:graphicFrame macro="">
      <xdr:nvGraphicFramePr>
        <xdr:cNvPr id="5" name="Chart 5">
          <a:extLst>
            <a:ext uri="{FF2B5EF4-FFF2-40B4-BE49-F238E27FC236}">
              <a16:creationId xmlns:a16="http://schemas.microsoft.com/office/drawing/2014/main" id="{AE063FB8-9C21-410E-A66E-804ADB2616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5</xdr:col>
      <xdr:colOff>30787</xdr:colOff>
      <xdr:row>56</xdr:row>
      <xdr:rowOff>19820</xdr:rowOff>
    </xdr:from>
    <xdr:ext cx="2836238" cy="264560"/>
    <xdr:sp macro="" textlink="F62">
      <xdr:nvSpPr>
        <xdr:cNvPr id="6" name="TextBox 5">
          <a:extLst>
            <a:ext uri="{FF2B5EF4-FFF2-40B4-BE49-F238E27FC236}">
              <a16:creationId xmlns:a16="http://schemas.microsoft.com/office/drawing/2014/main" id="{1A9F43E3-1E30-41CB-95BD-AA959DD656F8}"/>
            </a:ext>
          </a:extLst>
        </xdr:cNvPr>
        <xdr:cNvSpPr txBox="1"/>
      </xdr:nvSpPr>
      <xdr:spPr>
        <a:xfrm>
          <a:off x="4012237" y="10840220"/>
          <a:ext cx="2836238" cy="264560"/>
        </a:xfrm>
        <a:prstGeom prst="rect">
          <a:avLst/>
        </a:prstGeom>
        <a:noFill/>
        <a:ln>
          <a:solidFill>
            <a:srgbClr val="000080"/>
          </a:solidFill>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fld id="{09913439-0203-4172-9411-EAD92432263A}" type="TxLink">
            <a:rPr lang="en-US" sz="1200" b="1" i="0" u="none" strike="noStrike">
              <a:solidFill>
                <a:srgbClr val="000000"/>
              </a:solidFill>
              <a:latin typeface="Arialri"/>
              <a:cs typeface="Arial"/>
            </a:rPr>
            <a:pPr/>
            <a:t>Y_pred</a:t>
          </a:fld>
          <a:endParaRPr lang="fr-BE" sz="1100"/>
        </a:p>
      </xdr:txBody>
    </xdr:sp>
    <xdr:clientData/>
  </xdr:oneCellAnchor>
  <xdr:oneCellAnchor>
    <xdr:from>
      <xdr:col>1</xdr:col>
      <xdr:colOff>528704</xdr:colOff>
      <xdr:row>37</xdr:row>
      <xdr:rowOff>135076</xdr:rowOff>
    </xdr:from>
    <xdr:ext cx="1480699" cy="278415"/>
    <xdr:sp macro="" textlink="D62">
      <xdr:nvSpPr>
        <xdr:cNvPr id="7" name="TextBox 6">
          <a:extLst>
            <a:ext uri="{FF2B5EF4-FFF2-40B4-BE49-F238E27FC236}">
              <a16:creationId xmlns:a16="http://schemas.microsoft.com/office/drawing/2014/main" id="{0B8C64DD-A366-466A-8E1A-EEC513B24082}"/>
            </a:ext>
          </a:extLst>
        </xdr:cNvPr>
        <xdr:cNvSpPr txBox="1"/>
      </xdr:nvSpPr>
      <xdr:spPr>
        <a:xfrm>
          <a:off x="738254" y="7707451"/>
          <a:ext cx="1480699" cy="278415"/>
        </a:xfrm>
        <a:prstGeom prst="rect">
          <a:avLst/>
        </a:prstGeom>
        <a:noFill/>
        <a:ln>
          <a:solidFill>
            <a:srgbClr val="000080"/>
          </a:solidFill>
        </a:ln>
        <a:scene3d>
          <a:camera prst="orthographicFront">
            <a:rot lat="0" lon="0" rev="5400000"/>
          </a:camera>
          <a:lightRig rig="threePt" dir="t"/>
        </a:scene3d>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fld id="{790AF03A-9139-4535-8B6E-426918898A32}" type="TxLink">
            <a:rPr lang="en-US" sz="1200" b="1" i="0" u="none" strike="noStrike">
              <a:solidFill>
                <a:srgbClr val="000000"/>
              </a:solidFill>
              <a:latin typeface="Arialri"/>
              <a:cs typeface="Arial"/>
            </a:rPr>
            <a:pPr/>
            <a:t>REF</a:t>
          </a:fld>
          <a:endParaRPr lang="fr-BE" sz="1100"/>
        </a:p>
      </xdr:txBody>
    </xdr:sp>
    <xdr:clientData/>
  </xdr:oneCellAnchor>
</xdr:wsDr>
</file>

<file path=xl/drawings/drawing8.xml><?xml version="1.0" encoding="utf-8"?>
<c:userShapes xmlns:c="http://schemas.openxmlformats.org/drawingml/2006/chart">
  <cdr:relSizeAnchor xmlns:cdr="http://schemas.openxmlformats.org/drawingml/2006/chartDrawing">
    <cdr:from>
      <cdr:x>0.00581</cdr:x>
      <cdr:y>0.0088</cdr:y>
    </cdr:from>
    <cdr:to>
      <cdr:x>0.00581</cdr:x>
      <cdr:y>0.0088</cdr:y>
    </cdr:to>
    <cdr:sp macro="" textlink="'Loudiyi '!$A$62:$A$62">
      <cdr:nvSpPr>
        <cdr:cNvPr id="8202" name="wbgrtzqmh"/>
        <cdr:cNvSpPr txBox="1">
          <a:spLocks xmlns:a="http://schemas.openxmlformats.org/drawingml/2006/main" noChangeArrowheads="1" noTextEdit="1"/>
        </cdr:cNvSpPr>
      </cdr:nvSpPr>
      <cdr:spPr bwMode="auto">
        <a:xfrm xmlns:a="http://schemas.openxmlformats.org/drawingml/2006/main">
          <a:off x="50800" y="50800"/>
          <a:ext cx="0" cy="0"/>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fld id="{8470AB9A-E220-40D5-9DB6-4A531DC7B7A9}" type="TxLink">
            <a:rPr lang="fr-BE" sz="1000" b="0" i="0" u="none" strike="noStrike">
              <a:solidFill>
                <a:srgbClr val="000000"/>
              </a:solidFill>
              <a:latin typeface="Arial"/>
              <a:cs typeface="Arial"/>
            </a:rPr>
            <a:pPr algn="l" rtl="0">
              <a:defRPr sz="1000"/>
            </a:pPr>
            <a:t> </a:t>
          </a:fld>
          <a:endParaRPr lang="fr-BE" sz="1000" b="0" i="0" strike="noStrike">
            <a:solidFill>
              <a:srgbClr val="000000"/>
            </a:solidFill>
            <a:latin typeface="Arial"/>
            <a:cs typeface="Arial"/>
          </a:endParaRPr>
        </a:p>
      </cdr:txBody>
    </cdr:sp>
  </cdr:relSizeAnchor>
  <cdr:relSizeAnchor xmlns:cdr="http://schemas.openxmlformats.org/drawingml/2006/chartDrawing">
    <cdr:from>
      <cdr:x>0.07223</cdr:x>
      <cdr:y>0.03372</cdr:y>
    </cdr:from>
    <cdr:to>
      <cdr:x>0.90899</cdr:x>
      <cdr:y>0.09901</cdr:y>
    </cdr:to>
    <cdr:sp macro="" textlink="'Loudiyi '!$C$3">
      <cdr:nvSpPr>
        <cdr:cNvPr id="3" name="TextBox 2"/>
        <cdr:cNvSpPr txBox="1"/>
      </cdr:nvSpPr>
      <cdr:spPr>
        <a:xfrm xmlns:a="http://schemas.openxmlformats.org/drawingml/2006/main">
          <a:off x="611493" y="186749"/>
          <a:ext cx="7084258" cy="361596"/>
        </a:xfrm>
        <a:prstGeom xmlns:a="http://schemas.openxmlformats.org/drawingml/2006/main" prst="rect">
          <a:avLst/>
        </a:prstGeom>
        <a:ln xmlns:a="http://schemas.openxmlformats.org/drawingml/2006/main">
          <a:solidFill>
            <a:srgbClr val="000080"/>
          </a:solidFill>
        </a:ln>
      </cdr:spPr>
      <cdr:txBody>
        <a:bodyPr xmlns:a="http://schemas.openxmlformats.org/drawingml/2006/main" vertOverflow="clip" wrap="none" rtlCol="0"/>
        <a:lstStyle xmlns:a="http://schemas.openxmlformats.org/drawingml/2006/main"/>
        <a:p xmlns:a="http://schemas.openxmlformats.org/drawingml/2006/main">
          <a:fld id="{91EAB017-B76D-498C-99CA-326737BF1109}" type="TxLink">
            <a:rPr lang="en-US" sz="1600" b="0" i="0" u="none" strike="noStrike">
              <a:solidFill>
                <a:srgbClr val="000000"/>
              </a:solidFill>
              <a:latin typeface="Arial"/>
              <a:cs typeface="Arial"/>
            </a:rPr>
            <a:pPr/>
            <a:t>Loudiyi Mohammed</a:t>
          </a:fld>
          <a:endParaRPr lang="fr-BE" sz="1100"/>
        </a:p>
      </cdr:txBody>
    </cdr:sp>
  </cdr:relSizeAnchor>
</c:userShapes>
</file>

<file path=xl/drawings/drawing9.xml><?xml version="1.0" encoding="utf-8"?>
<xdr:wsDr xmlns:xdr="http://schemas.openxmlformats.org/drawingml/2006/spreadsheetDrawing" xmlns:a="http://schemas.openxmlformats.org/drawingml/2006/main">
  <xdr:twoCellAnchor>
    <xdr:from>
      <xdr:col>0</xdr:col>
      <xdr:colOff>198120</xdr:colOff>
      <xdr:row>27</xdr:row>
      <xdr:rowOff>144780</xdr:rowOff>
    </xdr:from>
    <xdr:to>
      <xdr:col>10</xdr:col>
      <xdr:colOff>746760</xdr:colOff>
      <xdr:row>58</xdr:row>
      <xdr:rowOff>99060</xdr:rowOff>
    </xdr:to>
    <xdr:graphicFrame macro="">
      <xdr:nvGraphicFramePr>
        <xdr:cNvPr id="2" name="Chart 2">
          <a:extLst>
            <a:ext uri="{FF2B5EF4-FFF2-40B4-BE49-F238E27FC236}">
              <a16:creationId xmlns:a16="http://schemas.microsoft.com/office/drawing/2014/main" id="{270FBEAA-DAC7-4131-8140-56E8B9C85D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11</xdr:col>
      <xdr:colOff>350520</xdr:colOff>
      <xdr:row>18</xdr:row>
      <xdr:rowOff>106680</xdr:rowOff>
    </xdr:from>
    <xdr:to>
      <xdr:col>18</xdr:col>
      <xdr:colOff>598714</xdr:colOff>
      <xdr:row>35</xdr:row>
      <xdr:rowOff>137160</xdr:rowOff>
    </xdr:to>
    <xdr:graphicFrame macro="">
      <xdr:nvGraphicFramePr>
        <xdr:cNvPr id="3" name="Chart 3">
          <a:extLst>
            <a:ext uri="{FF2B5EF4-FFF2-40B4-BE49-F238E27FC236}">
              <a16:creationId xmlns:a16="http://schemas.microsoft.com/office/drawing/2014/main" id="{2FEA21BD-7B3F-4DBC-B404-78C7D88B18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342900</xdr:colOff>
      <xdr:row>0</xdr:row>
      <xdr:rowOff>266700</xdr:rowOff>
    </xdr:from>
    <xdr:to>
      <xdr:col>18</xdr:col>
      <xdr:colOff>601980</xdr:colOff>
      <xdr:row>17</xdr:row>
      <xdr:rowOff>167640</xdr:rowOff>
    </xdr:to>
    <xdr:graphicFrame macro="">
      <xdr:nvGraphicFramePr>
        <xdr:cNvPr id="4" name="Chart 4">
          <a:extLst>
            <a:ext uri="{FF2B5EF4-FFF2-40B4-BE49-F238E27FC236}">
              <a16:creationId xmlns:a16="http://schemas.microsoft.com/office/drawing/2014/main" id="{DD6D7746-858B-40B6-AFCF-2B337BEBA1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327660</xdr:colOff>
      <xdr:row>36</xdr:row>
      <xdr:rowOff>106680</xdr:rowOff>
    </xdr:from>
    <xdr:to>
      <xdr:col>19</xdr:col>
      <xdr:colOff>0</xdr:colOff>
      <xdr:row>52</xdr:row>
      <xdr:rowOff>91440</xdr:rowOff>
    </xdr:to>
    <xdr:graphicFrame macro="">
      <xdr:nvGraphicFramePr>
        <xdr:cNvPr id="5" name="Chart 5">
          <a:extLst>
            <a:ext uri="{FF2B5EF4-FFF2-40B4-BE49-F238E27FC236}">
              <a16:creationId xmlns:a16="http://schemas.microsoft.com/office/drawing/2014/main" id="{AB47A401-F031-407F-9CF2-4C7D7A251E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5</xdr:col>
      <xdr:colOff>30787</xdr:colOff>
      <xdr:row>56</xdr:row>
      <xdr:rowOff>19820</xdr:rowOff>
    </xdr:from>
    <xdr:ext cx="2836238" cy="264560"/>
    <xdr:sp macro="" textlink="F62">
      <xdr:nvSpPr>
        <xdr:cNvPr id="6" name="TextBox 5">
          <a:extLst>
            <a:ext uri="{FF2B5EF4-FFF2-40B4-BE49-F238E27FC236}">
              <a16:creationId xmlns:a16="http://schemas.microsoft.com/office/drawing/2014/main" id="{23EA4A8D-1478-460D-9E16-AE8BD2880963}"/>
            </a:ext>
          </a:extLst>
        </xdr:cNvPr>
        <xdr:cNvSpPr txBox="1"/>
      </xdr:nvSpPr>
      <xdr:spPr>
        <a:xfrm>
          <a:off x="4012237" y="10840220"/>
          <a:ext cx="2836238" cy="264560"/>
        </a:xfrm>
        <a:prstGeom prst="rect">
          <a:avLst/>
        </a:prstGeom>
        <a:noFill/>
        <a:ln>
          <a:solidFill>
            <a:srgbClr val="000080"/>
          </a:solidFill>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fld id="{09913439-0203-4172-9411-EAD92432263A}" type="TxLink">
            <a:rPr lang="en-US" sz="1200" b="1" i="0" u="none" strike="noStrike">
              <a:solidFill>
                <a:srgbClr val="000000"/>
              </a:solidFill>
              <a:latin typeface="Arialri"/>
              <a:cs typeface="Arial"/>
            </a:rPr>
            <a:pPr/>
            <a:t>Lesnoff</a:t>
          </a:fld>
          <a:endParaRPr lang="fr-BE" sz="1100"/>
        </a:p>
      </xdr:txBody>
    </xdr:sp>
    <xdr:clientData/>
  </xdr:oneCellAnchor>
  <xdr:oneCellAnchor>
    <xdr:from>
      <xdr:col>1</xdr:col>
      <xdr:colOff>528704</xdr:colOff>
      <xdr:row>37</xdr:row>
      <xdr:rowOff>135076</xdr:rowOff>
    </xdr:from>
    <xdr:ext cx="1480699" cy="278415"/>
    <xdr:sp macro="" textlink="D62">
      <xdr:nvSpPr>
        <xdr:cNvPr id="7" name="TextBox 6">
          <a:extLst>
            <a:ext uri="{FF2B5EF4-FFF2-40B4-BE49-F238E27FC236}">
              <a16:creationId xmlns:a16="http://schemas.microsoft.com/office/drawing/2014/main" id="{323F3011-7157-47AE-A1E0-4FB12B0CB270}"/>
            </a:ext>
          </a:extLst>
        </xdr:cNvPr>
        <xdr:cNvSpPr txBox="1"/>
      </xdr:nvSpPr>
      <xdr:spPr>
        <a:xfrm>
          <a:off x="738254" y="7707451"/>
          <a:ext cx="1480699" cy="278415"/>
        </a:xfrm>
        <a:prstGeom prst="rect">
          <a:avLst/>
        </a:prstGeom>
        <a:noFill/>
        <a:ln>
          <a:solidFill>
            <a:srgbClr val="000080"/>
          </a:solidFill>
        </a:ln>
        <a:scene3d>
          <a:camera prst="orthographicFront">
            <a:rot lat="0" lon="0" rev="5400000"/>
          </a:camera>
          <a:lightRig rig="threePt" dir="t"/>
        </a:scene3d>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fld id="{790AF03A-9139-4535-8B6E-426918898A32}" type="TxLink">
            <a:rPr lang="en-US" sz="1200" b="1" i="0" u="none" strike="noStrike">
              <a:solidFill>
                <a:srgbClr val="000000"/>
              </a:solidFill>
              <a:latin typeface="Arialri"/>
              <a:cs typeface="Arial"/>
            </a:rPr>
            <a:pPr/>
            <a:t>REF</a:t>
          </a:fld>
          <a:endParaRPr lang="fr-BE" sz="1100"/>
        </a:p>
      </xdr:txBody>
    </xdr:sp>
    <xdr:clientData/>
  </xdr:oneCellAnchor>
</xdr:wsDr>
</file>

<file path=xl/drawings/drawing10.xml><?xml version="1.0" encoding="utf-8"?>
<c:userShapes xmlns:c="http://schemas.openxmlformats.org/drawingml/2006/chart">
  <cdr:relSizeAnchor xmlns:cdr="http://schemas.openxmlformats.org/drawingml/2006/chartDrawing">
    <cdr:from>
      <cdr:x>0.00581</cdr:x>
      <cdr:y>0.0088</cdr:y>
    </cdr:from>
    <cdr:to>
      <cdr:x>0.00581</cdr:x>
      <cdr:y>0.0088</cdr:y>
    </cdr:to>
    <cdr:sp macro="" textlink="Lesnoff!$A$62:$A$62">
      <cdr:nvSpPr>
        <cdr:cNvPr id="8202" name="wbgrtzqmh"/>
        <cdr:cNvSpPr txBox="1">
          <a:spLocks xmlns:a="http://schemas.openxmlformats.org/drawingml/2006/main" noChangeArrowheads="1" noTextEdit="1"/>
        </cdr:cNvSpPr>
      </cdr:nvSpPr>
      <cdr:spPr bwMode="auto">
        <a:xfrm xmlns:a="http://schemas.openxmlformats.org/drawingml/2006/main">
          <a:off x="50800" y="50800"/>
          <a:ext cx="0" cy="0"/>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fld id="{8470AB9A-E220-40D5-9DB6-4A531DC7B7A9}" type="TxLink">
            <a:rPr lang="fr-BE" sz="1000" b="0" i="0" u="none" strike="noStrike">
              <a:solidFill>
                <a:srgbClr val="000000"/>
              </a:solidFill>
              <a:latin typeface="Arial"/>
              <a:cs typeface="Arial"/>
            </a:rPr>
            <a:pPr algn="l" rtl="0">
              <a:defRPr sz="1000"/>
            </a:pPr>
            <a:t> </a:t>
          </a:fld>
          <a:endParaRPr lang="fr-BE" sz="1000" b="0" i="0" strike="noStrike">
            <a:solidFill>
              <a:srgbClr val="000000"/>
            </a:solidFill>
            <a:latin typeface="Arial"/>
            <a:cs typeface="Arial"/>
          </a:endParaRPr>
        </a:p>
      </cdr:txBody>
    </cdr:sp>
  </cdr:relSizeAnchor>
  <cdr:relSizeAnchor xmlns:cdr="http://schemas.openxmlformats.org/drawingml/2006/chartDrawing">
    <cdr:from>
      <cdr:x>0.07223</cdr:x>
      <cdr:y>0.03372</cdr:y>
    </cdr:from>
    <cdr:to>
      <cdr:x>0.90899</cdr:x>
      <cdr:y>0.09901</cdr:y>
    </cdr:to>
    <cdr:sp macro="" textlink="Lesnoff!$C$3">
      <cdr:nvSpPr>
        <cdr:cNvPr id="3" name="TextBox 2"/>
        <cdr:cNvSpPr txBox="1"/>
      </cdr:nvSpPr>
      <cdr:spPr>
        <a:xfrm xmlns:a="http://schemas.openxmlformats.org/drawingml/2006/main">
          <a:off x="611493" y="186749"/>
          <a:ext cx="7084258" cy="361596"/>
        </a:xfrm>
        <a:prstGeom xmlns:a="http://schemas.openxmlformats.org/drawingml/2006/main" prst="rect">
          <a:avLst/>
        </a:prstGeom>
        <a:ln xmlns:a="http://schemas.openxmlformats.org/drawingml/2006/main">
          <a:solidFill>
            <a:srgbClr val="000080"/>
          </a:solidFill>
        </a:ln>
      </cdr:spPr>
      <cdr:txBody>
        <a:bodyPr xmlns:a="http://schemas.openxmlformats.org/drawingml/2006/main" vertOverflow="clip" wrap="none" rtlCol="0"/>
        <a:lstStyle xmlns:a="http://schemas.openxmlformats.org/drawingml/2006/main"/>
        <a:p xmlns:a="http://schemas.openxmlformats.org/drawingml/2006/main">
          <a:fld id="{91EAB017-B76D-498C-99CA-326737BF1109}" type="TxLink">
            <a:rPr lang="en-US" sz="1600" b="0" i="0" u="none" strike="noStrike">
              <a:solidFill>
                <a:srgbClr val="000000"/>
              </a:solidFill>
              <a:latin typeface="Arial"/>
              <a:cs typeface="Arial"/>
            </a:rPr>
            <a:pPr/>
            <a:t>Lesnoff</a:t>
          </a:fld>
          <a:endParaRPr lang="fr-BE" sz="1100"/>
        </a:p>
      </cdr:txBody>
    </cdr:sp>
  </cdr:relSizeAnchor>
</c:userShapes>
</file>

<file path=xl/drawings/drawing11.xml><?xml version="1.0" encoding="utf-8"?>
<xdr:wsDr xmlns:xdr="http://schemas.openxmlformats.org/drawingml/2006/spreadsheetDrawing" xmlns:a="http://schemas.openxmlformats.org/drawingml/2006/main">
  <xdr:twoCellAnchor>
    <xdr:from>
      <xdr:col>0</xdr:col>
      <xdr:colOff>198120</xdr:colOff>
      <xdr:row>27</xdr:row>
      <xdr:rowOff>144780</xdr:rowOff>
    </xdr:from>
    <xdr:to>
      <xdr:col>10</xdr:col>
      <xdr:colOff>746760</xdr:colOff>
      <xdr:row>58</xdr:row>
      <xdr:rowOff>99060</xdr:rowOff>
    </xdr:to>
    <xdr:graphicFrame macro="">
      <xdr:nvGraphicFramePr>
        <xdr:cNvPr id="2" name="Chart 2">
          <a:extLst>
            <a:ext uri="{FF2B5EF4-FFF2-40B4-BE49-F238E27FC236}">
              <a16:creationId xmlns:a16="http://schemas.microsoft.com/office/drawing/2014/main" id="{8CC77504-A3D6-4976-BCE9-1040DB2224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11</xdr:col>
      <xdr:colOff>350520</xdr:colOff>
      <xdr:row>18</xdr:row>
      <xdr:rowOff>106680</xdr:rowOff>
    </xdr:from>
    <xdr:to>
      <xdr:col>18</xdr:col>
      <xdr:colOff>598714</xdr:colOff>
      <xdr:row>35</xdr:row>
      <xdr:rowOff>137160</xdr:rowOff>
    </xdr:to>
    <xdr:graphicFrame macro="">
      <xdr:nvGraphicFramePr>
        <xdr:cNvPr id="3" name="Chart 3">
          <a:extLst>
            <a:ext uri="{FF2B5EF4-FFF2-40B4-BE49-F238E27FC236}">
              <a16:creationId xmlns:a16="http://schemas.microsoft.com/office/drawing/2014/main" id="{92488915-EB14-495E-8B41-CD56B5CEF4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342900</xdr:colOff>
      <xdr:row>0</xdr:row>
      <xdr:rowOff>266700</xdr:rowOff>
    </xdr:from>
    <xdr:to>
      <xdr:col>18</xdr:col>
      <xdr:colOff>601980</xdr:colOff>
      <xdr:row>17</xdr:row>
      <xdr:rowOff>167640</xdr:rowOff>
    </xdr:to>
    <xdr:graphicFrame macro="">
      <xdr:nvGraphicFramePr>
        <xdr:cNvPr id="4" name="Chart 4">
          <a:extLst>
            <a:ext uri="{FF2B5EF4-FFF2-40B4-BE49-F238E27FC236}">
              <a16:creationId xmlns:a16="http://schemas.microsoft.com/office/drawing/2014/main" id="{1BE53386-C40B-419E-BB7B-41F65B982B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327660</xdr:colOff>
      <xdr:row>36</xdr:row>
      <xdr:rowOff>106680</xdr:rowOff>
    </xdr:from>
    <xdr:to>
      <xdr:col>19</xdr:col>
      <xdr:colOff>0</xdr:colOff>
      <xdr:row>52</xdr:row>
      <xdr:rowOff>91440</xdr:rowOff>
    </xdr:to>
    <xdr:graphicFrame macro="">
      <xdr:nvGraphicFramePr>
        <xdr:cNvPr id="5" name="Chart 5">
          <a:extLst>
            <a:ext uri="{FF2B5EF4-FFF2-40B4-BE49-F238E27FC236}">
              <a16:creationId xmlns:a16="http://schemas.microsoft.com/office/drawing/2014/main" id="{3499B8D7-B396-432B-BDA3-3084D9C2DE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5</xdr:col>
      <xdr:colOff>30787</xdr:colOff>
      <xdr:row>56</xdr:row>
      <xdr:rowOff>19820</xdr:rowOff>
    </xdr:from>
    <xdr:ext cx="2836238" cy="264560"/>
    <xdr:sp macro="" textlink="F62">
      <xdr:nvSpPr>
        <xdr:cNvPr id="6" name="TextBox 5">
          <a:extLst>
            <a:ext uri="{FF2B5EF4-FFF2-40B4-BE49-F238E27FC236}">
              <a16:creationId xmlns:a16="http://schemas.microsoft.com/office/drawing/2014/main" id="{3B415C5C-C870-4784-8030-1B8EBDA86A25}"/>
            </a:ext>
          </a:extLst>
        </xdr:cNvPr>
        <xdr:cNvSpPr txBox="1"/>
      </xdr:nvSpPr>
      <xdr:spPr>
        <a:xfrm>
          <a:off x="4012237" y="10840220"/>
          <a:ext cx="2836238" cy="264560"/>
        </a:xfrm>
        <a:prstGeom prst="rect">
          <a:avLst/>
        </a:prstGeom>
        <a:noFill/>
        <a:ln>
          <a:solidFill>
            <a:srgbClr val="000080"/>
          </a:solidFill>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fld id="{09913439-0203-4172-9411-EAD92432263A}" type="TxLink">
            <a:rPr lang="en-US" sz="1200" b="1" i="0" u="none" strike="noStrike">
              <a:solidFill>
                <a:srgbClr val="000000"/>
              </a:solidFill>
              <a:latin typeface="Arialri"/>
              <a:cs typeface="Arial"/>
            </a:rPr>
            <a:pPr/>
            <a:t>Roger</a:t>
          </a:fld>
          <a:endParaRPr lang="fr-BE" sz="1100"/>
        </a:p>
      </xdr:txBody>
    </xdr:sp>
    <xdr:clientData/>
  </xdr:oneCellAnchor>
  <xdr:oneCellAnchor>
    <xdr:from>
      <xdr:col>1</xdr:col>
      <xdr:colOff>528704</xdr:colOff>
      <xdr:row>37</xdr:row>
      <xdr:rowOff>135076</xdr:rowOff>
    </xdr:from>
    <xdr:ext cx="1480699" cy="278415"/>
    <xdr:sp macro="" textlink="D62">
      <xdr:nvSpPr>
        <xdr:cNvPr id="7" name="TextBox 6">
          <a:extLst>
            <a:ext uri="{FF2B5EF4-FFF2-40B4-BE49-F238E27FC236}">
              <a16:creationId xmlns:a16="http://schemas.microsoft.com/office/drawing/2014/main" id="{DA77634B-EA41-4640-8430-58E5DBBE7054}"/>
            </a:ext>
          </a:extLst>
        </xdr:cNvPr>
        <xdr:cNvSpPr txBox="1"/>
      </xdr:nvSpPr>
      <xdr:spPr>
        <a:xfrm>
          <a:off x="738254" y="7707451"/>
          <a:ext cx="1480699" cy="278415"/>
        </a:xfrm>
        <a:prstGeom prst="rect">
          <a:avLst/>
        </a:prstGeom>
        <a:noFill/>
        <a:ln>
          <a:solidFill>
            <a:srgbClr val="000080"/>
          </a:solidFill>
        </a:ln>
        <a:scene3d>
          <a:camera prst="orthographicFront">
            <a:rot lat="0" lon="0" rev="5400000"/>
          </a:camera>
          <a:lightRig rig="threePt" dir="t"/>
        </a:scene3d>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fld id="{790AF03A-9139-4535-8B6E-426918898A32}" type="TxLink">
            <a:rPr lang="en-US" sz="1200" b="1" i="0" u="none" strike="noStrike">
              <a:solidFill>
                <a:srgbClr val="000000"/>
              </a:solidFill>
              <a:latin typeface="Arialri"/>
              <a:cs typeface="Arial"/>
            </a:rPr>
            <a:pPr/>
            <a:t>REF</a:t>
          </a:fld>
          <a:endParaRPr lang="fr-BE" sz="1100"/>
        </a:p>
      </xdr:txBody>
    </xdr:sp>
    <xdr:clientData/>
  </xdr:oneCellAnchor>
</xdr:wsDr>
</file>

<file path=xl/drawings/drawing12.xml><?xml version="1.0" encoding="utf-8"?>
<c:userShapes xmlns:c="http://schemas.openxmlformats.org/drawingml/2006/chart">
  <cdr:relSizeAnchor xmlns:cdr="http://schemas.openxmlformats.org/drawingml/2006/chartDrawing">
    <cdr:from>
      <cdr:x>0.00581</cdr:x>
      <cdr:y>0.0088</cdr:y>
    </cdr:from>
    <cdr:to>
      <cdr:x>0.00581</cdr:x>
      <cdr:y>0.0088</cdr:y>
    </cdr:to>
    <cdr:sp macro="" textlink="Roger!$A$62:$A$62">
      <cdr:nvSpPr>
        <cdr:cNvPr id="8202" name="wbgrtzqmh"/>
        <cdr:cNvSpPr txBox="1">
          <a:spLocks xmlns:a="http://schemas.openxmlformats.org/drawingml/2006/main" noChangeArrowheads="1" noTextEdit="1"/>
        </cdr:cNvSpPr>
      </cdr:nvSpPr>
      <cdr:spPr bwMode="auto">
        <a:xfrm xmlns:a="http://schemas.openxmlformats.org/drawingml/2006/main">
          <a:off x="50800" y="50800"/>
          <a:ext cx="0" cy="0"/>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fld id="{8470AB9A-E220-40D5-9DB6-4A531DC7B7A9}" type="TxLink">
            <a:rPr lang="fr-BE" sz="1000" b="0" i="0" u="none" strike="noStrike">
              <a:solidFill>
                <a:srgbClr val="000000"/>
              </a:solidFill>
              <a:latin typeface="Arial"/>
              <a:cs typeface="Arial"/>
            </a:rPr>
            <a:pPr algn="l" rtl="0">
              <a:defRPr sz="1000"/>
            </a:pPr>
            <a:t> </a:t>
          </a:fld>
          <a:endParaRPr lang="fr-BE" sz="1000" b="0" i="0" strike="noStrike">
            <a:solidFill>
              <a:srgbClr val="000000"/>
            </a:solidFill>
            <a:latin typeface="Arial"/>
            <a:cs typeface="Arial"/>
          </a:endParaRPr>
        </a:p>
      </cdr:txBody>
    </cdr:sp>
  </cdr:relSizeAnchor>
  <cdr:relSizeAnchor xmlns:cdr="http://schemas.openxmlformats.org/drawingml/2006/chartDrawing">
    <cdr:from>
      <cdr:x>0.07223</cdr:x>
      <cdr:y>0.03372</cdr:y>
    </cdr:from>
    <cdr:to>
      <cdr:x>0.90899</cdr:x>
      <cdr:y>0.09901</cdr:y>
    </cdr:to>
    <cdr:sp macro="" textlink="Roger!$C$3">
      <cdr:nvSpPr>
        <cdr:cNvPr id="3" name="TextBox 2"/>
        <cdr:cNvSpPr txBox="1"/>
      </cdr:nvSpPr>
      <cdr:spPr>
        <a:xfrm xmlns:a="http://schemas.openxmlformats.org/drawingml/2006/main">
          <a:off x="611493" y="186749"/>
          <a:ext cx="7084258" cy="361596"/>
        </a:xfrm>
        <a:prstGeom xmlns:a="http://schemas.openxmlformats.org/drawingml/2006/main" prst="rect">
          <a:avLst/>
        </a:prstGeom>
        <a:ln xmlns:a="http://schemas.openxmlformats.org/drawingml/2006/main">
          <a:solidFill>
            <a:srgbClr val="000080"/>
          </a:solidFill>
        </a:ln>
      </cdr:spPr>
      <cdr:txBody>
        <a:bodyPr xmlns:a="http://schemas.openxmlformats.org/drawingml/2006/main" vertOverflow="clip" wrap="none" rtlCol="0"/>
        <a:lstStyle xmlns:a="http://schemas.openxmlformats.org/drawingml/2006/main"/>
        <a:p xmlns:a="http://schemas.openxmlformats.org/drawingml/2006/main">
          <a:fld id="{91EAB017-B76D-498C-99CA-326737BF1109}" type="TxLink">
            <a:rPr lang="en-US" sz="1600" b="0" i="0" u="none" strike="noStrike">
              <a:solidFill>
                <a:srgbClr val="000000"/>
              </a:solidFill>
              <a:latin typeface="Arial"/>
              <a:cs typeface="Arial"/>
            </a:rPr>
            <a:pPr/>
            <a:t>Roger</a:t>
          </a:fld>
          <a:endParaRPr lang="fr-BE" sz="1100"/>
        </a:p>
      </cdr:txBody>
    </cdr:sp>
  </cdr:relSizeAnchor>
</c:userShapes>
</file>

<file path=xl/drawings/drawing13.xml><?xml version="1.0" encoding="utf-8"?>
<xdr:wsDr xmlns:xdr="http://schemas.openxmlformats.org/drawingml/2006/spreadsheetDrawing" xmlns:a="http://schemas.openxmlformats.org/drawingml/2006/main">
  <xdr:twoCellAnchor>
    <xdr:from>
      <xdr:col>0</xdr:col>
      <xdr:colOff>198120</xdr:colOff>
      <xdr:row>27</xdr:row>
      <xdr:rowOff>144780</xdr:rowOff>
    </xdr:from>
    <xdr:to>
      <xdr:col>10</xdr:col>
      <xdr:colOff>746760</xdr:colOff>
      <xdr:row>58</xdr:row>
      <xdr:rowOff>99060</xdr:rowOff>
    </xdr:to>
    <xdr:graphicFrame macro="">
      <xdr:nvGraphicFramePr>
        <xdr:cNvPr id="2" name="Chart 2">
          <a:extLst>
            <a:ext uri="{FF2B5EF4-FFF2-40B4-BE49-F238E27FC236}">
              <a16:creationId xmlns:a16="http://schemas.microsoft.com/office/drawing/2014/main" id="{5DCEA3CB-7DC9-4F43-91C6-849E604CF6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11</xdr:col>
      <xdr:colOff>350520</xdr:colOff>
      <xdr:row>18</xdr:row>
      <xdr:rowOff>106680</xdr:rowOff>
    </xdr:from>
    <xdr:to>
      <xdr:col>18</xdr:col>
      <xdr:colOff>598714</xdr:colOff>
      <xdr:row>35</xdr:row>
      <xdr:rowOff>137160</xdr:rowOff>
    </xdr:to>
    <xdr:graphicFrame macro="">
      <xdr:nvGraphicFramePr>
        <xdr:cNvPr id="3" name="Chart 3">
          <a:extLst>
            <a:ext uri="{FF2B5EF4-FFF2-40B4-BE49-F238E27FC236}">
              <a16:creationId xmlns:a16="http://schemas.microsoft.com/office/drawing/2014/main" id="{96D25FB2-7A3E-4BCC-8750-DFBDF25243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342900</xdr:colOff>
      <xdr:row>0</xdr:row>
      <xdr:rowOff>266700</xdr:rowOff>
    </xdr:from>
    <xdr:to>
      <xdr:col>18</xdr:col>
      <xdr:colOff>601980</xdr:colOff>
      <xdr:row>17</xdr:row>
      <xdr:rowOff>167640</xdr:rowOff>
    </xdr:to>
    <xdr:graphicFrame macro="">
      <xdr:nvGraphicFramePr>
        <xdr:cNvPr id="4" name="Chart 4">
          <a:extLst>
            <a:ext uri="{FF2B5EF4-FFF2-40B4-BE49-F238E27FC236}">
              <a16:creationId xmlns:a16="http://schemas.microsoft.com/office/drawing/2014/main" id="{EEEAAEA1-FA63-48A8-88C4-6AC4F891BF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327660</xdr:colOff>
      <xdr:row>36</xdr:row>
      <xdr:rowOff>106680</xdr:rowOff>
    </xdr:from>
    <xdr:to>
      <xdr:col>19</xdr:col>
      <xdr:colOff>0</xdr:colOff>
      <xdr:row>52</xdr:row>
      <xdr:rowOff>91440</xdr:rowOff>
    </xdr:to>
    <xdr:graphicFrame macro="">
      <xdr:nvGraphicFramePr>
        <xdr:cNvPr id="5" name="Chart 5">
          <a:extLst>
            <a:ext uri="{FF2B5EF4-FFF2-40B4-BE49-F238E27FC236}">
              <a16:creationId xmlns:a16="http://schemas.microsoft.com/office/drawing/2014/main" id="{C888F362-DE03-4CF9-BCD9-50EED9EEFA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5</xdr:col>
      <xdr:colOff>30787</xdr:colOff>
      <xdr:row>56</xdr:row>
      <xdr:rowOff>19820</xdr:rowOff>
    </xdr:from>
    <xdr:ext cx="2836238" cy="264560"/>
    <xdr:sp macro="" textlink="F62">
      <xdr:nvSpPr>
        <xdr:cNvPr id="6" name="TextBox 5">
          <a:extLst>
            <a:ext uri="{FF2B5EF4-FFF2-40B4-BE49-F238E27FC236}">
              <a16:creationId xmlns:a16="http://schemas.microsoft.com/office/drawing/2014/main" id="{B9204D38-A828-4B1B-AE6A-2D08E5E01A1F}"/>
            </a:ext>
          </a:extLst>
        </xdr:cNvPr>
        <xdr:cNvSpPr txBox="1"/>
      </xdr:nvSpPr>
      <xdr:spPr>
        <a:xfrm>
          <a:off x="4012237" y="10840220"/>
          <a:ext cx="2836238" cy="264560"/>
        </a:xfrm>
        <a:prstGeom prst="rect">
          <a:avLst/>
        </a:prstGeom>
        <a:noFill/>
        <a:ln>
          <a:solidFill>
            <a:srgbClr val="000080"/>
          </a:solidFill>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fld id="{09913439-0203-4172-9411-EAD92432263A}" type="TxLink">
            <a:rPr lang="en-US" sz="1200" b="1" i="0" u="none" strike="noStrike">
              <a:solidFill>
                <a:srgbClr val="000000"/>
              </a:solidFill>
              <a:latin typeface="Arialri"/>
              <a:cs typeface="Arial"/>
            </a:rPr>
            <a:pPr/>
            <a:t>Lucas D</a:t>
          </a:fld>
          <a:endParaRPr lang="fr-BE" sz="1100"/>
        </a:p>
      </xdr:txBody>
    </xdr:sp>
    <xdr:clientData/>
  </xdr:oneCellAnchor>
  <xdr:oneCellAnchor>
    <xdr:from>
      <xdr:col>1</xdr:col>
      <xdr:colOff>528704</xdr:colOff>
      <xdr:row>37</xdr:row>
      <xdr:rowOff>135076</xdr:rowOff>
    </xdr:from>
    <xdr:ext cx="1480699" cy="278415"/>
    <xdr:sp macro="" textlink="D62">
      <xdr:nvSpPr>
        <xdr:cNvPr id="7" name="TextBox 6">
          <a:extLst>
            <a:ext uri="{FF2B5EF4-FFF2-40B4-BE49-F238E27FC236}">
              <a16:creationId xmlns:a16="http://schemas.microsoft.com/office/drawing/2014/main" id="{9964A2CE-9216-437C-A4D1-7DEFD4A1DDF1}"/>
            </a:ext>
          </a:extLst>
        </xdr:cNvPr>
        <xdr:cNvSpPr txBox="1"/>
      </xdr:nvSpPr>
      <xdr:spPr>
        <a:xfrm>
          <a:off x="738254" y="7707451"/>
          <a:ext cx="1480699" cy="278415"/>
        </a:xfrm>
        <a:prstGeom prst="rect">
          <a:avLst/>
        </a:prstGeom>
        <a:noFill/>
        <a:ln>
          <a:solidFill>
            <a:srgbClr val="000080"/>
          </a:solidFill>
        </a:ln>
        <a:scene3d>
          <a:camera prst="orthographicFront">
            <a:rot lat="0" lon="0" rev="5400000"/>
          </a:camera>
          <a:lightRig rig="threePt" dir="t"/>
        </a:scene3d>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fld id="{790AF03A-9139-4535-8B6E-426918898A32}" type="TxLink">
            <a:rPr lang="en-US" sz="1200" b="1" i="0" u="none" strike="noStrike">
              <a:solidFill>
                <a:srgbClr val="000000"/>
              </a:solidFill>
              <a:latin typeface="Arialri"/>
              <a:cs typeface="Arial"/>
            </a:rPr>
            <a:pPr/>
            <a:t>REF</a:t>
          </a:fld>
          <a:endParaRPr lang="fr-BE" sz="1100"/>
        </a:p>
      </xdr:txBody>
    </xdr:sp>
    <xdr:clientData/>
  </xdr:oneCellAnchor>
</xdr:wsDr>
</file>

<file path=xl/drawings/drawing14.xml><?xml version="1.0" encoding="utf-8"?>
<c:userShapes xmlns:c="http://schemas.openxmlformats.org/drawingml/2006/chart">
  <cdr:relSizeAnchor xmlns:cdr="http://schemas.openxmlformats.org/drawingml/2006/chartDrawing">
    <cdr:from>
      <cdr:x>0.00581</cdr:x>
      <cdr:y>0.0088</cdr:y>
    </cdr:from>
    <cdr:to>
      <cdr:x>0.00581</cdr:x>
      <cdr:y>0.0088</cdr:y>
    </cdr:to>
    <cdr:sp macro="" textlink="Dansler!$A$62:$A$62">
      <cdr:nvSpPr>
        <cdr:cNvPr id="8202" name="wbgrtzqmh"/>
        <cdr:cNvSpPr txBox="1">
          <a:spLocks xmlns:a="http://schemas.openxmlformats.org/drawingml/2006/main" noChangeArrowheads="1" noTextEdit="1"/>
        </cdr:cNvSpPr>
      </cdr:nvSpPr>
      <cdr:spPr bwMode="auto">
        <a:xfrm xmlns:a="http://schemas.openxmlformats.org/drawingml/2006/main">
          <a:off x="50800" y="50800"/>
          <a:ext cx="0" cy="0"/>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fld id="{8470AB9A-E220-40D5-9DB6-4A531DC7B7A9}" type="TxLink">
            <a:rPr lang="fr-BE" sz="1000" b="0" i="0" u="none" strike="noStrike">
              <a:solidFill>
                <a:srgbClr val="000000"/>
              </a:solidFill>
              <a:latin typeface="Arial"/>
              <a:cs typeface="Arial"/>
            </a:rPr>
            <a:pPr algn="l" rtl="0">
              <a:defRPr sz="1000"/>
            </a:pPr>
            <a:t> </a:t>
          </a:fld>
          <a:endParaRPr lang="fr-BE" sz="1000" b="0" i="0" strike="noStrike">
            <a:solidFill>
              <a:srgbClr val="000000"/>
            </a:solidFill>
            <a:latin typeface="Arial"/>
            <a:cs typeface="Arial"/>
          </a:endParaRPr>
        </a:p>
      </cdr:txBody>
    </cdr:sp>
  </cdr:relSizeAnchor>
  <cdr:relSizeAnchor xmlns:cdr="http://schemas.openxmlformats.org/drawingml/2006/chartDrawing">
    <cdr:from>
      <cdr:x>0.07223</cdr:x>
      <cdr:y>0.03372</cdr:y>
    </cdr:from>
    <cdr:to>
      <cdr:x>0.90899</cdr:x>
      <cdr:y>0.09901</cdr:y>
    </cdr:to>
    <cdr:sp macro="" textlink="Dansler!$C$3">
      <cdr:nvSpPr>
        <cdr:cNvPr id="3" name="TextBox 2"/>
        <cdr:cNvSpPr txBox="1"/>
      </cdr:nvSpPr>
      <cdr:spPr>
        <a:xfrm xmlns:a="http://schemas.openxmlformats.org/drawingml/2006/main">
          <a:off x="611493" y="186749"/>
          <a:ext cx="7084258" cy="361596"/>
        </a:xfrm>
        <a:prstGeom xmlns:a="http://schemas.openxmlformats.org/drawingml/2006/main" prst="rect">
          <a:avLst/>
        </a:prstGeom>
        <a:ln xmlns:a="http://schemas.openxmlformats.org/drawingml/2006/main">
          <a:solidFill>
            <a:srgbClr val="000080"/>
          </a:solidFill>
        </a:ln>
      </cdr:spPr>
      <cdr:txBody>
        <a:bodyPr xmlns:a="http://schemas.openxmlformats.org/drawingml/2006/main" vertOverflow="clip" wrap="none" rtlCol="0"/>
        <a:lstStyle xmlns:a="http://schemas.openxmlformats.org/drawingml/2006/main"/>
        <a:p xmlns:a="http://schemas.openxmlformats.org/drawingml/2006/main">
          <a:fld id="{91EAB017-B76D-498C-99CA-326737BF1109}" type="TxLink">
            <a:rPr lang="en-US" sz="1600" b="0" i="0" u="none" strike="noStrike">
              <a:solidFill>
                <a:srgbClr val="000000"/>
              </a:solidFill>
              <a:latin typeface="Arial"/>
              <a:cs typeface="Arial"/>
            </a:rPr>
            <a:pPr/>
            <a:t>Dansler Lucas</a:t>
          </a:fld>
          <a:endParaRPr lang="fr-BE" sz="1100"/>
        </a:p>
      </cdr:txBody>
    </cdr:sp>
  </cdr:relSizeAnchor>
</c:userShapes>
</file>

<file path=xl/drawings/drawing15.xml><?xml version="1.0" encoding="utf-8"?>
<xdr:wsDr xmlns:xdr="http://schemas.openxmlformats.org/drawingml/2006/spreadsheetDrawing" xmlns:a="http://schemas.openxmlformats.org/drawingml/2006/main">
  <xdr:twoCellAnchor>
    <xdr:from>
      <xdr:col>0</xdr:col>
      <xdr:colOff>198120</xdr:colOff>
      <xdr:row>27</xdr:row>
      <xdr:rowOff>144780</xdr:rowOff>
    </xdr:from>
    <xdr:to>
      <xdr:col>10</xdr:col>
      <xdr:colOff>746760</xdr:colOff>
      <xdr:row>58</xdr:row>
      <xdr:rowOff>99060</xdr:rowOff>
    </xdr:to>
    <xdr:graphicFrame macro="">
      <xdr:nvGraphicFramePr>
        <xdr:cNvPr id="2" name="Chart 2">
          <a:extLst>
            <a:ext uri="{FF2B5EF4-FFF2-40B4-BE49-F238E27FC236}">
              <a16:creationId xmlns:a16="http://schemas.microsoft.com/office/drawing/2014/main" id="{2A4A6C58-68AE-4A6E-A6AE-596C49AE90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11</xdr:col>
      <xdr:colOff>350520</xdr:colOff>
      <xdr:row>18</xdr:row>
      <xdr:rowOff>106680</xdr:rowOff>
    </xdr:from>
    <xdr:to>
      <xdr:col>18</xdr:col>
      <xdr:colOff>598714</xdr:colOff>
      <xdr:row>35</xdr:row>
      <xdr:rowOff>137160</xdr:rowOff>
    </xdr:to>
    <xdr:graphicFrame macro="">
      <xdr:nvGraphicFramePr>
        <xdr:cNvPr id="3" name="Chart 3">
          <a:extLst>
            <a:ext uri="{FF2B5EF4-FFF2-40B4-BE49-F238E27FC236}">
              <a16:creationId xmlns:a16="http://schemas.microsoft.com/office/drawing/2014/main" id="{E1F8FD1C-47BA-403D-9D8A-8EAAE98E8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342900</xdr:colOff>
      <xdr:row>0</xdr:row>
      <xdr:rowOff>266700</xdr:rowOff>
    </xdr:from>
    <xdr:to>
      <xdr:col>18</xdr:col>
      <xdr:colOff>601980</xdr:colOff>
      <xdr:row>17</xdr:row>
      <xdr:rowOff>167640</xdr:rowOff>
    </xdr:to>
    <xdr:graphicFrame macro="">
      <xdr:nvGraphicFramePr>
        <xdr:cNvPr id="4" name="Chart 4">
          <a:extLst>
            <a:ext uri="{FF2B5EF4-FFF2-40B4-BE49-F238E27FC236}">
              <a16:creationId xmlns:a16="http://schemas.microsoft.com/office/drawing/2014/main" id="{720FAE3F-78B1-4CA2-B1CD-8A7BF58A78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327660</xdr:colOff>
      <xdr:row>36</xdr:row>
      <xdr:rowOff>106680</xdr:rowOff>
    </xdr:from>
    <xdr:to>
      <xdr:col>19</xdr:col>
      <xdr:colOff>0</xdr:colOff>
      <xdr:row>52</xdr:row>
      <xdr:rowOff>91440</xdr:rowOff>
    </xdr:to>
    <xdr:graphicFrame macro="">
      <xdr:nvGraphicFramePr>
        <xdr:cNvPr id="5" name="Chart 5">
          <a:extLst>
            <a:ext uri="{FF2B5EF4-FFF2-40B4-BE49-F238E27FC236}">
              <a16:creationId xmlns:a16="http://schemas.microsoft.com/office/drawing/2014/main" id="{76F72B43-4537-4861-8750-CA53053BD3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5</xdr:col>
      <xdr:colOff>30787</xdr:colOff>
      <xdr:row>56</xdr:row>
      <xdr:rowOff>19820</xdr:rowOff>
    </xdr:from>
    <xdr:ext cx="2836238" cy="264560"/>
    <xdr:sp macro="" textlink="F62">
      <xdr:nvSpPr>
        <xdr:cNvPr id="6" name="TextBox 5">
          <a:extLst>
            <a:ext uri="{FF2B5EF4-FFF2-40B4-BE49-F238E27FC236}">
              <a16:creationId xmlns:a16="http://schemas.microsoft.com/office/drawing/2014/main" id="{BB90A844-E86D-462F-A6C5-6B264C6A276A}"/>
            </a:ext>
          </a:extLst>
        </xdr:cNvPr>
        <xdr:cNvSpPr txBox="1"/>
      </xdr:nvSpPr>
      <xdr:spPr>
        <a:xfrm>
          <a:off x="4012237" y="10840220"/>
          <a:ext cx="2836238" cy="264560"/>
        </a:xfrm>
        <a:prstGeom prst="rect">
          <a:avLst/>
        </a:prstGeom>
        <a:noFill/>
        <a:ln>
          <a:solidFill>
            <a:srgbClr val="000080"/>
          </a:solidFill>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fld id="{09913439-0203-4172-9411-EAD92432263A}" type="TxLink">
            <a:rPr lang="en-US" sz="1200" b="1" i="0" u="none" strike="noStrike">
              <a:solidFill>
                <a:srgbClr val="000000"/>
              </a:solidFill>
              <a:latin typeface="Arialri"/>
              <a:cs typeface="Arial"/>
            </a:rPr>
            <a:pPr/>
            <a:t>Florent </a:t>
          </a:fld>
          <a:endParaRPr lang="fr-BE" sz="1100"/>
        </a:p>
      </xdr:txBody>
    </xdr:sp>
    <xdr:clientData/>
  </xdr:oneCellAnchor>
  <xdr:oneCellAnchor>
    <xdr:from>
      <xdr:col>1</xdr:col>
      <xdr:colOff>528704</xdr:colOff>
      <xdr:row>37</xdr:row>
      <xdr:rowOff>135076</xdr:rowOff>
    </xdr:from>
    <xdr:ext cx="1480699" cy="278415"/>
    <xdr:sp macro="" textlink="D62">
      <xdr:nvSpPr>
        <xdr:cNvPr id="7" name="TextBox 6">
          <a:extLst>
            <a:ext uri="{FF2B5EF4-FFF2-40B4-BE49-F238E27FC236}">
              <a16:creationId xmlns:a16="http://schemas.microsoft.com/office/drawing/2014/main" id="{A78FE00C-56F6-4B6B-91AF-1B7574263783}"/>
            </a:ext>
          </a:extLst>
        </xdr:cNvPr>
        <xdr:cNvSpPr txBox="1"/>
      </xdr:nvSpPr>
      <xdr:spPr>
        <a:xfrm>
          <a:off x="738254" y="7707451"/>
          <a:ext cx="1480699" cy="278415"/>
        </a:xfrm>
        <a:prstGeom prst="rect">
          <a:avLst/>
        </a:prstGeom>
        <a:noFill/>
        <a:ln>
          <a:solidFill>
            <a:srgbClr val="000080"/>
          </a:solidFill>
        </a:ln>
        <a:scene3d>
          <a:camera prst="orthographicFront">
            <a:rot lat="0" lon="0" rev="5400000"/>
          </a:camera>
          <a:lightRig rig="threePt" dir="t"/>
        </a:scene3d>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fld id="{790AF03A-9139-4535-8B6E-426918898A32}" type="TxLink">
            <a:rPr lang="en-US" sz="1200" b="1" i="0" u="none" strike="noStrike">
              <a:solidFill>
                <a:srgbClr val="000000"/>
              </a:solidFill>
              <a:latin typeface="Arialri"/>
              <a:cs typeface="Arial"/>
            </a:rPr>
            <a:pPr/>
            <a:t>REF</a:t>
          </a:fld>
          <a:endParaRPr lang="fr-BE" sz="1100"/>
        </a:p>
      </xdr:txBody>
    </xdr:sp>
    <xdr:clientData/>
  </xdr:oneCellAnchor>
</xdr:wsDr>
</file>

<file path=xl/drawings/drawing16.xml><?xml version="1.0" encoding="utf-8"?>
<c:userShapes xmlns:c="http://schemas.openxmlformats.org/drawingml/2006/chart">
  <cdr:relSizeAnchor xmlns:cdr="http://schemas.openxmlformats.org/drawingml/2006/chartDrawing">
    <cdr:from>
      <cdr:x>0.00581</cdr:x>
      <cdr:y>0.0088</cdr:y>
    </cdr:from>
    <cdr:to>
      <cdr:x>0.00581</cdr:x>
      <cdr:y>0.0088</cdr:y>
    </cdr:to>
    <cdr:sp macro="" textlink="'A Florent'!$A$62:$A$62">
      <cdr:nvSpPr>
        <cdr:cNvPr id="8202" name="wbgrtzqmh"/>
        <cdr:cNvSpPr txBox="1">
          <a:spLocks xmlns:a="http://schemas.openxmlformats.org/drawingml/2006/main" noChangeArrowheads="1" noTextEdit="1"/>
        </cdr:cNvSpPr>
      </cdr:nvSpPr>
      <cdr:spPr bwMode="auto">
        <a:xfrm xmlns:a="http://schemas.openxmlformats.org/drawingml/2006/main">
          <a:off x="50800" y="50800"/>
          <a:ext cx="0" cy="0"/>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fld id="{8470AB9A-E220-40D5-9DB6-4A531DC7B7A9}" type="TxLink">
            <a:rPr lang="fr-BE" sz="1000" b="0" i="0" u="none" strike="noStrike">
              <a:solidFill>
                <a:srgbClr val="000000"/>
              </a:solidFill>
              <a:latin typeface="Arial"/>
              <a:cs typeface="Arial"/>
            </a:rPr>
            <a:pPr algn="l" rtl="0">
              <a:defRPr sz="1000"/>
            </a:pPr>
            <a:t> </a:t>
          </a:fld>
          <a:endParaRPr lang="fr-BE" sz="1000" b="0" i="0" strike="noStrike">
            <a:solidFill>
              <a:srgbClr val="000000"/>
            </a:solidFill>
            <a:latin typeface="Arial"/>
            <a:cs typeface="Arial"/>
          </a:endParaRPr>
        </a:p>
      </cdr:txBody>
    </cdr:sp>
  </cdr:relSizeAnchor>
  <cdr:relSizeAnchor xmlns:cdr="http://schemas.openxmlformats.org/drawingml/2006/chartDrawing">
    <cdr:from>
      <cdr:x>0.07223</cdr:x>
      <cdr:y>0.03372</cdr:y>
    </cdr:from>
    <cdr:to>
      <cdr:x>0.90899</cdr:x>
      <cdr:y>0.09901</cdr:y>
    </cdr:to>
    <cdr:sp macro="" textlink="'A Florent'!$C$3">
      <cdr:nvSpPr>
        <cdr:cNvPr id="3" name="TextBox 2"/>
        <cdr:cNvSpPr txBox="1"/>
      </cdr:nvSpPr>
      <cdr:spPr>
        <a:xfrm xmlns:a="http://schemas.openxmlformats.org/drawingml/2006/main">
          <a:off x="611493" y="186749"/>
          <a:ext cx="7084258" cy="361596"/>
        </a:xfrm>
        <a:prstGeom xmlns:a="http://schemas.openxmlformats.org/drawingml/2006/main" prst="rect">
          <a:avLst/>
        </a:prstGeom>
        <a:ln xmlns:a="http://schemas.openxmlformats.org/drawingml/2006/main">
          <a:solidFill>
            <a:srgbClr val="000080"/>
          </a:solidFill>
        </a:ln>
      </cdr:spPr>
      <cdr:txBody>
        <a:bodyPr xmlns:a="http://schemas.openxmlformats.org/drawingml/2006/main" vertOverflow="clip" wrap="none" rtlCol="0"/>
        <a:lstStyle xmlns:a="http://schemas.openxmlformats.org/drawingml/2006/main"/>
        <a:p xmlns:a="http://schemas.openxmlformats.org/drawingml/2006/main">
          <a:fld id="{91EAB017-B76D-498C-99CA-326737BF1109}" type="TxLink">
            <a:rPr lang="en-US" sz="1600" b="0" i="0" u="none" strike="noStrike">
              <a:solidFill>
                <a:srgbClr val="000000"/>
              </a:solidFill>
              <a:latin typeface="Arial"/>
              <a:cs typeface="Arial"/>
            </a:rPr>
            <a:pPr/>
            <a:t>Abdelghafour Florent </a:t>
          </a:fld>
          <a:endParaRPr lang="fr-BE" sz="1100"/>
        </a:p>
      </cdr:txBody>
    </cdr:sp>
  </cdr:relSizeAnchor>
</c:userShapes>
</file>

<file path=xl/drawings/drawing17.xml><?xml version="1.0" encoding="utf-8"?>
<xdr:wsDr xmlns:xdr="http://schemas.openxmlformats.org/drawingml/2006/spreadsheetDrawing" xmlns:a="http://schemas.openxmlformats.org/drawingml/2006/main">
  <xdr:twoCellAnchor>
    <xdr:from>
      <xdr:col>0</xdr:col>
      <xdr:colOff>198120</xdr:colOff>
      <xdr:row>27</xdr:row>
      <xdr:rowOff>144780</xdr:rowOff>
    </xdr:from>
    <xdr:to>
      <xdr:col>10</xdr:col>
      <xdr:colOff>746760</xdr:colOff>
      <xdr:row>58</xdr:row>
      <xdr:rowOff>99060</xdr:rowOff>
    </xdr:to>
    <xdr:graphicFrame macro="">
      <xdr:nvGraphicFramePr>
        <xdr:cNvPr id="2" name="Chart 2">
          <a:extLst>
            <a:ext uri="{FF2B5EF4-FFF2-40B4-BE49-F238E27FC236}">
              <a16:creationId xmlns:a16="http://schemas.microsoft.com/office/drawing/2014/main" id="{1238F078-DBE8-4291-BB7E-35F1403931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11</xdr:col>
      <xdr:colOff>350520</xdr:colOff>
      <xdr:row>18</xdr:row>
      <xdr:rowOff>106680</xdr:rowOff>
    </xdr:from>
    <xdr:to>
      <xdr:col>18</xdr:col>
      <xdr:colOff>598714</xdr:colOff>
      <xdr:row>35</xdr:row>
      <xdr:rowOff>137160</xdr:rowOff>
    </xdr:to>
    <xdr:graphicFrame macro="">
      <xdr:nvGraphicFramePr>
        <xdr:cNvPr id="3" name="Chart 3">
          <a:extLst>
            <a:ext uri="{FF2B5EF4-FFF2-40B4-BE49-F238E27FC236}">
              <a16:creationId xmlns:a16="http://schemas.microsoft.com/office/drawing/2014/main" id="{467BC42E-43E0-4B40-A57C-4A949017F9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342900</xdr:colOff>
      <xdr:row>0</xdr:row>
      <xdr:rowOff>266700</xdr:rowOff>
    </xdr:from>
    <xdr:to>
      <xdr:col>18</xdr:col>
      <xdr:colOff>601980</xdr:colOff>
      <xdr:row>17</xdr:row>
      <xdr:rowOff>167640</xdr:rowOff>
    </xdr:to>
    <xdr:graphicFrame macro="">
      <xdr:nvGraphicFramePr>
        <xdr:cNvPr id="4" name="Chart 4">
          <a:extLst>
            <a:ext uri="{FF2B5EF4-FFF2-40B4-BE49-F238E27FC236}">
              <a16:creationId xmlns:a16="http://schemas.microsoft.com/office/drawing/2014/main" id="{59923034-8A6B-4798-9812-CDDD570CE2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327660</xdr:colOff>
      <xdr:row>36</xdr:row>
      <xdr:rowOff>106680</xdr:rowOff>
    </xdr:from>
    <xdr:to>
      <xdr:col>19</xdr:col>
      <xdr:colOff>0</xdr:colOff>
      <xdr:row>52</xdr:row>
      <xdr:rowOff>91440</xdr:rowOff>
    </xdr:to>
    <xdr:graphicFrame macro="">
      <xdr:nvGraphicFramePr>
        <xdr:cNvPr id="5" name="Chart 5">
          <a:extLst>
            <a:ext uri="{FF2B5EF4-FFF2-40B4-BE49-F238E27FC236}">
              <a16:creationId xmlns:a16="http://schemas.microsoft.com/office/drawing/2014/main" id="{1C692687-2DA4-4829-8226-DE76AA7C64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5</xdr:col>
      <xdr:colOff>30787</xdr:colOff>
      <xdr:row>56</xdr:row>
      <xdr:rowOff>19820</xdr:rowOff>
    </xdr:from>
    <xdr:ext cx="2836238" cy="264560"/>
    <xdr:sp macro="" textlink="F62">
      <xdr:nvSpPr>
        <xdr:cNvPr id="6" name="TextBox 5">
          <a:extLst>
            <a:ext uri="{FF2B5EF4-FFF2-40B4-BE49-F238E27FC236}">
              <a16:creationId xmlns:a16="http://schemas.microsoft.com/office/drawing/2014/main" id="{C1B269D8-2C68-4F21-944F-7456064E1993}"/>
            </a:ext>
          </a:extLst>
        </xdr:cNvPr>
        <xdr:cNvSpPr txBox="1"/>
      </xdr:nvSpPr>
      <xdr:spPr>
        <a:xfrm>
          <a:off x="4012237" y="10840220"/>
          <a:ext cx="2836238" cy="264560"/>
        </a:xfrm>
        <a:prstGeom prst="rect">
          <a:avLst/>
        </a:prstGeom>
        <a:noFill/>
        <a:ln>
          <a:solidFill>
            <a:srgbClr val="000080"/>
          </a:solidFill>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fld id="{09913439-0203-4172-9411-EAD92432263A}" type="TxLink">
            <a:rPr lang="en-US" sz="1200" b="1" i="0" u="none" strike="noStrike">
              <a:solidFill>
                <a:srgbClr val="000000"/>
              </a:solidFill>
              <a:latin typeface="Arialri"/>
              <a:cs typeface="Arial"/>
            </a:rPr>
            <a:pPr/>
            <a:t>Joris </a:t>
          </a:fld>
          <a:endParaRPr lang="fr-BE" sz="1100"/>
        </a:p>
      </xdr:txBody>
    </xdr:sp>
    <xdr:clientData/>
  </xdr:oneCellAnchor>
  <xdr:oneCellAnchor>
    <xdr:from>
      <xdr:col>1</xdr:col>
      <xdr:colOff>528704</xdr:colOff>
      <xdr:row>37</xdr:row>
      <xdr:rowOff>135076</xdr:rowOff>
    </xdr:from>
    <xdr:ext cx="1480699" cy="278415"/>
    <xdr:sp macro="" textlink="D62">
      <xdr:nvSpPr>
        <xdr:cNvPr id="7" name="TextBox 6">
          <a:extLst>
            <a:ext uri="{FF2B5EF4-FFF2-40B4-BE49-F238E27FC236}">
              <a16:creationId xmlns:a16="http://schemas.microsoft.com/office/drawing/2014/main" id="{AECD622A-9059-4A0C-A0BA-46D06B654BD3}"/>
            </a:ext>
          </a:extLst>
        </xdr:cNvPr>
        <xdr:cNvSpPr txBox="1"/>
      </xdr:nvSpPr>
      <xdr:spPr>
        <a:xfrm>
          <a:off x="738254" y="7707451"/>
          <a:ext cx="1480699" cy="278415"/>
        </a:xfrm>
        <a:prstGeom prst="rect">
          <a:avLst/>
        </a:prstGeom>
        <a:noFill/>
        <a:ln>
          <a:solidFill>
            <a:srgbClr val="000080"/>
          </a:solidFill>
        </a:ln>
        <a:scene3d>
          <a:camera prst="orthographicFront">
            <a:rot lat="0" lon="0" rev="5400000"/>
          </a:camera>
          <a:lightRig rig="threePt" dir="t"/>
        </a:scene3d>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fld id="{790AF03A-9139-4535-8B6E-426918898A32}" type="TxLink">
            <a:rPr lang="en-US" sz="1200" b="1" i="0" u="none" strike="noStrike">
              <a:solidFill>
                <a:srgbClr val="000000"/>
              </a:solidFill>
              <a:latin typeface="Arialri"/>
              <a:cs typeface="Arial"/>
            </a:rPr>
            <a:pPr/>
            <a:t>REF</a:t>
          </a:fld>
          <a:endParaRPr lang="fr-BE" sz="1100"/>
        </a:p>
      </xdr:txBody>
    </xdr:sp>
    <xdr:clientData/>
  </xdr:oneCellAnchor>
</xdr:wsDr>
</file>

<file path=xl/drawings/drawing18.xml><?xml version="1.0" encoding="utf-8"?>
<c:userShapes xmlns:c="http://schemas.openxmlformats.org/drawingml/2006/chart">
  <cdr:relSizeAnchor xmlns:cdr="http://schemas.openxmlformats.org/drawingml/2006/chartDrawing">
    <cdr:from>
      <cdr:x>0.00581</cdr:x>
      <cdr:y>0.0088</cdr:y>
    </cdr:from>
    <cdr:to>
      <cdr:x>0.00581</cdr:x>
      <cdr:y>0.0088</cdr:y>
    </cdr:to>
    <cdr:sp macro="" textlink="'Joris R'!$A$62:$A$62">
      <cdr:nvSpPr>
        <cdr:cNvPr id="8202" name="wbgrtzqmh"/>
        <cdr:cNvSpPr txBox="1">
          <a:spLocks xmlns:a="http://schemas.openxmlformats.org/drawingml/2006/main" noChangeArrowheads="1" noTextEdit="1"/>
        </cdr:cNvSpPr>
      </cdr:nvSpPr>
      <cdr:spPr bwMode="auto">
        <a:xfrm xmlns:a="http://schemas.openxmlformats.org/drawingml/2006/main">
          <a:off x="50800" y="50800"/>
          <a:ext cx="0" cy="0"/>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fld id="{8470AB9A-E220-40D5-9DB6-4A531DC7B7A9}" type="TxLink">
            <a:rPr lang="fr-BE" sz="1000" b="0" i="0" u="none" strike="noStrike">
              <a:solidFill>
                <a:srgbClr val="000000"/>
              </a:solidFill>
              <a:latin typeface="Arial"/>
              <a:cs typeface="Arial"/>
            </a:rPr>
            <a:pPr algn="l" rtl="0">
              <a:defRPr sz="1000"/>
            </a:pPr>
            <a:t> </a:t>
          </a:fld>
          <a:endParaRPr lang="fr-BE" sz="1000" b="0" i="0" strike="noStrike">
            <a:solidFill>
              <a:srgbClr val="000000"/>
            </a:solidFill>
            <a:latin typeface="Arial"/>
            <a:cs typeface="Arial"/>
          </a:endParaRPr>
        </a:p>
      </cdr:txBody>
    </cdr:sp>
  </cdr:relSizeAnchor>
  <cdr:relSizeAnchor xmlns:cdr="http://schemas.openxmlformats.org/drawingml/2006/chartDrawing">
    <cdr:from>
      <cdr:x>0.07223</cdr:x>
      <cdr:y>0.03372</cdr:y>
    </cdr:from>
    <cdr:to>
      <cdr:x>0.90899</cdr:x>
      <cdr:y>0.09901</cdr:y>
    </cdr:to>
    <cdr:sp macro="" textlink="'Joris R'!$C$3">
      <cdr:nvSpPr>
        <cdr:cNvPr id="3" name="TextBox 2"/>
        <cdr:cNvSpPr txBox="1"/>
      </cdr:nvSpPr>
      <cdr:spPr>
        <a:xfrm xmlns:a="http://schemas.openxmlformats.org/drawingml/2006/main">
          <a:off x="611493" y="186749"/>
          <a:ext cx="7084258" cy="361596"/>
        </a:xfrm>
        <a:prstGeom xmlns:a="http://schemas.openxmlformats.org/drawingml/2006/main" prst="rect">
          <a:avLst/>
        </a:prstGeom>
        <a:ln xmlns:a="http://schemas.openxmlformats.org/drawingml/2006/main">
          <a:solidFill>
            <a:srgbClr val="000080"/>
          </a:solidFill>
        </a:ln>
      </cdr:spPr>
      <cdr:txBody>
        <a:bodyPr xmlns:a="http://schemas.openxmlformats.org/drawingml/2006/main" vertOverflow="clip" wrap="none" rtlCol="0"/>
        <a:lstStyle xmlns:a="http://schemas.openxmlformats.org/drawingml/2006/main"/>
        <a:p xmlns:a="http://schemas.openxmlformats.org/drawingml/2006/main">
          <a:fld id="{91EAB017-B76D-498C-99CA-326737BF1109}" type="TxLink">
            <a:rPr lang="en-US" sz="1600" b="0" i="0" u="none" strike="noStrike">
              <a:solidFill>
                <a:srgbClr val="000000"/>
              </a:solidFill>
              <a:latin typeface="Arial"/>
              <a:cs typeface="Arial"/>
            </a:rPr>
            <a:pPr/>
            <a:t>Joris</a:t>
          </a:fld>
          <a:endParaRPr lang="fr-BE" sz="1100"/>
        </a:p>
      </cdr:txBody>
    </cdr:sp>
  </cdr:relSizeAnchor>
</c:userShapes>
</file>

<file path=xl/drawings/drawing19.xml><?xml version="1.0" encoding="utf-8"?>
<xdr:wsDr xmlns:xdr="http://schemas.openxmlformats.org/drawingml/2006/spreadsheetDrawing" xmlns:a="http://schemas.openxmlformats.org/drawingml/2006/main">
  <xdr:twoCellAnchor>
    <xdr:from>
      <xdr:col>0</xdr:col>
      <xdr:colOff>198120</xdr:colOff>
      <xdr:row>27</xdr:row>
      <xdr:rowOff>144780</xdr:rowOff>
    </xdr:from>
    <xdr:to>
      <xdr:col>10</xdr:col>
      <xdr:colOff>746760</xdr:colOff>
      <xdr:row>58</xdr:row>
      <xdr:rowOff>99060</xdr:rowOff>
    </xdr:to>
    <xdr:graphicFrame macro="">
      <xdr:nvGraphicFramePr>
        <xdr:cNvPr id="2" name="Chart 2">
          <a:extLst>
            <a:ext uri="{FF2B5EF4-FFF2-40B4-BE49-F238E27FC236}">
              <a16:creationId xmlns:a16="http://schemas.microsoft.com/office/drawing/2014/main" id="{232E2B6B-75FE-47AF-9FFB-B764024E36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11</xdr:col>
      <xdr:colOff>350520</xdr:colOff>
      <xdr:row>18</xdr:row>
      <xdr:rowOff>106680</xdr:rowOff>
    </xdr:from>
    <xdr:to>
      <xdr:col>18</xdr:col>
      <xdr:colOff>598714</xdr:colOff>
      <xdr:row>35</xdr:row>
      <xdr:rowOff>137160</xdr:rowOff>
    </xdr:to>
    <xdr:graphicFrame macro="">
      <xdr:nvGraphicFramePr>
        <xdr:cNvPr id="3" name="Chart 3">
          <a:extLst>
            <a:ext uri="{FF2B5EF4-FFF2-40B4-BE49-F238E27FC236}">
              <a16:creationId xmlns:a16="http://schemas.microsoft.com/office/drawing/2014/main" id="{EB8262B3-15F7-4827-BAD0-63E6F96BFE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342900</xdr:colOff>
      <xdr:row>0</xdr:row>
      <xdr:rowOff>266700</xdr:rowOff>
    </xdr:from>
    <xdr:to>
      <xdr:col>18</xdr:col>
      <xdr:colOff>601980</xdr:colOff>
      <xdr:row>17</xdr:row>
      <xdr:rowOff>167640</xdr:rowOff>
    </xdr:to>
    <xdr:graphicFrame macro="">
      <xdr:nvGraphicFramePr>
        <xdr:cNvPr id="4" name="Chart 4">
          <a:extLst>
            <a:ext uri="{FF2B5EF4-FFF2-40B4-BE49-F238E27FC236}">
              <a16:creationId xmlns:a16="http://schemas.microsoft.com/office/drawing/2014/main" id="{7037D92A-D70D-4CCE-9D2A-E02F76C27E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327660</xdr:colOff>
      <xdr:row>36</xdr:row>
      <xdr:rowOff>106680</xdr:rowOff>
    </xdr:from>
    <xdr:to>
      <xdr:col>19</xdr:col>
      <xdr:colOff>0</xdr:colOff>
      <xdr:row>52</xdr:row>
      <xdr:rowOff>91440</xdr:rowOff>
    </xdr:to>
    <xdr:graphicFrame macro="">
      <xdr:nvGraphicFramePr>
        <xdr:cNvPr id="5" name="Chart 5">
          <a:extLst>
            <a:ext uri="{FF2B5EF4-FFF2-40B4-BE49-F238E27FC236}">
              <a16:creationId xmlns:a16="http://schemas.microsoft.com/office/drawing/2014/main" id="{5D42325D-559E-45C7-91A2-A02DC3F0F2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5</xdr:col>
      <xdr:colOff>30787</xdr:colOff>
      <xdr:row>56</xdr:row>
      <xdr:rowOff>19820</xdr:rowOff>
    </xdr:from>
    <xdr:ext cx="2836238" cy="264560"/>
    <xdr:sp macro="" textlink="F62">
      <xdr:nvSpPr>
        <xdr:cNvPr id="6" name="TextBox 5">
          <a:extLst>
            <a:ext uri="{FF2B5EF4-FFF2-40B4-BE49-F238E27FC236}">
              <a16:creationId xmlns:a16="http://schemas.microsoft.com/office/drawing/2014/main" id="{CC0D44C1-571C-4103-AABD-3BF277ABCE0B}"/>
            </a:ext>
          </a:extLst>
        </xdr:cNvPr>
        <xdr:cNvSpPr txBox="1"/>
      </xdr:nvSpPr>
      <xdr:spPr>
        <a:xfrm>
          <a:off x="4130347" y="10893560"/>
          <a:ext cx="2836238" cy="264560"/>
        </a:xfrm>
        <a:prstGeom prst="rect">
          <a:avLst/>
        </a:prstGeom>
        <a:noFill/>
        <a:ln>
          <a:solidFill>
            <a:srgbClr val="000080"/>
          </a:solidFill>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fld id="{09913439-0203-4172-9411-EAD92432263A}" type="TxLink">
            <a:rPr lang="en-US" sz="1200" b="1" i="0" u="none" strike="noStrike">
              <a:solidFill>
                <a:srgbClr val="000000"/>
              </a:solidFill>
              <a:latin typeface="Arialri"/>
              <a:cs typeface="Arial"/>
            </a:rPr>
            <a:pPr/>
            <a:t>Pierre</a:t>
          </a:fld>
          <a:endParaRPr lang="fr-BE" sz="1100"/>
        </a:p>
      </xdr:txBody>
    </xdr:sp>
    <xdr:clientData/>
  </xdr:oneCellAnchor>
  <xdr:oneCellAnchor>
    <xdr:from>
      <xdr:col>1</xdr:col>
      <xdr:colOff>528704</xdr:colOff>
      <xdr:row>37</xdr:row>
      <xdr:rowOff>135076</xdr:rowOff>
    </xdr:from>
    <xdr:ext cx="1480699" cy="278415"/>
    <xdr:sp macro="" textlink="D62">
      <xdr:nvSpPr>
        <xdr:cNvPr id="7" name="TextBox 6">
          <a:extLst>
            <a:ext uri="{FF2B5EF4-FFF2-40B4-BE49-F238E27FC236}">
              <a16:creationId xmlns:a16="http://schemas.microsoft.com/office/drawing/2014/main" id="{47B2E1C6-102C-4557-A6A8-98F230A601A9}"/>
            </a:ext>
          </a:extLst>
        </xdr:cNvPr>
        <xdr:cNvSpPr txBox="1"/>
      </xdr:nvSpPr>
      <xdr:spPr>
        <a:xfrm>
          <a:off x="742064" y="7686496"/>
          <a:ext cx="1480699" cy="278415"/>
        </a:xfrm>
        <a:prstGeom prst="rect">
          <a:avLst/>
        </a:prstGeom>
        <a:noFill/>
        <a:ln>
          <a:solidFill>
            <a:srgbClr val="000080"/>
          </a:solidFill>
        </a:ln>
        <a:scene3d>
          <a:camera prst="orthographicFront">
            <a:rot lat="0" lon="0" rev="5400000"/>
          </a:camera>
          <a:lightRig rig="threePt" dir="t"/>
        </a:scene3d>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fld id="{790AF03A-9139-4535-8B6E-426918898A32}" type="TxLink">
            <a:rPr lang="en-US" sz="1200" b="1" i="0" u="none" strike="noStrike">
              <a:solidFill>
                <a:srgbClr val="000000"/>
              </a:solidFill>
              <a:latin typeface="Arialri"/>
              <a:cs typeface="Arial"/>
            </a:rPr>
            <a:pPr/>
            <a:t>REF</a:t>
          </a:fld>
          <a:endParaRPr lang="fr-BE" sz="1100"/>
        </a:p>
      </xdr:txBody>
    </xdr:sp>
    <xdr:clientData/>
  </xdr:oneCellAnchor>
</xdr:wsDr>
</file>

<file path=xl/drawings/drawing20.xml><?xml version="1.0" encoding="utf-8"?>
<c:userShapes xmlns:c="http://schemas.openxmlformats.org/drawingml/2006/chart">
  <cdr:relSizeAnchor xmlns:cdr="http://schemas.openxmlformats.org/drawingml/2006/chartDrawing">
    <cdr:from>
      <cdr:x>0.00581</cdr:x>
      <cdr:y>0.0088</cdr:y>
    </cdr:from>
    <cdr:to>
      <cdr:x>0.00581</cdr:x>
      <cdr:y>0.0088</cdr:y>
    </cdr:to>
    <cdr:sp macro="" textlink="pierre!$A$62:$A$62">
      <cdr:nvSpPr>
        <cdr:cNvPr id="8202" name="wbgrtzqmh"/>
        <cdr:cNvSpPr txBox="1">
          <a:spLocks xmlns:a="http://schemas.openxmlformats.org/drawingml/2006/main" noChangeArrowheads="1" noTextEdit="1"/>
        </cdr:cNvSpPr>
      </cdr:nvSpPr>
      <cdr:spPr bwMode="auto">
        <a:xfrm xmlns:a="http://schemas.openxmlformats.org/drawingml/2006/main">
          <a:off x="50800" y="50800"/>
          <a:ext cx="0" cy="0"/>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fld id="{8470AB9A-E220-40D5-9DB6-4A531DC7B7A9}" type="TxLink">
            <a:rPr lang="fr-BE" sz="1000" b="0" i="0" u="none" strike="noStrike">
              <a:solidFill>
                <a:srgbClr val="000000"/>
              </a:solidFill>
              <a:latin typeface="Arial"/>
              <a:cs typeface="Arial"/>
            </a:rPr>
            <a:pPr algn="l" rtl="0">
              <a:defRPr sz="1000"/>
            </a:pPr>
            <a:t> </a:t>
          </a:fld>
          <a:endParaRPr lang="fr-BE" sz="1000" b="0" i="0" strike="noStrike">
            <a:solidFill>
              <a:srgbClr val="000000"/>
            </a:solidFill>
            <a:latin typeface="Arial"/>
            <a:cs typeface="Arial"/>
          </a:endParaRPr>
        </a:p>
      </cdr:txBody>
    </cdr:sp>
  </cdr:relSizeAnchor>
  <cdr:relSizeAnchor xmlns:cdr="http://schemas.openxmlformats.org/drawingml/2006/chartDrawing">
    <cdr:from>
      <cdr:x>0.07223</cdr:x>
      <cdr:y>0.03372</cdr:y>
    </cdr:from>
    <cdr:to>
      <cdr:x>0.90899</cdr:x>
      <cdr:y>0.09901</cdr:y>
    </cdr:to>
    <cdr:sp macro="" textlink="pierre!$C$3">
      <cdr:nvSpPr>
        <cdr:cNvPr id="3" name="TextBox 2"/>
        <cdr:cNvSpPr txBox="1"/>
      </cdr:nvSpPr>
      <cdr:spPr>
        <a:xfrm xmlns:a="http://schemas.openxmlformats.org/drawingml/2006/main">
          <a:off x="611493" y="186749"/>
          <a:ext cx="7084258" cy="361596"/>
        </a:xfrm>
        <a:prstGeom xmlns:a="http://schemas.openxmlformats.org/drawingml/2006/main" prst="rect">
          <a:avLst/>
        </a:prstGeom>
        <a:ln xmlns:a="http://schemas.openxmlformats.org/drawingml/2006/main">
          <a:solidFill>
            <a:srgbClr val="000080"/>
          </a:solidFill>
        </a:ln>
      </cdr:spPr>
      <cdr:txBody>
        <a:bodyPr xmlns:a="http://schemas.openxmlformats.org/drawingml/2006/main" vertOverflow="clip" wrap="none" rtlCol="0"/>
        <a:lstStyle xmlns:a="http://schemas.openxmlformats.org/drawingml/2006/main"/>
        <a:p xmlns:a="http://schemas.openxmlformats.org/drawingml/2006/main">
          <a:fld id="{91EAB017-B76D-498C-99CA-326737BF1109}" type="TxLink">
            <a:rPr lang="en-US" sz="1600" b="0" i="0" u="none" strike="noStrike">
              <a:solidFill>
                <a:srgbClr val="000000"/>
              </a:solidFill>
              <a:latin typeface="Arial"/>
              <a:cs typeface="Arial"/>
            </a:rPr>
            <a:pPr/>
            <a:t>pierre</a:t>
          </a:fld>
          <a:endParaRPr lang="fr-BE" sz="1100"/>
        </a:p>
      </cdr:txBody>
    </cdr:sp>
  </cdr:relSizeAnchor>
</c:userShapes>
</file>

<file path=xl/drawings/drawing21.xml><?xml version="1.0" encoding="utf-8"?>
<xdr:wsDr xmlns:xdr="http://schemas.openxmlformats.org/drawingml/2006/spreadsheetDrawing" xmlns:a="http://schemas.openxmlformats.org/drawingml/2006/main">
  <xdr:twoCellAnchor>
    <xdr:from>
      <xdr:col>0</xdr:col>
      <xdr:colOff>198120</xdr:colOff>
      <xdr:row>27</xdr:row>
      <xdr:rowOff>144780</xdr:rowOff>
    </xdr:from>
    <xdr:to>
      <xdr:col>10</xdr:col>
      <xdr:colOff>746760</xdr:colOff>
      <xdr:row>58</xdr:row>
      <xdr:rowOff>99060</xdr:rowOff>
    </xdr:to>
    <xdr:graphicFrame macro="">
      <xdr:nvGraphicFramePr>
        <xdr:cNvPr id="2" name="Chart 2">
          <a:extLst>
            <a:ext uri="{FF2B5EF4-FFF2-40B4-BE49-F238E27FC236}">
              <a16:creationId xmlns:a16="http://schemas.microsoft.com/office/drawing/2014/main" id="{E1169FD9-D2F0-49DB-A4C2-D2F3FF4CB1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11</xdr:col>
      <xdr:colOff>350520</xdr:colOff>
      <xdr:row>18</xdr:row>
      <xdr:rowOff>106680</xdr:rowOff>
    </xdr:from>
    <xdr:to>
      <xdr:col>18</xdr:col>
      <xdr:colOff>598714</xdr:colOff>
      <xdr:row>35</xdr:row>
      <xdr:rowOff>137160</xdr:rowOff>
    </xdr:to>
    <xdr:graphicFrame macro="">
      <xdr:nvGraphicFramePr>
        <xdr:cNvPr id="3" name="Chart 3">
          <a:extLst>
            <a:ext uri="{FF2B5EF4-FFF2-40B4-BE49-F238E27FC236}">
              <a16:creationId xmlns:a16="http://schemas.microsoft.com/office/drawing/2014/main" id="{74ADE8C4-1B7A-4877-BEED-D7B992DF2C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342900</xdr:colOff>
      <xdr:row>0</xdr:row>
      <xdr:rowOff>266700</xdr:rowOff>
    </xdr:from>
    <xdr:to>
      <xdr:col>18</xdr:col>
      <xdr:colOff>601980</xdr:colOff>
      <xdr:row>17</xdr:row>
      <xdr:rowOff>167640</xdr:rowOff>
    </xdr:to>
    <xdr:graphicFrame macro="">
      <xdr:nvGraphicFramePr>
        <xdr:cNvPr id="4" name="Chart 4">
          <a:extLst>
            <a:ext uri="{FF2B5EF4-FFF2-40B4-BE49-F238E27FC236}">
              <a16:creationId xmlns:a16="http://schemas.microsoft.com/office/drawing/2014/main" id="{3428A680-AEF9-4661-A6EF-067B291ACA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327660</xdr:colOff>
      <xdr:row>36</xdr:row>
      <xdr:rowOff>106680</xdr:rowOff>
    </xdr:from>
    <xdr:to>
      <xdr:col>19</xdr:col>
      <xdr:colOff>0</xdr:colOff>
      <xdr:row>52</xdr:row>
      <xdr:rowOff>91440</xdr:rowOff>
    </xdr:to>
    <xdr:graphicFrame macro="">
      <xdr:nvGraphicFramePr>
        <xdr:cNvPr id="5" name="Chart 5">
          <a:extLst>
            <a:ext uri="{FF2B5EF4-FFF2-40B4-BE49-F238E27FC236}">
              <a16:creationId xmlns:a16="http://schemas.microsoft.com/office/drawing/2014/main" id="{F38FC7A2-1B6F-4E30-AB41-BD9F7A34EC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5</xdr:col>
      <xdr:colOff>30787</xdr:colOff>
      <xdr:row>56</xdr:row>
      <xdr:rowOff>19820</xdr:rowOff>
    </xdr:from>
    <xdr:ext cx="2836238" cy="264560"/>
    <xdr:sp macro="" textlink="F62">
      <xdr:nvSpPr>
        <xdr:cNvPr id="6" name="TextBox 5">
          <a:extLst>
            <a:ext uri="{FF2B5EF4-FFF2-40B4-BE49-F238E27FC236}">
              <a16:creationId xmlns:a16="http://schemas.microsoft.com/office/drawing/2014/main" id="{1236B28E-0F1D-40F5-B33F-BE7556CB21B9}"/>
            </a:ext>
          </a:extLst>
        </xdr:cNvPr>
        <xdr:cNvSpPr txBox="1"/>
      </xdr:nvSpPr>
      <xdr:spPr>
        <a:xfrm>
          <a:off x="4130347" y="10893560"/>
          <a:ext cx="2836238" cy="264560"/>
        </a:xfrm>
        <a:prstGeom prst="rect">
          <a:avLst/>
        </a:prstGeom>
        <a:noFill/>
        <a:ln>
          <a:solidFill>
            <a:srgbClr val="000080"/>
          </a:solidFill>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fld id="{09913439-0203-4172-9411-EAD92432263A}" type="TxLink">
            <a:rPr lang="en-US" sz="1200" b="1" i="0" u="none" strike="noStrike">
              <a:solidFill>
                <a:srgbClr val="000000"/>
              </a:solidFill>
              <a:latin typeface="Arialri"/>
              <a:cs typeface="Arial"/>
            </a:rPr>
            <a:pPr/>
            <a:t>mark w</a:t>
          </a:fld>
          <a:endParaRPr lang="fr-BE" sz="1100"/>
        </a:p>
      </xdr:txBody>
    </xdr:sp>
    <xdr:clientData/>
  </xdr:oneCellAnchor>
  <xdr:oneCellAnchor>
    <xdr:from>
      <xdr:col>1</xdr:col>
      <xdr:colOff>528704</xdr:colOff>
      <xdr:row>37</xdr:row>
      <xdr:rowOff>135076</xdr:rowOff>
    </xdr:from>
    <xdr:ext cx="1480699" cy="278415"/>
    <xdr:sp macro="" textlink="D62">
      <xdr:nvSpPr>
        <xdr:cNvPr id="7" name="TextBox 6">
          <a:extLst>
            <a:ext uri="{FF2B5EF4-FFF2-40B4-BE49-F238E27FC236}">
              <a16:creationId xmlns:a16="http://schemas.microsoft.com/office/drawing/2014/main" id="{6039359B-1000-482B-B2A1-ACEBBF0387C5}"/>
            </a:ext>
          </a:extLst>
        </xdr:cNvPr>
        <xdr:cNvSpPr txBox="1"/>
      </xdr:nvSpPr>
      <xdr:spPr>
        <a:xfrm>
          <a:off x="742064" y="7686496"/>
          <a:ext cx="1480699" cy="278415"/>
        </a:xfrm>
        <a:prstGeom prst="rect">
          <a:avLst/>
        </a:prstGeom>
        <a:noFill/>
        <a:ln>
          <a:solidFill>
            <a:srgbClr val="000080"/>
          </a:solidFill>
        </a:ln>
        <a:scene3d>
          <a:camera prst="orthographicFront">
            <a:rot lat="0" lon="0" rev="5400000"/>
          </a:camera>
          <a:lightRig rig="threePt" dir="t"/>
        </a:scene3d>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fld id="{790AF03A-9139-4535-8B6E-426918898A32}" type="TxLink">
            <a:rPr lang="en-US" sz="1200" b="1" i="0" u="none" strike="noStrike">
              <a:solidFill>
                <a:srgbClr val="000000"/>
              </a:solidFill>
              <a:latin typeface="Arialri"/>
              <a:cs typeface="Arial"/>
            </a:rPr>
            <a:pPr/>
            <a:t>REF</a:t>
          </a:fld>
          <a:endParaRPr lang="fr-BE" sz="1100"/>
        </a:p>
      </xdr:txBody>
    </xdr:sp>
    <xdr:clientData/>
  </xdr:oneCellAnchor>
</xdr:wsDr>
</file>

<file path=xl/drawings/drawing22.xml><?xml version="1.0" encoding="utf-8"?>
<c:userShapes xmlns:c="http://schemas.openxmlformats.org/drawingml/2006/chart">
  <cdr:relSizeAnchor xmlns:cdr="http://schemas.openxmlformats.org/drawingml/2006/chartDrawing">
    <cdr:from>
      <cdr:x>0.00581</cdr:x>
      <cdr:y>0.0088</cdr:y>
    </cdr:from>
    <cdr:to>
      <cdr:x>0.00581</cdr:x>
      <cdr:y>0.0088</cdr:y>
    </cdr:to>
    <cdr:sp macro="" textlink="mark!$A$62:$A$62">
      <cdr:nvSpPr>
        <cdr:cNvPr id="8202" name="wbgrtzqmh"/>
        <cdr:cNvSpPr txBox="1">
          <a:spLocks xmlns:a="http://schemas.openxmlformats.org/drawingml/2006/main" noChangeArrowheads="1" noTextEdit="1"/>
        </cdr:cNvSpPr>
      </cdr:nvSpPr>
      <cdr:spPr bwMode="auto">
        <a:xfrm xmlns:a="http://schemas.openxmlformats.org/drawingml/2006/main">
          <a:off x="50800" y="50800"/>
          <a:ext cx="0" cy="0"/>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fld id="{8470AB9A-E220-40D5-9DB6-4A531DC7B7A9}" type="TxLink">
            <a:rPr lang="fr-BE" sz="1000" b="0" i="0" u="none" strike="noStrike">
              <a:solidFill>
                <a:srgbClr val="000000"/>
              </a:solidFill>
              <a:latin typeface="Arial"/>
              <a:cs typeface="Arial"/>
            </a:rPr>
            <a:pPr algn="l" rtl="0">
              <a:defRPr sz="1000"/>
            </a:pPr>
            <a:t> </a:t>
          </a:fld>
          <a:endParaRPr lang="fr-BE" sz="1000" b="0" i="0" strike="noStrike">
            <a:solidFill>
              <a:srgbClr val="000000"/>
            </a:solidFill>
            <a:latin typeface="Arial"/>
            <a:cs typeface="Arial"/>
          </a:endParaRPr>
        </a:p>
      </cdr:txBody>
    </cdr:sp>
  </cdr:relSizeAnchor>
  <cdr:relSizeAnchor xmlns:cdr="http://schemas.openxmlformats.org/drawingml/2006/chartDrawing">
    <cdr:from>
      <cdr:x>0.07223</cdr:x>
      <cdr:y>0.03372</cdr:y>
    </cdr:from>
    <cdr:to>
      <cdr:x>0.90899</cdr:x>
      <cdr:y>0.09901</cdr:y>
    </cdr:to>
    <cdr:sp macro="" textlink="mark!$C$3">
      <cdr:nvSpPr>
        <cdr:cNvPr id="3" name="TextBox 2"/>
        <cdr:cNvSpPr txBox="1"/>
      </cdr:nvSpPr>
      <cdr:spPr>
        <a:xfrm xmlns:a="http://schemas.openxmlformats.org/drawingml/2006/main">
          <a:off x="611493" y="186749"/>
          <a:ext cx="7084258" cy="361596"/>
        </a:xfrm>
        <a:prstGeom xmlns:a="http://schemas.openxmlformats.org/drawingml/2006/main" prst="rect">
          <a:avLst/>
        </a:prstGeom>
        <a:ln xmlns:a="http://schemas.openxmlformats.org/drawingml/2006/main">
          <a:solidFill>
            <a:srgbClr val="000080"/>
          </a:solidFill>
        </a:ln>
      </cdr:spPr>
      <cdr:txBody>
        <a:bodyPr xmlns:a="http://schemas.openxmlformats.org/drawingml/2006/main" vertOverflow="clip" wrap="none" rtlCol="0"/>
        <a:lstStyle xmlns:a="http://schemas.openxmlformats.org/drawingml/2006/main"/>
        <a:p xmlns:a="http://schemas.openxmlformats.org/drawingml/2006/main">
          <a:fld id="{91EAB017-B76D-498C-99CA-326737BF1109}" type="TxLink">
            <a:rPr lang="en-US" sz="1600" b="0" i="0" u="none" strike="noStrike">
              <a:solidFill>
                <a:srgbClr val="000000"/>
              </a:solidFill>
              <a:latin typeface="Arial"/>
              <a:cs typeface="Arial"/>
            </a:rPr>
            <a:pPr/>
            <a:t>mark w </a:t>
          </a:fld>
          <a:endParaRPr lang="fr-BE" sz="1100"/>
        </a:p>
      </cdr:txBody>
    </cdr:sp>
  </cdr:relSizeAnchor>
</c:userShapes>
</file>

<file path=xl/drawings/drawing23.xml><?xml version="1.0" encoding="utf-8"?>
<xdr:wsDr xmlns:xdr="http://schemas.openxmlformats.org/drawingml/2006/spreadsheetDrawing" xmlns:a="http://schemas.openxmlformats.org/drawingml/2006/main">
  <xdr:twoCellAnchor>
    <xdr:from>
      <xdr:col>0</xdr:col>
      <xdr:colOff>198120</xdr:colOff>
      <xdr:row>27</xdr:row>
      <xdr:rowOff>144780</xdr:rowOff>
    </xdr:from>
    <xdr:to>
      <xdr:col>10</xdr:col>
      <xdr:colOff>746760</xdr:colOff>
      <xdr:row>58</xdr:row>
      <xdr:rowOff>99060</xdr:rowOff>
    </xdr:to>
    <xdr:graphicFrame macro="">
      <xdr:nvGraphicFramePr>
        <xdr:cNvPr id="2" name="Chart 2">
          <a:extLst>
            <a:ext uri="{FF2B5EF4-FFF2-40B4-BE49-F238E27FC236}">
              <a16:creationId xmlns:a16="http://schemas.microsoft.com/office/drawing/2014/main" id="{145E8E07-0DA8-4DDE-B3B7-F9AE7F4370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11</xdr:col>
      <xdr:colOff>350520</xdr:colOff>
      <xdr:row>18</xdr:row>
      <xdr:rowOff>106680</xdr:rowOff>
    </xdr:from>
    <xdr:to>
      <xdr:col>18</xdr:col>
      <xdr:colOff>598714</xdr:colOff>
      <xdr:row>35</xdr:row>
      <xdr:rowOff>137160</xdr:rowOff>
    </xdr:to>
    <xdr:graphicFrame macro="">
      <xdr:nvGraphicFramePr>
        <xdr:cNvPr id="3" name="Chart 3">
          <a:extLst>
            <a:ext uri="{FF2B5EF4-FFF2-40B4-BE49-F238E27FC236}">
              <a16:creationId xmlns:a16="http://schemas.microsoft.com/office/drawing/2014/main" id="{C9A74A53-7583-48B2-A238-3C9187361D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342900</xdr:colOff>
      <xdr:row>0</xdr:row>
      <xdr:rowOff>266700</xdr:rowOff>
    </xdr:from>
    <xdr:to>
      <xdr:col>18</xdr:col>
      <xdr:colOff>601980</xdr:colOff>
      <xdr:row>17</xdr:row>
      <xdr:rowOff>167640</xdr:rowOff>
    </xdr:to>
    <xdr:graphicFrame macro="">
      <xdr:nvGraphicFramePr>
        <xdr:cNvPr id="4" name="Chart 4">
          <a:extLst>
            <a:ext uri="{FF2B5EF4-FFF2-40B4-BE49-F238E27FC236}">
              <a16:creationId xmlns:a16="http://schemas.microsoft.com/office/drawing/2014/main" id="{E6F2B2BE-CAE1-4DB3-846F-9D4C3A82A7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327660</xdr:colOff>
      <xdr:row>36</xdr:row>
      <xdr:rowOff>106680</xdr:rowOff>
    </xdr:from>
    <xdr:to>
      <xdr:col>19</xdr:col>
      <xdr:colOff>0</xdr:colOff>
      <xdr:row>52</xdr:row>
      <xdr:rowOff>91440</xdr:rowOff>
    </xdr:to>
    <xdr:graphicFrame macro="">
      <xdr:nvGraphicFramePr>
        <xdr:cNvPr id="5" name="Chart 5">
          <a:extLst>
            <a:ext uri="{FF2B5EF4-FFF2-40B4-BE49-F238E27FC236}">
              <a16:creationId xmlns:a16="http://schemas.microsoft.com/office/drawing/2014/main" id="{72B5E781-EFBA-47AE-8948-6E0DC47CB2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5</xdr:col>
      <xdr:colOff>30787</xdr:colOff>
      <xdr:row>56</xdr:row>
      <xdr:rowOff>19820</xdr:rowOff>
    </xdr:from>
    <xdr:ext cx="2836238" cy="264560"/>
    <xdr:sp macro="" textlink="F62">
      <xdr:nvSpPr>
        <xdr:cNvPr id="6" name="TextBox 5">
          <a:extLst>
            <a:ext uri="{FF2B5EF4-FFF2-40B4-BE49-F238E27FC236}">
              <a16:creationId xmlns:a16="http://schemas.microsoft.com/office/drawing/2014/main" id="{41CB02AB-9B45-4AEE-9579-54C90EE718BE}"/>
            </a:ext>
          </a:extLst>
        </xdr:cNvPr>
        <xdr:cNvSpPr txBox="1"/>
      </xdr:nvSpPr>
      <xdr:spPr>
        <a:xfrm>
          <a:off x="4130347" y="10893560"/>
          <a:ext cx="2836238" cy="264560"/>
        </a:xfrm>
        <a:prstGeom prst="rect">
          <a:avLst/>
        </a:prstGeom>
        <a:noFill/>
        <a:ln>
          <a:solidFill>
            <a:srgbClr val="000080"/>
          </a:solidFill>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fld id="{09913439-0203-4172-9411-EAD92432263A}" type="TxLink">
            <a:rPr lang="en-US" sz="1200" b="1" i="0" u="none" strike="noStrike">
              <a:solidFill>
                <a:srgbClr val="000000"/>
              </a:solidFill>
              <a:latin typeface="Arialri"/>
              <a:cs typeface="Arial"/>
            </a:rPr>
            <a:pPr/>
            <a:t>doug</a:t>
          </a:fld>
          <a:endParaRPr lang="fr-BE" sz="1100"/>
        </a:p>
      </xdr:txBody>
    </xdr:sp>
    <xdr:clientData/>
  </xdr:oneCellAnchor>
  <xdr:oneCellAnchor>
    <xdr:from>
      <xdr:col>1</xdr:col>
      <xdr:colOff>528704</xdr:colOff>
      <xdr:row>37</xdr:row>
      <xdr:rowOff>135076</xdr:rowOff>
    </xdr:from>
    <xdr:ext cx="1480699" cy="278415"/>
    <xdr:sp macro="" textlink="D62">
      <xdr:nvSpPr>
        <xdr:cNvPr id="7" name="TextBox 6">
          <a:extLst>
            <a:ext uri="{FF2B5EF4-FFF2-40B4-BE49-F238E27FC236}">
              <a16:creationId xmlns:a16="http://schemas.microsoft.com/office/drawing/2014/main" id="{7D739820-0575-430E-BD75-5C1D582B6F41}"/>
            </a:ext>
          </a:extLst>
        </xdr:cNvPr>
        <xdr:cNvSpPr txBox="1"/>
      </xdr:nvSpPr>
      <xdr:spPr>
        <a:xfrm>
          <a:off x="742064" y="7686496"/>
          <a:ext cx="1480699" cy="278415"/>
        </a:xfrm>
        <a:prstGeom prst="rect">
          <a:avLst/>
        </a:prstGeom>
        <a:noFill/>
        <a:ln>
          <a:solidFill>
            <a:srgbClr val="000080"/>
          </a:solidFill>
        </a:ln>
        <a:scene3d>
          <a:camera prst="orthographicFront">
            <a:rot lat="0" lon="0" rev="5400000"/>
          </a:camera>
          <a:lightRig rig="threePt" dir="t"/>
        </a:scene3d>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fld id="{790AF03A-9139-4535-8B6E-426918898A32}" type="TxLink">
            <a:rPr lang="en-US" sz="1200" b="1" i="0" u="none" strike="noStrike">
              <a:solidFill>
                <a:srgbClr val="000000"/>
              </a:solidFill>
              <a:latin typeface="Arialri"/>
              <a:cs typeface="Arial"/>
            </a:rPr>
            <a:pPr/>
            <a:t>REF</a:t>
          </a:fld>
          <a:endParaRPr lang="fr-BE" sz="1100"/>
        </a:p>
      </xdr:txBody>
    </xdr:sp>
    <xdr:clientData/>
  </xdr:oneCellAnchor>
</xdr:wsDr>
</file>

<file path=xl/drawings/drawing24.xml><?xml version="1.0" encoding="utf-8"?>
<c:userShapes xmlns:c="http://schemas.openxmlformats.org/drawingml/2006/chart">
  <cdr:relSizeAnchor xmlns:cdr="http://schemas.openxmlformats.org/drawingml/2006/chartDrawing">
    <cdr:from>
      <cdr:x>0.00581</cdr:x>
      <cdr:y>0.0088</cdr:y>
    </cdr:from>
    <cdr:to>
      <cdr:x>0.00581</cdr:x>
      <cdr:y>0.0088</cdr:y>
    </cdr:to>
    <cdr:sp macro="" textlink="doug!$A$62:$A$62">
      <cdr:nvSpPr>
        <cdr:cNvPr id="8202" name="wbgrtzqmh"/>
        <cdr:cNvSpPr txBox="1">
          <a:spLocks xmlns:a="http://schemas.openxmlformats.org/drawingml/2006/main" noChangeArrowheads="1" noTextEdit="1"/>
        </cdr:cNvSpPr>
      </cdr:nvSpPr>
      <cdr:spPr bwMode="auto">
        <a:xfrm xmlns:a="http://schemas.openxmlformats.org/drawingml/2006/main">
          <a:off x="50800" y="50800"/>
          <a:ext cx="0" cy="0"/>
        </a:xfrm>
        <a:prstGeom xmlns:a="http://schemas.openxmlformats.org/drawingml/2006/main" prst="rect">
          <a:avLst/>
        </a:prstGeom>
        <a:noFill xmlns:a="http://schemas.openxmlformats.org/drawingml/2006/main"/>
        <a:ln xmlns:a="http://schemas.openxmlformats.org/drawingml/2006/main" w="1">
          <a:noFill/>
          <a:miter lim="800000"/>
          <a:headEnd/>
          <a:tailEnd/>
        </a:ln>
        <a:effectLst xmlns:a="http://schemas.openxmlformats.org/drawingml/2006/mai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fld id="{8470AB9A-E220-40D5-9DB6-4A531DC7B7A9}" type="TxLink">
            <a:rPr lang="fr-BE" sz="1000" b="0" i="0" u="none" strike="noStrike">
              <a:solidFill>
                <a:srgbClr val="000000"/>
              </a:solidFill>
              <a:latin typeface="Arial"/>
              <a:cs typeface="Arial"/>
            </a:rPr>
            <a:pPr algn="l" rtl="0">
              <a:defRPr sz="1000"/>
            </a:pPr>
            <a:t> </a:t>
          </a:fld>
          <a:endParaRPr lang="fr-BE" sz="1000" b="0" i="0" strike="noStrike">
            <a:solidFill>
              <a:srgbClr val="000000"/>
            </a:solidFill>
            <a:latin typeface="Arial"/>
            <a:cs typeface="Arial"/>
          </a:endParaRPr>
        </a:p>
      </cdr:txBody>
    </cdr:sp>
  </cdr:relSizeAnchor>
  <cdr:relSizeAnchor xmlns:cdr="http://schemas.openxmlformats.org/drawingml/2006/chartDrawing">
    <cdr:from>
      <cdr:x>0.07223</cdr:x>
      <cdr:y>0.03372</cdr:y>
    </cdr:from>
    <cdr:to>
      <cdr:x>0.90899</cdr:x>
      <cdr:y>0.09901</cdr:y>
    </cdr:to>
    <cdr:sp macro="" textlink="doug!$C$3">
      <cdr:nvSpPr>
        <cdr:cNvPr id="3" name="TextBox 2"/>
        <cdr:cNvSpPr txBox="1"/>
      </cdr:nvSpPr>
      <cdr:spPr>
        <a:xfrm xmlns:a="http://schemas.openxmlformats.org/drawingml/2006/main">
          <a:off x="611493" y="186749"/>
          <a:ext cx="7084258" cy="361596"/>
        </a:xfrm>
        <a:prstGeom xmlns:a="http://schemas.openxmlformats.org/drawingml/2006/main" prst="rect">
          <a:avLst/>
        </a:prstGeom>
        <a:ln xmlns:a="http://schemas.openxmlformats.org/drawingml/2006/main">
          <a:solidFill>
            <a:srgbClr val="000080"/>
          </a:solidFill>
        </a:ln>
      </cdr:spPr>
      <cdr:txBody>
        <a:bodyPr xmlns:a="http://schemas.openxmlformats.org/drawingml/2006/main" vertOverflow="clip" wrap="none" rtlCol="0"/>
        <a:lstStyle xmlns:a="http://schemas.openxmlformats.org/drawingml/2006/main"/>
        <a:p xmlns:a="http://schemas.openxmlformats.org/drawingml/2006/main">
          <a:fld id="{91EAB017-B76D-498C-99CA-326737BF1109}" type="TxLink">
            <a:rPr lang="en-US" sz="1600" b="0" i="0" u="none" strike="noStrike">
              <a:solidFill>
                <a:srgbClr val="000000"/>
              </a:solidFill>
              <a:latin typeface="Arial"/>
              <a:cs typeface="Arial"/>
            </a:rPr>
            <a:pPr/>
            <a:t>Doug Rutledge</a:t>
          </a:fld>
          <a:endParaRPr lang="fr-BE" sz="1100"/>
        </a:p>
      </cdr:txBody>
    </cdr:sp>
  </cdr:relSizeAnchor>
</c:userShap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FA7DD35-B6FE-4CCF-9171-371577B24079}" name="Table2234210" displayName="Table2234210" ref="B62:W142" totalsRowShown="0" headerRowDxfId="346" dataDxfId="345">
  <sortState xmlns:xlrd2="http://schemas.microsoft.com/office/spreadsheetml/2017/richdata2" ref="B63:W67">
    <sortCondition ref="C63:C67"/>
  </sortState>
  <tableColumns count="22">
    <tableColumn id="1" xr3:uid="{7B47D7D2-699E-4EBA-9474-E93246ECFD2A}" name="Position" dataDxfId="344" totalsRowDxfId="343">
      <calculatedColumnFormula>VALUE((Table2234210[[#This Row],[Column3]]-62))</calculatedColumnFormula>
    </tableColumn>
    <tableColumn id="2" xr3:uid="{07F2D70D-94BB-4E46-990C-3890C839D034}" name="SN" dataDxfId="342" totalsRowDxfId="341" dataCellStyle="Normal_Sheet1"/>
    <tableColumn id="3" xr3:uid="{030DA812-DBF3-470F-86CC-DB8A4078CF99}" name="REF" dataDxfId="340" dataCellStyle="Normal_Sheet1"/>
    <tableColumn id="4" xr3:uid="{C9E08459-46EF-4A75-9917-977670878F07}" name="Column1" dataDxfId="339"/>
    <tableColumn id="5" xr3:uid="{6A5CD5F4-827D-4B11-97E3-F7938A756D62}" name="Ypred" dataDxfId="338" dataCellStyle="Excel Built-in Normal"/>
    <tableColumn id="6" xr3:uid="{78ECAC84-D6E5-49B4-BFC0-D59FA910BB1F}" name="X-Y" dataDxfId="337">
      <calculatedColumnFormula>Table2234210[[#This Row],[Ypred]]-Table2234210[[#This Row],[REF]]</calculatedColumnFormula>
    </tableColumn>
    <tableColumn id="7" xr3:uid="{89133CF8-58AE-4A32-AB13-A8441050297F}" name="diff-bias" dataDxfId="336">
      <calculatedColumnFormula>Table2234210[[#This Row],[X-Y]]-E$20</calculatedColumnFormula>
    </tableColumn>
    <tableColumn id="8" xr3:uid="{70AB449E-B192-4DED-A92E-DA810251182C}" name="Xbiased" dataDxfId="335">
      <calculatedColumnFormula>Table2234210[[#This Row],[Ypred]]-E$20</calculatedColumnFormula>
    </tableColumn>
    <tableColumn id="9" xr3:uid="{DF7DFC27-D338-4E1B-954C-E0BE653AEC5C}" name="Yest" dataDxfId="334">
      <calculatedColumnFormula>Table2234210[[#This Row],[Ypred]]*E$21+E$22</calculatedColumnFormula>
    </tableColumn>
    <tableColumn id="18" xr3:uid="{3C632311-A938-4669-96A7-BC2D73580D90}" name="RESyx" dataDxfId="333">
      <calculatedColumnFormula>Table2234210[[#This Row],[Yest]]-Table2234210[[#This Row],[REF]]</calculatedColumnFormula>
    </tableColumn>
    <tableColumn id="19" xr3:uid="{A686ACF1-E64F-427E-8A81-0A1B9461CA0A}" name="Abs_erroryx" dataDxfId="332">
      <calculatedColumnFormula>ABS(Table2234210[[#This Row],[RESyx]])</calculatedColumnFormula>
    </tableColumn>
    <tableColumn id="10" xr3:uid="{0D987860-2E9E-481A-BB8C-BC9A94C918B6}" name="yest_rect" dataDxfId="331" totalsRowDxfId="330">
      <calculatedColumnFormula>Table2234210[[#This Row],[Ypred]]*E$25+E$26</calculatedColumnFormula>
    </tableColumn>
    <tableColumn id="11" xr3:uid="{78C7A7E4-35FB-4FCB-B133-B8C4E066C55D}" name="dif^2" dataDxfId="329">
      <calculatedColumnFormula>Table2234210[[#This Row],[X-Y]]^2</calculatedColumnFormula>
    </tableColumn>
    <tableColumn id="15" xr3:uid="{5C4C9EAF-4207-4FD7-BA64-8ADBF64E30FA}" name="dif rec" dataDxfId="328">
      <calculatedColumnFormula>Table2234210[[#This Row],[yest_rect]]-Table2234210[[#This Row],[REF]]</calculatedColumnFormula>
    </tableColumn>
    <tableColumn id="16" xr3:uid="{F7626B5E-DB96-428F-86AA-DA3D8E4D696A}" name="dif_rec^2" dataDxfId="327">
      <calculatedColumnFormula>Table2234210[[#This Row],[dif rec]]^2</calculatedColumnFormula>
    </tableColumn>
    <tableColumn id="12" xr3:uid="{349A7561-DAE0-4E1D-BAA4-8130EBB72317}" name="abs_errors" dataDxfId="326">
      <calculatedColumnFormula>ABS(Table2234210[[#This Row],[diff-bias]])</calculatedColumnFormula>
    </tableColumn>
    <tableColumn id="13" xr3:uid="{248DE792-E344-49D4-956A-7585C4BC238A}" name="Column3" dataDxfId="325">
      <calculatedColumnFormula>CELL("row",Table2234210[[#This Row],[Position]])</calculatedColumnFormula>
    </tableColumn>
    <tableColumn id="17" xr3:uid="{81FE6D60-A922-4805-AC22-6ECCBA555144}" name="lab-med" dataDxfId="324">
      <calculatedColumnFormula>Table2234210[[#This Row],[REF]]-D$13</calculatedColumnFormula>
    </tableColumn>
    <tableColumn id="20" xr3:uid="{E88A7BC4-840C-4D12-8D8B-D9860E3DDA45}" name="abs(lab)" dataDxfId="323">
      <calculatedColumnFormula>ABS(Table2234210[[#This Row],[lab-med]])</calculatedColumnFormula>
    </tableColumn>
    <tableColumn id="14" xr3:uid="{B86AF7C4-EAC2-45F0-BCDC-8C07442FB06D}" name="anl-med" dataDxfId="322">
      <calculatedColumnFormula>Table2234210[[#This Row],[Ypred]]-F$13</calculatedColumnFormula>
    </tableColumn>
    <tableColumn id="21" xr3:uid="{34099FAB-997F-419A-8E11-AFB23238D7F4}" name="abs(anl)" dataDxfId="321">
      <calculatedColumnFormula>ABS(Table2234210[[#This Row],[anl-med]])</calculatedColumnFormula>
    </tableColumn>
    <tableColumn id="22" xr3:uid="{BC93E787-7649-4AF4-AE0F-751EFA6D92BD}" name="Produits Lab x Anl" dataDxfId="320">
      <calculatedColumnFormula>Table2234210[[#This Row],[lab-med]]*Table2234210[[#This Row],[anl-med]]</calculatedColumnFormula>
    </tableColumn>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31FE67-AACB-4667-9284-D2661387833C}" name="Table22342102" displayName="Table22342102" ref="B62:W142" totalsRowShown="0" headerRowDxfId="317" dataDxfId="316">
  <sortState xmlns:xlrd2="http://schemas.microsoft.com/office/spreadsheetml/2017/richdata2" ref="B63:W67">
    <sortCondition ref="C63:C67"/>
  </sortState>
  <tableColumns count="22">
    <tableColumn id="1" xr3:uid="{1086304F-C9BE-44FF-9362-0E49DF433412}" name="Position" dataDxfId="315" totalsRowDxfId="314">
      <calculatedColumnFormula>VALUE((Table22342102[[#This Row],[Column3]]-62))</calculatedColumnFormula>
    </tableColumn>
    <tableColumn id="2" xr3:uid="{C5396311-4E42-46E8-AB03-A1E956554E66}" name="SN" dataDxfId="313" totalsRowDxfId="312" dataCellStyle="Normal_Sheet1"/>
    <tableColumn id="3" xr3:uid="{83C14E8D-C8D8-4E30-A68E-389272B7D014}" name="REF" dataDxfId="311" dataCellStyle="Normal_Sheet1"/>
    <tableColumn id="4" xr3:uid="{53F1E8C4-02F5-4A48-B8AB-9857AC62FD3C}" name="Column1" dataDxfId="310"/>
    <tableColumn id="5" xr3:uid="{17839DC3-CF72-4669-B252-E3DB2A331A9F}" name="Ypred" dataDxfId="309" dataCellStyle="Excel Built-in Normal"/>
    <tableColumn id="6" xr3:uid="{D6B71372-000E-44AE-AFD0-155F5293CF13}" name="X-Y" dataDxfId="308">
      <calculatedColumnFormula>Table22342102[[#This Row],[Ypred]]-Table22342102[[#This Row],[REF]]</calculatedColumnFormula>
    </tableColumn>
    <tableColumn id="7" xr3:uid="{73EA0396-0DEC-4FE0-8185-F1ACE14DEBA3}" name="diff-bias" dataDxfId="307">
      <calculatedColumnFormula>Table22342102[[#This Row],[X-Y]]-E$20</calculatedColumnFormula>
    </tableColumn>
    <tableColumn id="8" xr3:uid="{4778DC84-6EBE-4A14-BAFC-D8A5A591C60B}" name="Xbiased" dataDxfId="306">
      <calculatedColumnFormula>Table22342102[[#This Row],[Ypred]]-E$20</calculatedColumnFormula>
    </tableColumn>
    <tableColumn id="9" xr3:uid="{F1AB960C-9047-41EE-8CA4-C561B0FC0A46}" name="Yest" dataDxfId="305">
      <calculatedColumnFormula>Table22342102[[#This Row],[Ypred]]*E$21+E$22</calculatedColumnFormula>
    </tableColumn>
    <tableColumn id="18" xr3:uid="{0FB75161-2912-4863-B2EF-B57FABE5B88D}" name="RESyx" dataDxfId="304">
      <calculatedColumnFormula>Table22342102[[#This Row],[Yest]]-Table22342102[[#This Row],[REF]]</calculatedColumnFormula>
    </tableColumn>
    <tableColumn id="19" xr3:uid="{C14D6EC7-D0F7-4C02-A880-ACD689EF591A}" name="Abs_erroryx" dataDxfId="303">
      <calculatedColumnFormula>ABS(Table22342102[[#This Row],[RESyx]])</calculatedColumnFormula>
    </tableColumn>
    <tableColumn id="10" xr3:uid="{279386EA-7C0A-4C9A-9F75-CB40AAA46328}" name="yest_rect" dataDxfId="302" totalsRowDxfId="301">
      <calculatedColumnFormula>Table22342102[[#This Row],[Ypred]]*E$25+E$26</calculatedColumnFormula>
    </tableColumn>
    <tableColumn id="11" xr3:uid="{BE80257C-F569-417A-BC38-DDCCE717BD22}" name="dif^2" dataDxfId="300">
      <calculatedColumnFormula>Table22342102[[#This Row],[X-Y]]^2</calculatedColumnFormula>
    </tableColumn>
    <tableColumn id="15" xr3:uid="{0A18A67C-5A3F-454F-9BE1-0E5AFE36B551}" name="dif rec" dataDxfId="299">
      <calculatedColumnFormula>Table22342102[[#This Row],[yest_rect]]-Table22342102[[#This Row],[REF]]</calculatedColumnFormula>
    </tableColumn>
    <tableColumn id="16" xr3:uid="{8D50A0D7-A37A-43AA-B66F-936DEBFF19B3}" name="dif_rec^2" dataDxfId="298">
      <calculatedColumnFormula>Table22342102[[#This Row],[dif rec]]^2</calculatedColumnFormula>
    </tableColumn>
    <tableColumn id="12" xr3:uid="{7087AE96-186B-44BA-8CBD-5929F6302981}" name="abs_errors" dataDxfId="297">
      <calculatedColumnFormula>ABS(Table22342102[[#This Row],[diff-bias]])</calculatedColumnFormula>
    </tableColumn>
    <tableColumn id="13" xr3:uid="{F8F52235-392D-4220-A998-7B0915E5040E}" name="Column3" dataDxfId="296">
      <calculatedColumnFormula>CELL("row",Table22342102[[#This Row],[Position]])</calculatedColumnFormula>
    </tableColumn>
    <tableColumn id="17" xr3:uid="{51956FA1-6848-414C-9FD8-F0E15A9840AF}" name="lab-med" dataDxfId="295">
      <calculatedColumnFormula>Table22342102[[#This Row],[REF]]-D$13</calculatedColumnFormula>
    </tableColumn>
    <tableColumn id="20" xr3:uid="{0D78727F-3244-4EC8-8AF6-4CBFBCAD5234}" name="abs(lab)" dataDxfId="294">
      <calculatedColumnFormula>ABS(Table22342102[[#This Row],[lab-med]])</calculatedColumnFormula>
    </tableColumn>
    <tableColumn id="14" xr3:uid="{BD2AEBBB-D2DF-4C24-AD22-1C090A481C68}" name="anl-med" dataDxfId="293">
      <calculatedColumnFormula>Table22342102[[#This Row],[Ypred]]-F$13</calculatedColumnFormula>
    </tableColumn>
    <tableColumn id="21" xr3:uid="{3EC84CE5-55A4-4830-82F1-7493E403F192}" name="abs(anl)" dataDxfId="292">
      <calculatedColumnFormula>ABS(Table22342102[[#This Row],[anl-med]])</calculatedColumnFormula>
    </tableColumn>
    <tableColumn id="22" xr3:uid="{CEF0FF7E-F448-450F-87B6-C90EC2FC8BFD}" name="Produits Lab x Anl" dataDxfId="291">
      <calculatedColumnFormula>Table22342102[[#This Row],[lab-med]]*Table22342102[[#This Row],[anl-med]]</calculatedColumnFormula>
    </tableColumn>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935EA71-6C1B-4C57-B8D8-AC5EF4078C10}" name="Table223421023" displayName="Table223421023" ref="B62:W142" totalsRowShown="0" headerRowDxfId="288" dataDxfId="287">
  <sortState xmlns:xlrd2="http://schemas.microsoft.com/office/spreadsheetml/2017/richdata2" ref="B63:W67">
    <sortCondition ref="C63:C67"/>
  </sortState>
  <tableColumns count="22">
    <tableColumn id="1" xr3:uid="{2D5E12C3-B7F8-4E79-BE28-D0FE795FA4BB}" name="Position" dataDxfId="286" totalsRowDxfId="285">
      <calculatedColumnFormula>VALUE((Table223421023[[#This Row],[Column3]]-62))</calculatedColumnFormula>
    </tableColumn>
    <tableColumn id="2" xr3:uid="{A3F89539-AF27-42F2-97FF-BF48B4B24202}" name="SN" dataDxfId="284" totalsRowDxfId="283" dataCellStyle="Normal_Sheet1"/>
    <tableColumn id="3" xr3:uid="{CFD568E1-6767-4BF9-B2BE-8DCE8E51C25F}" name="REF" dataDxfId="282" dataCellStyle="Normal_Sheet1"/>
    <tableColumn id="4" xr3:uid="{ACEC93F2-74A8-4EFC-9F27-EDFDC24511D2}" name="Column1" dataDxfId="281"/>
    <tableColumn id="5" xr3:uid="{6F18AB89-8AD4-47DA-B805-59131EF14CF3}" name="yval" dataDxfId="280" dataCellStyle="Excel Built-in Normal"/>
    <tableColumn id="6" xr3:uid="{924382D2-DBEC-4B9D-B8EC-0C57D2633427}" name="X-Y" dataDxfId="279">
      <calculatedColumnFormula>Table223421023[[#This Row],[yval]]-Table223421023[[#This Row],[REF]]</calculatedColumnFormula>
    </tableColumn>
    <tableColumn id="7" xr3:uid="{1E3E2272-5E55-4968-8CBD-15718F1B0013}" name="diff-bias" dataDxfId="278">
      <calculatedColumnFormula>Table223421023[[#This Row],[X-Y]]-E$20</calculatedColumnFormula>
    </tableColumn>
    <tableColumn id="8" xr3:uid="{163BCE5D-8123-48D3-A6F3-F541F574ABCF}" name="Xbiased" dataDxfId="277">
      <calculatedColumnFormula>Table223421023[[#This Row],[yval]]-E$20</calculatedColumnFormula>
    </tableColumn>
    <tableColumn id="9" xr3:uid="{265866E8-93F9-41CB-91C5-A3195F454FF6}" name="Yest" dataDxfId="276">
      <calculatedColumnFormula>Table223421023[[#This Row],[yval]]*E$21+E$22</calculatedColumnFormula>
    </tableColumn>
    <tableColumn id="18" xr3:uid="{3469F9C1-057E-45C5-92A6-41B4545F266A}" name="RESyx" dataDxfId="275">
      <calculatedColumnFormula>Table223421023[[#This Row],[Yest]]-Table223421023[[#This Row],[REF]]</calculatedColumnFormula>
    </tableColumn>
    <tableColumn id="19" xr3:uid="{795160B1-82AB-444A-8E14-9A2B9374289B}" name="Abs_erroryx" dataDxfId="274">
      <calculatedColumnFormula>ABS(Table223421023[[#This Row],[RESyx]])</calculatedColumnFormula>
    </tableColumn>
    <tableColumn id="10" xr3:uid="{44E1FEDD-5CDE-4CC3-8B0B-9D65F467BAE9}" name="yest_rect" dataDxfId="273" totalsRowDxfId="272">
      <calculatedColumnFormula>Table223421023[[#This Row],[yval]]*E$25+E$26</calculatedColumnFormula>
    </tableColumn>
    <tableColumn id="11" xr3:uid="{EA85280B-7660-41F7-9FCE-87932B01C5DC}" name="dif^2" dataDxfId="271">
      <calculatedColumnFormula>Table223421023[[#This Row],[X-Y]]^2</calculatedColumnFormula>
    </tableColumn>
    <tableColumn id="15" xr3:uid="{AEBF3278-3DC1-4368-90E0-0D4C416F7078}" name="dif rec" dataDxfId="270">
      <calculatedColumnFormula>Table223421023[[#This Row],[yest_rect]]-Table223421023[[#This Row],[REF]]</calculatedColumnFormula>
    </tableColumn>
    <tableColumn id="16" xr3:uid="{36E8EBEB-7E32-417E-BA5A-BB7B21284FCF}" name="dif_rec^2" dataDxfId="269">
      <calculatedColumnFormula>Table223421023[[#This Row],[dif rec]]^2</calculatedColumnFormula>
    </tableColumn>
    <tableColumn id="12" xr3:uid="{6F3C79CD-C40F-41DD-B5C9-641160FC0F02}" name="abs_errors" dataDxfId="268">
      <calculatedColumnFormula>ABS(Table223421023[[#This Row],[diff-bias]])</calculatedColumnFormula>
    </tableColumn>
    <tableColumn id="13" xr3:uid="{5EA29802-EC6E-4BAF-BEED-95AEC8A8A69E}" name="Column3" dataDxfId="267">
      <calculatedColumnFormula>CELL("row",Table223421023[[#This Row],[Position]])</calculatedColumnFormula>
    </tableColumn>
    <tableColumn id="17" xr3:uid="{13723233-DC7A-40E8-A38A-7D52600F7A96}" name="lab-med" dataDxfId="266">
      <calculatedColumnFormula>Table223421023[[#This Row],[REF]]-D$13</calculatedColumnFormula>
    </tableColumn>
    <tableColumn id="20" xr3:uid="{321BEFF4-DCCA-4AA1-96B3-9297A6ECE2E5}" name="abs(lab)" dataDxfId="265">
      <calculatedColumnFormula>ABS(Table223421023[[#This Row],[lab-med]])</calculatedColumnFormula>
    </tableColumn>
    <tableColumn id="14" xr3:uid="{2FF4F729-D554-4588-ADDF-5B999E5924E7}" name="anl-med" dataDxfId="264">
      <calculatedColumnFormula>Table223421023[[#This Row],[yval]]-F$13</calculatedColumnFormula>
    </tableColumn>
    <tableColumn id="21" xr3:uid="{8D51A379-4786-4273-AB98-5491DD4B1C1A}" name="abs(anl)" dataDxfId="263">
      <calculatedColumnFormula>ABS(Table223421023[[#This Row],[anl-med]])</calculatedColumnFormula>
    </tableColumn>
    <tableColumn id="22" xr3:uid="{A2A4EEA9-C977-4DE0-98C6-C6979A96FE82}" name="Produits Lab x Anl" dataDxfId="262">
      <calculatedColumnFormula>Table223421023[[#This Row],[lab-med]]*Table223421023[[#This Row],[anl-med]]</calculatedColumnFormula>
    </tableColumn>
  </tableColumns>
  <tableStyleInfo name="TableStyleLight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24671C6-BD51-46C5-ADDD-810C93585CB8}" name="Table2234210234" displayName="Table2234210234" ref="B62:W142" totalsRowShown="0" headerRowDxfId="259" dataDxfId="258">
  <sortState xmlns:xlrd2="http://schemas.microsoft.com/office/spreadsheetml/2017/richdata2" ref="B63:W67">
    <sortCondition ref="C63:C67"/>
  </sortState>
  <tableColumns count="22">
    <tableColumn id="1" xr3:uid="{32B2FDE5-B1CC-4222-85B0-D8272B54D58D}" name="Position" dataDxfId="257" totalsRowDxfId="256">
      <calculatedColumnFormula>VALUE((Table2234210234[[#This Row],[Column3]]-62))</calculatedColumnFormula>
    </tableColumn>
    <tableColumn id="2" xr3:uid="{EDD6FC47-7DF3-4417-80C9-7B9C9E9F78C7}" name="SN" dataDxfId="255" totalsRowDxfId="254" dataCellStyle="Normal_Sheet1"/>
    <tableColumn id="3" xr3:uid="{9BA89A5F-F581-4C06-9206-D88FAFB49330}" name="REF" dataDxfId="253" dataCellStyle="Normal_Sheet1"/>
    <tableColumn id="4" xr3:uid="{6B35FD3D-E2F3-496E-9826-028F806AB176}" name="Column1" dataDxfId="252"/>
    <tableColumn id="5" xr3:uid="{3E103ACA-85F5-45D6-B44F-E7089F0EF466}" name="Y_pred" dataDxfId="251" dataCellStyle="Excel Built-in Normal"/>
    <tableColumn id="6" xr3:uid="{39F42B14-830E-45B7-9E43-63DC82534901}" name="X-Y" dataDxfId="250">
      <calculatedColumnFormula>Table2234210234[[#This Row],[Y_pred]]-Table2234210234[[#This Row],[REF]]</calculatedColumnFormula>
    </tableColumn>
    <tableColumn id="7" xr3:uid="{4783EE55-5559-465D-9023-FD8BAF7F0177}" name="diff-bias" dataDxfId="249">
      <calculatedColumnFormula>Table2234210234[[#This Row],[X-Y]]-E$20</calculatedColumnFormula>
    </tableColumn>
    <tableColumn id="8" xr3:uid="{65099B1C-5289-4F56-AE4B-63A4D586C217}" name="Xbiased" dataDxfId="248">
      <calculatedColumnFormula>Table2234210234[[#This Row],[Y_pred]]-E$20</calculatedColumnFormula>
    </tableColumn>
    <tableColumn id="9" xr3:uid="{DA0B404F-39B7-4332-A4E1-4800567EA5F7}" name="Yest" dataDxfId="247">
      <calculatedColumnFormula>Table2234210234[[#This Row],[Y_pred]]*E$21+E$22</calculatedColumnFormula>
    </tableColumn>
    <tableColumn id="18" xr3:uid="{9B5EF644-C903-4FFA-AD53-CE65C807BD44}" name="RESyx" dataDxfId="246">
      <calculatedColumnFormula>Table2234210234[[#This Row],[Yest]]-Table2234210234[[#This Row],[REF]]</calculatedColumnFormula>
    </tableColumn>
    <tableColumn id="19" xr3:uid="{F0B05EB8-0AEB-4BC9-98A8-9433E31C9AA4}" name="Abs_erroryx" dataDxfId="245">
      <calculatedColumnFormula>ABS(Table2234210234[[#This Row],[RESyx]])</calculatedColumnFormula>
    </tableColumn>
    <tableColumn id="10" xr3:uid="{1176344A-95C5-49CA-8577-16291F719403}" name="yest_rect" dataDxfId="244" totalsRowDxfId="243">
      <calculatedColumnFormula>Table2234210234[[#This Row],[Y_pred]]*E$25+E$26</calculatedColumnFormula>
    </tableColumn>
    <tableColumn id="11" xr3:uid="{8828833C-9C8C-44C4-A5C9-382733A33151}" name="dif^2" dataDxfId="242">
      <calculatedColumnFormula>Table2234210234[[#This Row],[X-Y]]^2</calculatedColumnFormula>
    </tableColumn>
    <tableColumn id="15" xr3:uid="{799AC925-B18C-43DD-B43A-E0A80979BA77}" name="dif rec" dataDxfId="241">
      <calculatedColumnFormula>Table2234210234[[#This Row],[yest_rect]]-Table2234210234[[#This Row],[REF]]</calculatedColumnFormula>
    </tableColumn>
    <tableColumn id="16" xr3:uid="{A78EE89E-232E-4CB3-B4FA-5354035B81F1}" name="dif_rec^2" dataDxfId="240">
      <calculatedColumnFormula>Table2234210234[[#This Row],[dif rec]]^2</calculatedColumnFormula>
    </tableColumn>
    <tableColumn id="12" xr3:uid="{9F272F25-829B-4731-B68D-97820CE31CD5}" name="abs_errors" dataDxfId="239">
      <calculatedColumnFormula>ABS(Table2234210234[[#This Row],[diff-bias]])</calculatedColumnFormula>
    </tableColumn>
    <tableColumn id="13" xr3:uid="{F4E3EE2A-543C-4F56-B020-ECA6E1098961}" name="Column3" dataDxfId="238">
      <calculatedColumnFormula>CELL("row",Table2234210234[[#This Row],[Position]])</calculatedColumnFormula>
    </tableColumn>
    <tableColumn id="17" xr3:uid="{536F138D-C627-41CF-8C0D-576944F650E0}" name="lab-med" dataDxfId="237">
      <calculatedColumnFormula>Table2234210234[[#This Row],[REF]]-D$13</calculatedColumnFormula>
    </tableColumn>
    <tableColumn id="20" xr3:uid="{FA732846-3070-41A8-94EB-D33422D10924}" name="abs(lab)" dataDxfId="236">
      <calculatedColumnFormula>ABS(Table2234210234[[#This Row],[lab-med]])</calculatedColumnFormula>
    </tableColumn>
    <tableColumn id="14" xr3:uid="{89356FCE-B7F6-4A09-8B1B-AD6E837967B4}" name="anl-med" dataDxfId="235">
      <calculatedColumnFormula>Table2234210234[[#This Row],[Y_pred]]-F$13</calculatedColumnFormula>
    </tableColumn>
    <tableColumn id="21" xr3:uid="{90A44418-E283-4247-B946-D216AF0B2116}" name="abs(anl)" dataDxfId="234">
      <calculatedColumnFormula>ABS(Table2234210234[[#This Row],[anl-med]])</calculatedColumnFormula>
    </tableColumn>
    <tableColumn id="22" xr3:uid="{D2B14940-9896-46B3-BC9F-B2C31D7C0F6C}" name="Produits Lab x Anl" dataDxfId="233">
      <calculatedColumnFormula>Table2234210234[[#This Row],[lab-med]]*Table2234210234[[#This Row],[anl-med]]</calculatedColumnFormula>
    </tableColumn>
  </tableColumns>
  <tableStyleInfo name="TableStyleLight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4049ED6-5435-4574-B3B1-AEFA46899DB3}" name="Table22342102345" displayName="Table22342102345" ref="B62:W142" totalsRowShown="0" headerRowDxfId="230" dataDxfId="229">
  <sortState xmlns:xlrd2="http://schemas.microsoft.com/office/spreadsheetml/2017/richdata2" ref="B63:W67">
    <sortCondition ref="C63:C67"/>
  </sortState>
  <tableColumns count="22">
    <tableColumn id="1" xr3:uid="{1BDB6719-A322-43B7-BFCE-C1E525E01684}" name="Position" dataDxfId="228" totalsRowDxfId="227">
      <calculatedColumnFormula>VALUE((Table22342102345[[#This Row],[Column3]]-62))</calculatedColumnFormula>
    </tableColumn>
    <tableColumn id="2" xr3:uid="{3113E1E3-FAB4-4C7D-A3A6-D51259AA8167}" name="SN" dataDxfId="226" totalsRowDxfId="225" dataCellStyle="Normal_Sheet1"/>
    <tableColumn id="3" xr3:uid="{0648AD94-53E2-4B57-B7FE-845D7AEF08F0}" name="REF" dataDxfId="224" dataCellStyle="Normal_Sheet1"/>
    <tableColumn id="4" xr3:uid="{25A185F7-7AD4-4FDC-AC0F-864603E0941C}" name="Column1" dataDxfId="223"/>
    <tableColumn id="5" xr3:uid="{111CF4B5-B8CD-42ED-84BD-D73D63652210}" name="Lesnoff" dataDxfId="222" dataCellStyle="Excel Built-in Normal"/>
    <tableColumn id="6" xr3:uid="{4BEE4314-9EDA-4D91-B30C-0162276D1258}" name="X-Y" dataDxfId="221">
      <calculatedColumnFormula>Table22342102345[[#This Row],[Lesnoff]]-Table22342102345[[#This Row],[REF]]</calculatedColumnFormula>
    </tableColumn>
    <tableColumn id="7" xr3:uid="{44220380-7751-4A49-B675-749562F2DE01}" name="diff-bias" dataDxfId="220">
      <calculatedColumnFormula>Table22342102345[[#This Row],[X-Y]]-E$20</calculatedColumnFormula>
    </tableColumn>
    <tableColumn id="8" xr3:uid="{B7457A89-C00E-4BA9-8187-EFB365BFAFC3}" name="Xbiased" dataDxfId="219">
      <calculatedColumnFormula>Table22342102345[[#This Row],[Lesnoff]]-E$20</calculatedColumnFormula>
    </tableColumn>
    <tableColumn id="9" xr3:uid="{F7E5C364-BAFD-4AE8-8052-0A4AE693636F}" name="Yest" dataDxfId="218">
      <calculatedColumnFormula>Table22342102345[[#This Row],[Lesnoff]]*E$21+E$22</calculatedColumnFormula>
    </tableColumn>
    <tableColumn id="18" xr3:uid="{1FD14312-2840-485D-BD02-AF6B2AF86603}" name="RESyx" dataDxfId="217">
      <calculatedColumnFormula>Table22342102345[[#This Row],[Yest]]-Table22342102345[[#This Row],[REF]]</calculatedColumnFormula>
    </tableColumn>
    <tableColumn id="19" xr3:uid="{B4C933D0-3CA5-4E77-AB2D-35D00AFF4AA8}" name="Abs_erroryx" dataDxfId="216">
      <calculatedColumnFormula>ABS(Table22342102345[[#This Row],[RESyx]])</calculatedColumnFormula>
    </tableColumn>
    <tableColumn id="10" xr3:uid="{12849293-9D67-4833-A2BD-B55BD0A38020}" name="yest_rect" dataDxfId="215" totalsRowDxfId="214">
      <calculatedColumnFormula>Table22342102345[[#This Row],[Lesnoff]]*E$25+E$26</calculatedColumnFormula>
    </tableColumn>
    <tableColumn id="11" xr3:uid="{060711EE-9455-4C54-9A96-14ED251B83A6}" name="dif^2" dataDxfId="213">
      <calculatedColumnFormula>Table22342102345[[#This Row],[X-Y]]^2</calculatedColumnFormula>
    </tableColumn>
    <tableColumn id="15" xr3:uid="{A11E1498-8BF2-4713-A5C1-D96A252615B4}" name="dif rec" dataDxfId="212">
      <calculatedColumnFormula>Table22342102345[[#This Row],[yest_rect]]-Table22342102345[[#This Row],[REF]]</calculatedColumnFormula>
    </tableColumn>
    <tableColumn id="16" xr3:uid="{5930D26F-0C4F-4595-A328-6567307AED07}" name="dif_rec^2" dataDxfId="211">
      <calculatedColumnFormula>Table22342102345[[#This Row],[dif rec]]^2</calculatedColumnFormula>
    </tableColumn>
    <tableColumn id="12" xr3:uid="{428A5C37-482A-4D0D-A63A-77339FECE21A}" name="abs_errors" dataDxfId="210">
      <calculatedColumnFormula>ABS(Table22342102345[[#This Row],[diff-bias]])</calculatedColumnFormula>
    </tableColumn>
    <tableColumn id="13" xr3:uid="{B27602CD-D038-468A-9B0C-ECEAE12329D9}" name="Column3" dataDxfId="209">
      <calculatedColumnFormula>CELL("row",Table22342102345[[#This Row],[Position]])</calculatedColumnFormula>
    </tableColumn>
    <tableColumn id="17" xr3:uid="{26B6733D-AB06-40DD-B0F8-3BE154BA82BB}" name="lab-med" dataDxfId="208">
      <calculatedColumnFormula>Table22342102345[[#This Row],[REF]]-D$13</calculatedColumnFormula>
    </tableColumn>
    <tableColumn id="20" xr3:uid="{78B5E7F2-E76D-422F-B6B9-29C5D5AE785B}" name="abs(lab)" dataDxfId="207">
      <calculatedColumnFormula>ABS(Table22342102345[[#This Row],[lab-med]])</calculatedColumnFormula>
    </tableColumn>
    <tableColumn id="14" xr3:uid="{516DECA1-A3EF-4107-9968-6FE2DE27A3FA}" name="anl-med" dataDxfId="206">
      <calculatedColumnFormula>Table22342102345[[#This Row],[Lesnoff]]-F$13</calculatedColumnFormula>
    </tableColumn>
    <tableColumn id="21" xr3:uid="{28699E70-FADA-4BF8-9760-32D1D808F5E2}" name="abs(anl)" dataDxfId="205">
      <calculatedColumnFormula>ABS(Table22342102345[[#This Row],[anl-med]])</calculatedColumnFormula>
    </tableColumn>
    <tableColumn id="22" xr3:uid="{EFF6D737-1AE7-49AD-A61A-C210BD21B906}" name="Produits Lab x Anl" dataDxfId="204">
      <calculatedColumnFormula>Table22342102345[[#This Row],[lab-med]]*Table22342102345[[#This Row],[anl-med]]</calculatedColumnFormula>
    </tableColumn>
  </tableColumns>
  <tableStyleInfo name="TableStyleLight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719B19F-86B9-4747-B021-3B5292962389}" name="Table223421023456" displayName="Table223421023456" ref="B62:W142" totalsRowShown="0" headerRowDxfId="201" dataDxfId="200">
  <sortState xmlns:xlrd2="http://schemas.microsoft.com/office/spreadsheetml/2017/richdata2" ref="B63:W67">
    <sortCondition ref="C63:C67"/>
  </sortState>
  <tableColumns count="22">
    <tableColumn id="1" xr3:uid="{A0E85FA2-E03F-4F35-A9DE-952B205F4AEF}" name="Position" dataDxfId="199" totalsRowDxfId="198">
      <calculatedColumnFormula>VALUE((Table223421023456[[#This Row],[Column3]]-62))</calculatedColumnFormula>
    </tableColumn>
    <tableColumn id="2" xr3:uid="{116FD518-1DF5-40B6-88BD-C1159F9CF7D0}" name="SN" dataDxfId="197" totalsRowDxfId="196" dataCellStyle="Normal_Sheet1"/>
    <tableColumn id="3" xr3:uid="{3734D4D5-AEC4-4468-8EC2-223059FB22ED}" name="REF" dataDxfId="195" dataCellStyle="Normal_Sheet1"/>
    <tableColumn id="4" xr3:uid="{912C94A8-D0F0-437A-97C7-EB317E5E2FF4}" name="Column1" dataDxfId="194"/>
    <tableColumn id="5" xr3:uid="{E3929A8B-6C48-402D-B115-F387FB915151}" name="Roger" dataDxfId="193" dataCellStyle="Excel Built-in Normal"/>
    <tableColumn id="6" xr3:uid="{22DBE244-C4A2-4727-8B8D-C146C0E400C3}" name="X-Y" dataDxfId="192">
      <calculatedColumnFormula>Table223421023456[[#This Row],[Roger]]-Table223421023456[[#This Row],[REF]]</calculatedColumnFormula>
    </tableColumn>
    <tableColumn id="7" xr3:uid="{887FB2A1-D1BE-43A2-B109-6A86DE5C0021}" name="diff-bias" dataDxfId="191">
      <calculatedColumnFormula>Table223421023456[[#This Row],[X-Y]]-E$20</calculatedColumnFormula>
    </tableColumn>
    <tableColumn id="8" xr3:uid="{D94B7CBC-14AC-4AF0-AE8F-E18DE964A44B}" name="Xbiased" dataDxfId="190">
      <calculatedColumnFormula>Table223421023456[[#This Row],[Roger]]-E$20</calculatedColumnFormula>
    </tableColumn>
    <tableColumn id="9" xr3:uid="{A7FFB8E2-C96B-4CB2-BAE5-18B88DE7C129}" name="Yest" dataDxfId="189">
      <calculatedColumnFormula>Table223421023456[[#This Row],[Roger]]*E$21+E$22</calculatedColumnFormula>
    </tableColumn>
    <tableColumn id="18" xr3:uid="{8E6DC303-9798-479D-A73A-A8251FD05FC2}" name="RESyx" dataDxfId="188">
      <calculatedColumnFormula>Table223421023456[[#This Row],[Yest]]-Table223421023456[[#This Row],[REF]]</calculatedColumnFormula>
    </tableColumn>
    <tableColumn id="19" xr3:uid="{CA41A825-F26E-45C1-B58B-7BF3B735CBFD}" name="Abs_erroryx" dataDxfId="187">
      <calculatedColumnFormula>ABS(Table223421023456[[#This Row],[RESyx]])</calculatedColumnFormula>
    </tableColumn>
    <tableColumn id="10" xr3:uid="{19194489-6C63-407D-A7AB-4DFE5EC26A32}" name="yest_rect" dataDxfId="186" totalsRowDxfId="185">
      <calculatedColumnFormula>Table223421023456[[#This Row],[Roger]]*E$25+E$26</calculatedColumnFormula>
    </tableColumn>
    <tableColumn id="11" xr3:uid="{0A5ECF7A-FFA4-4ACF-A8A1-FAB155AEA691}" name="dif^2" dataDxfId="184">
      <calculatedColumnFormula>Table223421023456[[#This Row],[X-Y]]^2</calculatedColumnFormula>
    </tableColumn>
    <tableColumn id="15" xr3:uid="{EC76B40B-A485-47AF-9A20-1F4F4BF704C3}" name="dif rec" dataDxfId="183">
      <calculatedColumnFormula>Table223421023456[[#This Row],[yest_rect]]-Table223421023456[[#This Row],[REF]]</calculatedColumnFormula>
    </tableColumn>
    <tableColumn id="16" xr3:uid="{E588BE68-CBF4-456F-8F13-C7BC34CC32D5}" name="dif_rec^2" dataDxfId="182">
      <calculatedColumnFormula>Table223421023456[[#This Row],[dif rec]]^2</calculatedColumnFormula>
    </tableColumn>
    <tableColumn id="12" xr3:uid="{73D462D4-AC8E-48EC-BFFE-A799155E6A5E}" name="abs_errors" dataDxfId="181">
      <calculatedColumnFormula>ABS(Table223421023456[[#This Row],[diff-bias]])</calculatedColumnFormula>
    </tableColumn>
    <tableColumn id="13" xr3:uid="{8F39612A-9874-4851-BD89-30271206F1C9}" name="Column3" dataDxfId="180">
      <calculatedColumnFormula>CELL("row",Table223421023456[[#This Row],[Position]])</calculatedColumnFormula>
    </tableColumn>
    <tableColumn id="17" xr3:uid="{00EF9671-D192-4554-8CB0-AFCB8A58D5AC}" name="lab-med" dataDxfId="179">
      <calculatedColumnFormula>Table223421023456[[#This Row],[REF]]-D$13</calculatedColumnFormula>
    </tableColumn>
    <tableColumn id="20" xr3:uid="{70CCC3D1-5316-4D54-A1DA-FAE93A9DD83E}" name="abs(lab)" dataDxfId="178">
      <calculatedColumnFormula>ABS(Table223421023456[[#This Row],[lab-med]])</calculatedColumnFormula>
    </tableColumn>
    <tableColumn id="14" xr3:uid="{69330B75-186A-4095-BE60-ED080988C034}" name="anl-med" dataDxfId="177">
      <calculatedColumnFormula>Table223421023456[[#This Row],[Roger]]-F$13</calculatedColumnFormula>
    </tableColumn>
    <tableColumn id="21" xr3:uid="{9C0E4756-4F30-42AC-AD01-4E8ED745D65E}" name="abs(anl)" dataDxfId="176">
      <calculatedColumnFormula>ABS(Table223421023456[[#This Row],[anl-med]])</calculatedColumnFormula>
    </tableColumn>
    <tableColumn id="22" xr3:uid="{131D6220-6F84-4444-BCD8-ABBD37C7493D}" name="Produits Lab x Anl" dataDxfId="175">
      <calculatedColumnFormula>Table223421023456[[#This Row],[lab-med]]*Table223421023456[[#This Row],[anl-med]]</calculatedColumnFormula>
    </tableColumn>
  </tableColumns>
  <tableStyleInfo name="TableStyleLight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EAAB491-5570-40C6-B73F-6FEEF401839F}" name="Table2234210234567" displayName="Table2234210234567" ref="B62:W142" totalsRowShown="0" headerRowDxfId="172" dataDxfId="171">
  <sortState xmlns:xlrd2="http://schemas.microsoft.com/office/spreadsheetml/2017/richdata2" ref="B63:W67">
    <sortCondition ref="C63:C67"/>
  </sortState>
  <tableColumns count="22">
    <tableColumn id="1" xr3:uid="{EDE5FA83-06D9-44D1-8EAE-AC9396AB839E}" name="Position" dataDxfId="170" totalsRowDxfId="169">
      <calculatedColumnFormula>VALUE((Table2234210234567[[#This Row],[Column3]]-62))</calculatedColumnFormula>
    </tableColumn>
    <tableColumn id="2" xr3:uid="{10CABAE4-1AFE-441C-9F78-5B9C8033A1C4}" name="SN" dataDxfId="168" totalsRowDxfId="167" dataCellStyle="Normal_Sheet1"/>
    <tableColumn id="3" xr3:uid="{E6873974-A1AF-4D51-B921-DC0FC0CE5D3C}" name="REF" dataDxfId="166" dataCellStyle="Normal_Sheet1"/>
    <tableColumn id="4" xr3:uid="{AF592EDE-FEEA-4327-A59A-1D6C4D945DDB}" name="Column1" dataDxfId="165"/>
    <tableColumn id="5" xr3:uid="{53D7B362-920B-48AE-B23A-7448CCC546FA}" name="Lucas D" dataDxfId="164" dataCellStyle="Excel Built-in Normal"/>
    <tableColumn id="6" xr3:uid="{FAC4F52C-668D-4576-9C2D-083E523B0298}" name="X-Y" dataDxfId="163">
      <calculatedColumnFormula>Table2234210234567[[#This Row],[Lucas D]]-Table2234210234567[[#This Row],[REF]]</calculatedColumnFormula>
    </tableColumn>
    <tableColumn id="7" xr3:uid="{3A4067C2-D02E-450F-8CC6-754C1847A05A}" name="diff-bias" dataDxfId="162">
      <calculatedColumnFormula>Table2234210234567[[#This Row],[X-Y]]-E$20</calculatedColumnFormula>
    </tableColumn>
    <tableColumn id="8" xr3:uid="{8501C4BE-F571-4E04-9399-F3D4F02F83F9}" name="Xbiased" dataDxfId="161">
      <calculatedColumnFormula>Table2234210234567[[#This Row],[Lucas D]]-E$20</calculatedColumnFormula>
    </tableColumn>
    <tableColumn id="9" xr3:uid="{F6B8ADDE-F2EF-4D6C-8573-1290AF49963F}" name="Yest" dataDxfId="160">
      <calculatedColumnFormula>Table2234210234567[[#This Row],[Lucas D]]*E$21+E$22</calculatedColumnFormula>
    </tableColumn>
    <tableColumn id="18" xr3:uid="{9B043FB5-E441-455C-8843-1403EBC9DA88}" name="RESyx" dataDxfId="159">
      <calculatedColumnFormula>Table2234210234567[[#This Row],[Yest]]-Table2234210234567[[#This Row],[REF]]</calculatedColumnFormula>
    </tableColumn>
    <tableColumn id="19" xr3:uid="{34D2DE20-FA10-4A59-835C-C5DE890F1A07}" name="Abs_erroryx" dataDxfId="158">
      <calculatedColumnFormula>ABS(Table2234210234567[[#This Row],[RESyx]])</calculatedColumnFormula>
    </tableColumn>
    <tableColumn id="10" xr3:uid="{5F3194E9-092A-439E-97D8-73A5C98D9E9D}" name="yest_rect" dataDxfId="157" totalsRowDxfId="156">
      <calculatedColumnFormula>Table2234210234567[[#This Row],[Lucas D]]*E$25+E$26</calculatedColumnFormula>
    </tableColumn>
    <tableColumn id="11" xr3:uid="{C6483CAB-EDE0-4760-A495-BB4810658F3A}" name="dif^2" dataDxfId="155">
      <calculatedColumnFormula>Table2234210234567[[#This Row],[X-Y]]^2</calculatedColumnFormula>
    </tableColumn>
    <tableColumn id="15" xr3:uid="{08AE6FA2-CBB6-4B57-8BFF-664D0138983A}" name="dif rec" dataDxfId="154">
      <calculatedColumnFormula>Table2234210234567[[#This Row],[yest_rect]]-Table2234210234567[[#This Row],[REF]]</calculatedColumnFormula>
    </tableColumn>
    <tableColumn id="16" xr3:uid="{09E4400A-AC73-43E5-A64E-C4BFCF06518E}" name="dif_rec^2" dataDxfId="153">
      <calculatedColumnFormula>Table2234210234567[[#This Row],[dif rec]]^2</calculatedColumnFormula>
    </tableColumn>
    <tableColumn id="12" xr3:uid="{244E1505-EAA7-483B-B210-C90306935DFC}" name="abs_errors" dataDxfId="152">
      <calculatedColumnFormula>ABS(Table2234210234567[[#This Row],[diff-bias]])</calculatedColumnFormula>
    </tableColumn>
    <tableColumn id="13" xr3:uid="{D4E0D5DF-D5E0-4AC5-B2B3-96825DAC5A73}" name="Column3" dataDxfId="151">
      <calculatedColumnFormula>CELL("row",Table2234210234567[[#This Row],[Position]])</calculatedColumnFormula>
    </tableColumn>
    <tableColumn id="17" xr3:uid="{A8A06A0A-553D-4ABA-BA05-D8E5C92E9E1B}" name="lab-med" dataDxfId="150">
      <calculatedColumnFormula>Table2234210234567[[#This Row],[REF]]-D$13</calculatedColumnFormula>
    </tableColumn>
    <tableColumn id="20" xr3:uid="{7DCDDECD-3957-4400-B05E-BB77E93D02AC}" name="abs(lab)" dataDxfId="149">
      <calculatedColumnFormula>ABS(Table2234210234567[[#This Row],[lab-med]])</calculatedColumnFormula>
    </tableColumn>
    <tableColumn id="14" xr3:uid="{944F7B59-0428-4777-978E-C0D4E3A4112B}" name="anl-med" dataDxfId="148">
      <calculatedColumnFormula>Table2234210234567[[#This Row],[Lucas D]]-F$13</calculatedColumnFormula>
    </tableColumn>
    <tableColumn id="21" xr3:uid="{A984DCCF-A5B2-495D-81ED-A1B5DF1F79C8}" name="abs(anl)" dataDxfId="147">
      <calculatedColumnFormula>ABS(Table2234210234567[[#This Row],[anl-med]])</calculatedColumnFormula>
    </tableColumn>
    <tableColumn id="22" xr3:uid="{418FCE53-FC87-402A-9760-382B0DC02F49}" name="Produits Lab x Anl" dataDxfId="146">
      <calculatedColumnFormula>Table2234210234567[[#This Row],[lab-med]]*Table2234210234567[[#This Row],[anl-med]]</calculatedColumnFormula>
    </tableColumn>
  </tableColumns>
  <tableStyleInfo name="TableStyleLight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DFE29B2-BB5C-433C-9785-792D81D6BA11}" name="Table22342102345678" displayName="Table22342102345678" ref="B62:W142" totalsRowShown="0" headerRowDxfId="143" dataDxfId="142">
  <sortState xmlns:xlrd2="http://schemas.microsoft.com/office/spreadsheetml/2017/richdata2" ref="B63:W67">
    <sortCondition ref="C63:C67"/>
  </sortState>
  <tableColumns count="22">
    <tableColumn id="1" xr3:uid="{57CDE617-B241-476F-985E-6BC51D2E431D}" name="Position" dataDxfId="141" totalsRowDxfId="140">
      <calculatedColumnFormula>VALUE((Table22342102345678[[#This Row],[Column3]]-62))</calculatedColumnFormula>
    </tableColumn>
    <tableColumn id="2" xr3:uid="{E9D87E3D-769B-4F65-90F5-087BF92782DA}" name="SN" dataDxfId="139" totalsRowDxfId="138" dataCellStyle="Normal_Sheet1"/>
    <tableColumn id="3" xr3:uid="{24B113AC-D1B3-42FF-AB3A-5B89C70731A5}" name="REF" dataDxfId="137" dataCellStyle="Normal_Sheet1"/>
    <tableColumn id="4" xr3:uid="{68F6F226-2F67-40AD-9D1F-6B987A91C171}" name="Column1" dataDxfId="136"/>
    <tableColumn id="5" xr3:uid="{B7843C78-6E90-4C9A-94B9-3F299A65603B}" name="Florent " dataDxfId="135" dataCellStyle="Excel Built-in Normal"/>
    <tableColumn id="6" xr3:uid="{90B352DC-3FFF-4B72-A3E2-E580A465A943}" name="X-Y" dataDxfId="134">
      <calculatedColumnFormula>Table22342102345678[[#This Row],[Florent ]]-Table22342102345678[[#This Row],[REF]]</calculatedColumnFormula>
    </tableColumn>
    <tableColumn id="7" xr3:uid="{CDB0747D-7DAE-462E-B242-7FA5887B7CC1}" name="diff-bias" dataDxfId="133">
      <calculatedColumnFormula>Table22342102345678[[#This Row],[X-Y]]-E$20</calculatedColumnFormula>
    </tableColumn>
    <tableColumn id="8" xr3:uid="{C393D8D1-C10C-4D3B-98A2-2CD8094117A5}" name="Xbiased" dataDxfId="132">
      <calculatedColumnFormula>Table22342102345678[[#This Row],[Florent ]]-E$20</calculatedColumnFormula>
    </tableColumn>
    <tableColumn id="9" xr3:uid="{60CB6B26-94C7-4A93-8B54-26ACF66508FE}" name="Yest" dataDxfId="131">
      <calculatedColumnFormula>Table22342102345678[[#This Row],[Florent ]]*E$21+E$22</calculatedColumnFormula>
    </tableColumn>
    <tableColumn id="18" xr3:uid="{6FA01642-B3A0-49B2-A10B-3C8660ED7DE3}" name="RESyx" dataDxfId="130">
      <calculatedColumnFormula>Table22342102345678[[#This Row],[Yest]]-Table22342102345678[[#This Row],[REF]]</calculatedColumnFormula>
    </tableColumn>
    <tableColumn id="19" xr3:uid="{67663853-F90A-447F-86C9-1CACF59BA286}" name="Abs_erroryx" dataDxfId="129">
      <calculatedColumnFormula>ABS(Table22342102345678[[#This Row],[RESyx]])</calculatedColumnFormula>
    </tableColumn>
    <tableColumn id="10" xr3:uid="{CB5B5C6F-0185-4278-B8B8-804DE8F4E548}" name="yest_rect" dataDxfId="128" totalsRowDxfId="127">
      <calculatedColumnFormula>Table22342102345678[[#This Row],[Florent ]]*E$25+E$26</calculatedColumnFormula>
    </tableColumn>
    <tableColumn id="11" xr3:uid="{3D4B79D6-0503-48C2-9B7F-721FA4BC5030}" name="dif^2" dataDxfId="126">
      <calculatedColumnFormula>Table22342102345678[[#This Row],[X-Y]]^2</calculatedColumnFormula>
    </tableColumn>
    <tableColumn id="15" xr3:uid="{BFC7FA58-E8BB-4E73-8B84-8C87CD8A3240}" name="dif rec" dataDxfId="125">
      <calculatedColumnFormula>Table22342102345678[[#This Row],[yest_rect]]-Table22342102345678[[#This Row],[REF]]</calculatedColumnFormula>
    </tableColumn>
    <tableColumn id="16" xr3:uid="{A3D55028-B12B-4793-BD78-7316730CA102}" name="dif_rec^2" dataDxfId="124">
      <calculatedColumnFormula>Table22342102345678[[#This Row],[dif rec]]^2</calculatedColumnFormula>
    </tableColumn>
    <tableColumn id="12" xr3:uid="{3D904D9E-F7FA-48B8-A01A-D88C4C9D401F}" name="abs_errors" dataDxfId="123">
      <calculatedColumnFormula>ABS(Table22342102345678[[#This Row],[diff-bias]])</calculatedColumnFormula>
    </tableColumn>
    <tableColumn id="13" xr3:uid="{E8D3B704-7BDA-4413-8DD0-B85F348D3C3F}" name="Column3" dataDxfId="122">
      <calculatedColumnFormula>CELL("row",Table22342102345678[[#This Row],[Position]])</calculatedColumnFormula>
    </tableColumn>
    <tableColumn id="17" xr3:uid="{8CB18384-D976-481B-AD86-C7D6206A0E34}" name="lab-med" dataDxfId="121">
      <calculatedColumnFormula>Table22342102345678[[#This Row],[REF]]-D$13</calculatedColumnFormula>
    </tableColumn>
    <tableColumn id="20" xr3:uid="{75EA8E44-43DF-4A3B-B299-AEA403438DC9}" name="abs(lab)" dataDxfId="120">
      <calculatedColumnFormula>ABS(Table22342102345678[[#This Row],[lab-med]])</calculatedColumnFormula>
    </tableColumn>
    <tableColumn id="14" xr3:uid="{D3F96A5E-3EBE-474B-8CC1-975D3DBAF8E7}" name="anl-med" dataDxfId="119">
      <calculatedColumnFormula>Table22342102345678[[#This Row],[Florent ]]-F$13</calculatedColumnFormula>
    </tableColumn>
    <tableColumn id="21" xr3:uid="{203F6798-8028-4EF7-9D4D-41478DC28D2C}" name="abs(anl)" dataDxfId="118">
      <calculatedColumnFormula>ABS(Table22342102345678[[#This Row],[anl-med]])</calculatedColumnFormula>
    </tableColumn>
    <tableColumn id="22" xr3:uid="{C6E3159C-B2EF-417B-8638-C69C6614509C}" name="Produits Lab x Anl" dataDxfId="117">
      <calculatedColumnFormula>Table22342102345678[[#This Row],[lab-med]]*Table22342102345678[[#This Row],[anl-med]]</calculatedColumnFormula>
    </tableColumn>
  </tableColumns>
  <tableStyleInfo name="TableStyleLight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B323C9A-13B4-4578-809E-A865B64A64BD}" name="Table223421023456789" displayName="Table223421023456789" ref="B62:W142" totalsRowShown="0" headerRowDxfId="114" dataDxfId="113">
  <sortState xmlns:xlrd2="http://schemas.microsoft.com/office/spreadsheetml/2017/richdata2" ref="B63:W67">
    <sortCondition ref="C63:C67"/>
  </sortState>
  <tableColumns count="22">
    <tableColumn id="1" xr3:uid="{0691D48A-0C8E-4DD2-840E-9C47D358C7E9}" name="Position" dataDxfId="112" totalsRowDxfId="111">
      <calculatedColumnFormula>VALUE((Table223421023456789[[#This Row],[Column3]]-62))</calculatedColumnFormula>
    </tableColumn>
    <tableColumn id="2" xr3:uid="{51C375B0-5272-4449-B661-BE8AD7C2B663}" name="SN" dataDxfId="110" totalsRowDxfId="109" dataCellStyle="Normal_Sheet1"/>
    <tableColumn id="3" xr3:uid="{33BC7C18-F30C-40D5-A43A-8C416433A6B4}" name="REF" dataDxfId="108" dataCellStyle="Normal_Sheet1"/>
    <tableColumn id="4" xr3:uid="{72AA4E74-EEBB-4078-8278-DEC9AF869D51}" name="Column1" dataDxfId="107"/>
    <tableColumn id="5" xr3:uid="{BF092120-EC14-4AC2-993E-BCD7115F2105}" name="Joris " dataDxfId="106" dataCellStyle="Excel Built-in Normal"/>
    <tableColumn id="6" xr3:uid="{3C49ACFF-8E15-4BC8-84B6-FBD33656B9B8}" name="X-Y" dataDxfId="105">
      <calculatedColumnFormula>Table223421023456789[[#This Row],[Joris ]]-Table223421023456789[[#This Row],[REF]]</calculatedColumnFormula>
    </tableColumn>
    <tableColumn id="7" xr3:uid="{3408C570-4D13-421A-8AE2-36F207B0EDE4}" name="diff-bias" dataDxfId="104">
      <calculatedColumnFormula>Table223421023456789[[#This Row],[X-Y]]-E$20</calculatedColumnFormula>
    </tableColumn>
    <tableColumn id="8" xr3:uid="{A44C0873-A341-4CD4-A88E-70AC48392FB2}" name="Xbiased" dataDxfId="103">
      <calculatedColumnFormula>Table223421023456789[[#This Row],[Joris ]]-E$20</calculatedColumnFormula>
    </tableColumn>
    <tableColumn id="9" xr3:uid="{705DA76D-3F47-4F70-A188-3B974384C34E}" name="Yest" dataDxfId="102">
      <calculatedColumnFormula>Table223421023456789[[#This Row],[Joris ]]*E$21+E$22</calculatedColumnFormula>
    </tableColumn>
    <tableColumn id="18" xr3:uid="{FDBFFE23-A599-4EB0-877A-16A1496B0399}" name="RESyx" dataDxfId="101">
      <calculatedColumnFormula>Table223421023456789[[#This Row],[Yest]]-Table223421023456789[[#This Row],[REF]]</calculatedColumnFormula>
    </tableColumn>
    <tableColumn id="19" xr3:uid="{F6EC6B63-2A96-4C71-A052-81467EEA9DBF}" name="Abs_erroryx" dataDxfId="100">
      <calculatedColumnFormula>ABS(Table223421023456789[[#This Row],[RESyx]])</calculatedColumnFormula>
    </tableColumn>
    <tableColumn id="10" xr3:uid="{BAC378B9-A65C-4651-B675-C037FCED984D}" name="yest_rect" dataDxfId="99" totalsRowDxfId="98">
      <calculatedColumnFormula>Table223421023456789[[#This Row],[Joris ]]*E$25+E$26</calculatedColumnFormula>
    </tableColumn>
    <tableColumn id="11" xr3:uid="{A4B7ADF8-5B7F-4A20-9C30-B4E1F5C9C46F}" name="dif^2" dataDxfId="97">
      <calculatedColumnFormula>Table223421023456789[[#This Row],[X-Y]]^2</calculatedColumnFormula>
    </tableColumn>
    <tableColumn id="15" xr3:uid="{2A3BC786-496B-43C1-A010-1BC2DFC26DE2}" name="dif rec" dataDxfId="96">
      <calculatedColumnFormula>Table223421023456789[[#This Row],[yest_rect]]-Table223421023456789[[#This Row],[REF]]</calculatedColumnFormula>
    </tableColumn>
    <tableColumn id="16" xr3:uid="{0E19951C-9E39-4FCA-884E-93BB5DAEB2C0}" name="dif_rec^2" dataDxfId="95">
      <calculatedColumnFormula>Table223421023456789[[#This Row],[dif rec]]^2</calculatedColumnFormula>
    </tableColumn>
    <tableColumn id="12" xr3:uid="{7E603EC7-87E1-4271-9BFA-55DD305601E2}" name="abs_errors" dataDxfId="94">
      <calculatedColumnFormula>ABS(Table223421023456789[[#This Row],[diff-bias]])</calculatedColumnFormula>
    </tableColumn>
    <tableColumn id="13" xr3:uid="{C78BB409-EFE3-41E6-8E38-5A29CB2E5E87}" name="Column3" dataDxfId="93">
      <calculatedColumnFormula>CELL("row",Table223421023456789[[#This Row],[Position]])</calculatedColumnFormula>
    </tableColumn>
    <tableColumn id="17" xr3:uid="{8AC02AEC-2DA0-4AD3-A8E1-A20FECFD17DF}" name="lab-med" dataDxfId="92">
      <calculatedColumnFormula>Table223421023456789[[#This Row],[REF]]-D$13</calculatedColumnFormula>
    </tableColumn>
    <tableColumn id="20" xr3:uid="{D07A24E0-2928-4694-B771-96569E3AE4A0}" name="abs(lab)" dataDxfId="91">
      <calculatedColumnFormula>ABS(Table223421023456789[[#This Row],[lab-med]])</calculatedColumnFormula>
    </tableColumn>
    <tableColumn id="14" xr3:uid="{12D88AFD-10E8-4149-BD2D-EB64BAEA4260}" name="anl-med" dataDxfId="90">
      <calculatedColumnFormula>Table223421023456789[[#This Row],[Joris ]]-F$13</calculatedColumnFormula>
    </tableColumn>
    <tableColumn id="21" xr3:uid="{B9E8AAB5-8970-4B69-8134-0261C2E1E59C}" name="abs(anl)" dataDxfId="89">
      <calculatedColumnFormula>ABS(Table223421023456789[[#This Row],[anl-med]])</calculatedColumnFormula>
    </tableColumn>
    <tableColumn id="22" xr3:uid="{ABF7D597-7FF8-448B-A350-DEB48B1CCD2C}" name="Produits Lab x Anl" dataDxfId="88">
      <calculatedColumnFormula>Table223421023456789[[#This Row],[lab-med]]*Table223421023456789[[#This Row],[anl-med]]</calculatedColumnFormula>
    </tableColumn>
  </tableColumns>
  <tableStyleInfo name="TableStyleLight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ABE2755-F963-4D35-A82B-0944E09D2719}" name="Table22342102345678911" displayName="Table22342102345678911" ref="B62:W142" totalsRowShown="0" headerRowDxfId="85" dataDxfId="84">
  <sortState xmlns:xlrd2="http://schemas.microsoft.com/office/spreadsheetml/2017/richdata2" ref="B63:W67">
    <sortCondition ref="C63:C67"/>
  </sortState>
  <tableColumns count="22">
    <tableColumn id="1" xr3:uid="{12E29C9B-506D-4D0A-9804-A2BAB1ACD827}" name="Position" dataDxfId="83" totalsRowDxfId="82">
      <calculatedColumnFormula>VALUE((Table22342102345678911[[#This Row],[Column3]]-62))</calculatedColumnFormula>
    </tableColumn>
    <tableColumn id="2" xr3:uid="{9D7A44FA-5752-4C8B-BEDB-22BF306F3964}" name="SN" dataDxfId="81" totalsRowDxfId="80" dataCellStyle="Normal_Sheet1"/>
    <tableColumn id="3" xr3:uid="{A56877BC-0DD1-4697-8075-0550BD1AEB20}" name="REF" dataDxfId="79" dataCellStyle="Normal_Sheet1"/>
    <tableColumn id="4" xr3:uid="{31FF26C9-B96F-422D-8E46-12A98496F375}" name="Column1" dataDxfId="78"/>
    <tableColumn id="5" xr3:uid="{35807F73-4A28-4E30-9388-39C25305637B}" name="Pierre" dataDxfId="77" dataCellStyle="Excel Built-in Normal"/>
    <tableColumn id="6" xr3:uid="{0683402A-EDE8-4030-A5D5-84AFF5AA3DCB}" name="X-Y" dataDxfId="76">
      <calculatedColumnFormula>Table22342102345678911[[#This Row],[Pierre]]-Table22342102345678911[[#This Row],[REF]]</calculatedColumnFormula>
    </tableColumn>
    <tableColumn id="7" xr3:uid="{B837D29F-CCFD-4C3F-9954-607B41D83C20}" name="diff-bias" dataDxfId="75">
      <calculatedColumnFormula>Table22342102345678911[[#This Row],[X-Y]]-E$20</calculatedColumnFormula>
    </tableColumn>
    <tableColumn id="8" xr3:uid="{560986D0-7164-4AC4-9002-7509F980F0A3}" name="Xbiased" dataDxfId="74">
      <calculatedColumnFormula>Table22342102345678911[[#This Row],[Pierre]]-E$20</calculatedColumnFormula>
    </tableColumn>
    <tableColumn id="9" xr3:uid="{2A334C82-2CC8-468F-831F-4CD3B94F8492}" name="Yest" dataDxfId="73">
      <calculatedColumnFormula>Table22342102345678911[[#This Row],[Pierre]]*E$21+E$22</calculatedColumnFormula>
    </tableColumn>
    <tableColumn id="18" xr3:uid="{374DFA02-622F-4AC8-B395-CE2D1A6327B9}" name="RESyx" dataDxfId="72">
      <calculatedColumnFormula>Table22342102345678911[[#This Row],[Yest]]-Table22342102345678911[[#This Row],[REF]]</calculatedColumnFormula>
    </tableColumn>
    <tableColumn id="19" xr3:uid="{F7B9A1E3-8BE5-423A-9097-86C4B1B890DB}" name="Abs_erroryx" dataDxfId="71">
      <calculatedColumnFormula>ABS(Table22342102345678911[[#This Row],[RESyx]])</calculatedColumnFormula>
    </tableColumn>
    <tableColumn id="10" xr3:uid="{D841C756-7E2E-4120-85A5-BBF5D4C26548}" name="yest_rect" dataDxfId="70" totalsRowDxfId="69">
      <calculatedColumnFormula>Table22342102345678911[[#This Row],[Pierre]]*E$25+E$26</calculatedColumnFormula>
    </tableColumn>
    <tableColumn id="11" xr3:uid="{F600365B-E8B3-4969-BD5E-7A3E4D84961A}" name="dif^2" dataDxfId="68">
      <calculatedColumnFormula>Table22342102345678911[[#This Row],[X-Y]]^2</calculatedColumnFormula>
    </tableColumn>
    <tableColumn id="15" xr3:uid="{2CD9E91B-BA6C-4E7E-BD7D-2572924AD032}" name="dif rec" dataDxfId="67">
      <calculatedColumnFormula>Table22342102345678911[[#This Row],[yest_rect]]-Table22342102345678911[[#This Row],[REF]]</calculatedColumnFormula>
    </tableColumn>
    <tableColumn id="16" xr3:uid="{BE8CB568-548B-4D0F-B800-D2834C0F046F}" name="dif_rec^2" dataDxfId="66">
      <calculatedColumnFormula>Table22342102345678911[[#This Row],[dif rec]]^2</calculatedColumnFormula>
    </tableColumn>
    <tableColumn id="12" xr3:uid="{10DBF35F-1706-451C-B2D4-9C14D5EE05C3}" name="abs_errors" dataDxfId="65">
      <calculatedColumnFormula>ABS(Table22342102345678911[[#This Row],[diff-bias]])</calculatedColumnFormula>
    </tableColumn>
    <tableColumn id="13" xr3:uid="{F837C85A-4347-425C-8047-629CEED2D72E}" name="Column3" dataDxfId="64">
      <calculatedColumnFormula>CELL("row",Table22342102345678911[[#This Row],[Position]])</calculatedColumnFormula>
    </tableColumn>
    <tableColumn id="17" xr3:uid="{55BFE4EE-38DB-4B67-8CBF-6714D18E6835}" name="lab-med" dataDxfId="63">
      <calculatedColumnFormula>Table22342102345678911[[#This Row],[REF]]-D$13</calculatedColumnFormula>
    </tableColumn>
    <tableColumn id="20" xr3:uid="{0E33B982-CE7A-460D-91B0-A26F05D760FA}" name="abs(lab)" dataDxfId="62">
      <calculatedColumnFormula>ABS(Table22342102345678911[[#This Row],[lab-med]])</calculatedColumnFormula>
    </tableColumn>
    <tableColumn id="14" xr3:uid="{E6376E7B-8918-4DB3-9A16-E33C3D960B55}" name="anl-med" dataDxfId="61">
      <calculatedColumnFormula>Table22342102345678911[[#This Row],[Pierre]]-F$13</calculatedColumnFormula>
    </tableColumn>
    <tableColumn id="21" xr3:uid="{E8F5754E-00B4-4774-9F38-EF24F1E7CF2F}" name="abs(anl)" dataDxfId="60">
      <calculatedColumnFormula>ABS(Table22342102345678911[[#This Row],[anl-med]])</calculatedColumnFormula>
    </tableColumn>
    <tableColumn id="22" xr3:uid="{C670E73A-B10F-4F2F-8B8A-5D5CA0FAD556}" name="Produits Lab x Anl" dataDxfId="59">
      <calculatedColumnFormula>Table22342102345678911[[#This Row],[lab-med]]*Table22342102345678911[[#This Row],[anl-med]]</calculatedColumnFormula>
    </tableColumn>
  </tableColumns>
  <tableStyleInfo name="TableStyleLight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80B4E6D-99ED-472F-86A8-D2B093B2F2EF}" name="Table2234210234567891112" displayName="Table2234210234567891112" ref="B62:W142" totalsRowShown="0" headerRowDxfId="56" dataDxfId="55">
  <sortState xmlns:xlrd2="http://schemas.microsoft.com/office/spreadsheetml/2017/richdata2" ref="B63:W67">
    <sortCondition ref="C63:C67"/>
  </sortState>
  <tableColumns count="22">
    <tableColumn id="1" xr3:uid="{2A908741-ED00-4E70-926A-D214DF62128E}" name="Position" dataDxfId="54" totalsRowDxfId="53">
      <calculatedColumnFormula>VALUE((Table2234210234567891112[[#This Row],[Column3]]-62))</calculatedColumnFormula>
    </tableColumn>
    <tableColumn id="2" xr3:uid="{632D7919-F61E-4E2D-940C-F264D6DE1FC6}" name="SN" dataDxfId="52" totalsRowDxfId="51" dataCellStyle="Normal_Sheet1"/>
    <tableColumn id="3" xr3:uid="{1AC19F75-3280-4776-8B2A-890C2D837364}" name="REF" dataDxfId="50" dataCellStyle="Normal_Sheet1"/>
    <tableColumn id="4" xr3:uid="{FC51B440-C86A-46E6-A715-22BB654C7803}" name="Column1" dataDxfId="49"/>
    <tableColumn id="5" xr3:uid="{7149FAE5-660C-44E9-BE8A-CC2522D50295}" name="mark w" dataDxfId="48" dataCellStyle="Excel Built-in Normal"/>
    <tableColumn id="6" xr3:uid="{FF6DCF7A-5533-4663-B05F-150CE1D03EE4}" name="X-Y" dataDxfId="47">
      <calculatedColumnFormula>Table2234210234567891112[[#This Row],[mark w]]-Table2234210234567891112[[#This Row],[REF]]</calculatedColumnFormula>
    </tableColumn>
    <tableColumn id="7" xr3:uid="{FF4E4395-742E-45E6-80AC-8DCEA9A5790A}" name="diff-bias" dataDxfId="46">
      <calculatedColumnFormula>Table2234210234567891112[[#This Row],[X-Y]]-E$20</calculatedColumnFormula>
    </tableColumn>
    <tableColumn id="8" xr3:uid="{78426F0E-5047-4883-A836-1E215D53725C}" name="Xbiased" dataDxfId="45">
      <calculatedColumnFormula>Table2234210234567891112[[#This Row],[mark w]]-E$20</calculatedColumnFormula>
    </tableColumn>
    <tableColumn id="9" xr3:uid="{7A36055C-F2E6-4AB5-8783-F1AB95AF69C5}" name="Yest" dataDxfId="44">
      <calculatedColumnFormula>Table2234210234567891112[[#This Row],[mark w]]*E$21+E$22</calculatedColumnFormula>
    </tableColumn>
    <tableColumn id="18" xr3:uid="{278048B3-BC04-49D1-B754-53E067545599}" name="RESyx" dataDxfId="43">
      <calculatedColumnFormula>Table2234210234567891112[[#This Row],[Yest]]-Table2234210234567891112[[#This Row],[REF]]</calculatedColumnFormula>
    </tableColumn>
    <tableColumn id="19" xr3:uid="{536FB903-A3B8-4EE0-9ADB-9D91F4BC6D50}" name="Abs_erroryx" dataDxfId="42">
      <calculatedColumnFormula>ABS(Table2234210234567891112[[#This Row],[RESyx]])</calculatedColumnFormula>
    </tableColumn>
    <tableColumn id="10" xr3:uid="{EBED0F08-0065-4030-889C-91D7573F8341}" name="yest_rect" dataDxfId="41" totalsRowDxfId="40">
      <calculatedColumnFormula>Table2234210234567891112[[#This Row],[mark w]]*E$25+E$26</calculatedColumnFormula>
    </tableColumn>
    <tableColumn id="11" xr3:uid="{6F41F773-2C3E-419E-8CEB-81A7F918A1E3}" name="dif^2" dataDxfId="39">
      <calculatedColumnFormula>Table2234210234567891112[[#This Row],[X-Y]]^2</calculatedColumnFormula>
    </tableColumn>
    <tableColumn id="15" xr3:uid="{A54E3749-0188-45D4-8770-9FA00CA58DF7}" name="dif rec" dataDxfId="38">
      <calculatedColumnFormula>Table2234210234567891112[[#This Row],[yest_rect]]-Table2234210234567891112[[#This Row],[REF]]</calculatedColumnFormula>
    </tableColumn>
    <tableColumn id="16" xr3:uid="{8DE71E2E-2AEE-4755-96C8-FB25170AF09C}" name="dif_rec^2" dataDxfId="37">
      <calculatedColumnFormula>Table2234210234567891112[[#This Row],[dif rec]]^2</calculatedColumnFormula>
    </tableColumn>
    <tableColumn id="12" xr3:uid="{DE451793-9861-4FAD-8EE9-D8FDBCD8F53B}" name="abs_errors" dataDxfId="36">
      <calculatedColumnFormula>ABS(Table2234210234567891112[[#This Row],[diff-bias]])</calculatedColumnFormula>
    </tableColumn>
    <tableColumn id="13" xr3:uid="{1AF59AD0-18C2-44BA-BC41-8512548CEE56}" name="Column3" dataDxfId="35">
      <calculatedColumnFormula>CELL("row",Table2234210234567891112[[#This Row],[Position]])</calculatedColumnFormula>
    </tableColumn>
    <tableColumn id="17" xr3:uid="{E943DB06-DA30-4D4E-94B5-476591899FC6}" name="lab-med" dataDxfId="34">
      <calculatedColumnFormula>Table2234210234567891112[[#This Row],[REF]]-D$13</calculatedColumnFormula>
    </tableColumn>
    <tableColumn id="20" xr3:uid="{3F47DCEF-6B73-46B2-9CC0-FFCA2F1A18B7}" name="abs(lab)" dataDxfId="33">
      <calculatedColumnFormula>ABS(Table2234210234567891112[[#This Row],[lab-med]])</calculatedColumnFormula>
    </tableColumn>
    <tableColumn id="14" xr3:uid="{EE5294DF-A136-42AD-94FD-A9E9C4A4CC41}" name="anl-med" dataDxfId="32">
      <calculatedColumnFormula>Table2234210234567891112[[#This Row],[mark w]]-F$13</calculatedColumnFormula>
    </tableColumn>
    <tableColumn id="21" xr3:uid="{F9471076-6340-4DF2-9524-3FE111AC2725}" name="abs(anl)" dataDxfId="31">
      <calculatedColumnFormula>ABS(Table2234210234567891112[[#This Row],[anl-med]])</calculatedColumnFormula>
    </tableColumn>
    <tableColumn id="22" xr3:uid="{56DBBE75-7148-4FDB-A119-E1ED50E7704A}" name="Produits Lab x Anl" dataDxfId="30">
      <calculatedColumnFormula>Table2234210234567891112[[#This Row],[lab-med]]*Table2234210234567891112[[#This Row],[anl-med]]</calculatedColumnFormula>
    </tableColumn>
  </tableColumns>
  <tableStyleInfo name="TableStyleLight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3DF8701-F280-4730-AB6F-C79D53568087}" name="Table223421023456789111213" displayName="Table223421023456789111213" ref="B62:W142" totalsRowShown="0" headerRowDxfId="27" dataDxfId="26">
  <sortState xmlns:xlrd2="http://schemas.microsoft.com/office/spreadsheetml/2017/richdata2" ref="B63:W67">
    <sortCondition ref="C63:C67"/>
  </sortState>
  <tableColumns count="22">
    <tableColumn id="1" xr3:uid="{E8E0DA91-B235-40BE-9111-CFB5439540C0}" name="Position" dataDxfId="25" totalsRowDxfId="24">
      <calculatedColumnFormula>VALUE((Table223421023456789111213[[#This Row],[Column3]]-62))</calculatedColumnFormula>
    </tableColumn>
    <tableColumn id="2" xr3:uid="{CBA2AE8F-18A0-44CB-A5F5-C9903964481D}" name="SN" dataDxfId="23" totalsRowDxfId="22" dataCellStyle="Normal_Sheet1"/>
    <tableColumn id="3" xr3:uid="{A2A55E70-1659-4D5B-9C99-FE7E89FF8D47}" name="REF" dataDxfId="21" dataCellStyle="Normal_Sheet1"/>
    <tableColumn id="4" xr3:uid="{D99DF9D5-5D2C-41F6-8BAE-059DEF284348}" name="Column1" dataDxfId="20"/>
    <tableColumn id="5" xr3:uid="{ABAC6147-594D-49EE-BF72-B2B4261C492C}" name="doug" dataDxfId="19" dataCellStyle="Excel Built-in Normal"/>
    <tableColumn id="6" xr3:uid="{DEA80198-A655-4789-8F8A-5BA9A2347B15}" name="X-Y" dataDxfId="18">
      <calculatedColumnFormula>Table223421023456789111213[[#This Row],[doug]]-Table223421023456789111213[[#This Row],[REF]]</calculatedColumnFormula>
    </tableColumn>
    <tableColumn id="7" xr3:uid="{F75E5327-50AE-4074-B360-1DF172F18B95}" name="diff-bias" dataDxfId="17">
      <calculatedColumnFormula>Table223421023456789111213[[#This Row],[X-Y]]-E$20</calculatedColumnFormula>
    </tableColumn>
    <tableColumn id="8" xr3:uid="{C99731B6-AE19-490B-B70E-F40070DD17A8}" name="Xbiased" dataDxfId="16">
      <calculatedColumnFormula>Table223421023456789111213[[#This Row],[doug]]-E$20</calculatedColumnFormula>
    </tableColumn>
    <tableColumn id="9" xr3:uid="{C717DDC1-9EC5-4227-B155-40A82A920696}" name="Yest" dataDxfId="15">
      <calculatedColumnFormula>Table223421023456789111213[[#This Row],[doug]]*E$21+E$22</calculatedColumnFormula>
    </tableColumn>
    <tableColumn id="18" xr3:uid="{84FDC799-74F0-4888-9D4D-460D00EAA708}" name="RESyx" dataDxfId="14">
      <calculatedColumnFormula>Table223421023456789111213[[#This Row],[Yest]]-Table223421023456789111213[[#This Row],[REF]]</calculatedColumnFormula>
    </tableColumn>
    <tableColumn id="19" xr3:uid="{49A5F257-CECD-4807-9DD1-A49BA97732A6}" name="Abs_erroryx" dataDxfId="13">
      <calculatedColumnFormula>ABS(Table223421023456789111213[[#This Row],[RESyx]])</calculatedColumnFormula>
    </tableColumn>
    <tableColumn id="10" xr3:uid="{34637D5A-800A-4B99-A29A-1C3A33C589CD}" name="yest_rect" dataDxfId="12" totalsRowDxfId="11">
      <calculatedColumnFormula>Table223421023456789111213[[#This Row],[doug]]*E$25+E$26</calculatedColumnFormula>
    </tableColumn>
    <tableColumn id="11" xr3:uid="{510C27AD-9E6B-48A5-AC28-E7590ED34E26}" name="dif^2" dataDxfId="10">
      <calculatedColumnFormula>Table223421023456789111213[[#This Row],[X-Y]]^2</calculatedColumnFormula>
    </tableColumn>
    <tableColumn id="15" xr3:uid="{647249ED-33D1-4827-A7B4-2F728935ED0C}" name="dif rec" dataDxfId="9">
      <calculatedColumnFormula>Table223421023456789111213[[#This Row],[yest_rect]]-Table223421023456789111213[[#This Row],[REF]]</calculatedColumnFormula>
    </tableColumn>
    <tableColumn id="16" xr3:uid="{7179D54D-21D0-414F-BF42-FD6CB1738F39}" name="dif_rec^2" dataDxfId="8">
      <calculatedColumnFormula>Table223421023456789111213[[#This Row],[dif rec]]^2</calculatedColumnFormula>
    </tableColumn>
    <tableColumn id="12" xr3:uid="{57476E2D-9AC7-4C10-829F-64A4859AFC4E}" name="abs_errors" dataDxfId="7">
      <calculatedColumnFormula>ABS(Table223421023456789111213[[#This Row],[diff-bias]])</calculatedColumnFormula>
    </tableColumn>
    <tableColumn id="13" xr3:uid="{061ED385-556E-4F7A-8ECF-995FD4FD357F}" name="Column3" dataDxfId="6">
      <calculatedColumnFormula>CELL("row",Table223421023456789111213[[#This Row],[Position]])</calculatedColumnFormula>
    </tableColumn>
    <tableColumn id="17" xr3:uid="{C5A74E60-4962-4FAA-90D2-53BB0C2032C1}" name="lab-med" dataDxfId="5">
      <calculatedColumnFormula>Table223421023456789111213[[#This Row],[REF]]-D$13</calculatedColumnFormula>
    </tableColumn>
    <tableColumn id="20" xr3:uid="{5F6A0351-AAE8-47B6-B492-0E755BF4C037}" name="abs(lab)" dataDxfId="4">
      <calculatedColumnFormula>ABS(Table223421023456789111213[[#This Row],[lab-med]])</calculatedColumnFormula>
    </tableColumn>
    <tableColumn id="14" xr3:uid="{FA92BC1D-0B8B-46C2-A4FA-B56497A93B6B}" name="anl-med" dataDxfId="3">
      <calculatedColumnFormula>Table223421023456789111213[[#This Row],[doug]]-F$13</calculatedColumnFormula>
    </tableColumn>
    <tableColumn id="21" xr3:uid="{D17577E0-D412-4124-B9F1-C29F09C0B1B8}" name="abs(anl)" dataDxfId="2">
      <calculatedColumnFormula>ABS(Table223421023456789111213[[#This Row],[anl-med]])</calculatedColumnFormula>
    </tableColumn>
    <tableColumn id="22" xr3:uid="{04967C87-288E-4C14-9785-72E6355D4160}" name="Produits Lab x Anl" dataDxfId="1">
      <calculatedColumnFormula>Table223421023456789111213[[#This Row],[lab-med]]*Table223421023456789111213[[#This Row],[anl-med]]</calculatedColumnFormula>
    </tableColumn>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2.bin"/><Relationship Id="rId5" Type="http://schemas.openxmlformats.org/officeDocument/2006/relationships/comments" Target="../comments2.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3.bin"/><Relationship Id="rId5" Type="http://schemas.openxmlformats.org/officeDocument/2006/relationships/comments" Target="../comments3.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7.xml"/><Relationship Id="rId1" Type="http://schemas.openxmlformats.org/officeDocument/2006/relationships/printerSettings" Target="../printerSettings/printerSettings4.bin"/><Relationship Id="rId5" Type="http://schemas.openxmlformats.org/officeDocument/2006/relationships/comments" Target="../comments4.xml"/><Relationship Id="rId4"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9.xml"/><Relationship Id="rId1" Type="http://schemas.openxmlformats.org/officeDocument/2006/relationships/printerSettings" Target="../printerSettings/printerSettings5.bin"/><Relationship Id="rId5" Type="http://schemas.openxmlformats.org/officeDocument/2006/relationships/comments" Target="../comments5.xml"/><Relationship Id="rId4"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1.xml"/><Relationship Id="rId1" Type="http://schemas.openxmlformats.org/officeDocument/2006/relationships/printerSettings" Target="../printerSettings/printerSettings6.bin"/><Relationship Id="rId5" Type="http://schemas.openxmlformats.org/officeDocument/2006/relationships/comments" Target="../comments6.xml"/><Relationship Id="rId4" Type="http://schemas.openxmlformats.org/officeDocument/2006/relationships/table" Target="../tables/table6.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3.xml"/><Relationship Id="rId1" Type="http://schemas.openxmlformats.org/officeDocument/2006/relationships/printerSettings" Target="../printerSettings/printerSettings7.bin"/><Relationship Id="rId5" Type="http://schemas.openxmlformats.org/officeDocument/2006/relationships/comments" Target="../comments7.xml"/><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5.xml"/><Relationship Id="rId1" Type="http://schemas.openxmlformats.org/officeDocument/2006/relationships/printerSettings" Target="../printerSettings/printerSettings8.bin"/><Relationship Id="rId5" Type="http://schemas.openxmlformats.org/officeDocument/2006/relationships/comments" Target="../comments8.xml"/><Relationship Id="rId4" Type="http://schemas.openxmlformats.org/officeDocument/2006/relationships/table" Target="../tables/table8.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7.xml"/><Relationship Id="rId1" Type="http://schemas.openxmlformats.org/officeDocument/2006/relationships/printerSettings" Target="../printerSettings/printerSettings9.bin"/><Relationship Id="rId5" Type="http://schemas.openxmlformats.org/officeDocument/2006/relationships/comments" Target="../comments9.xml"/><Relationship Id="rId4"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9.xml"/><Relationship Id="rId1" Type="http://schemas.openxmlformats.org/officeDocument/2006/relationships/printerSettings" Target="../printerSettings/printerSettings12.bin"/><Relationship Id="rId5" Type="http://schemas.openxmlformats.org/officeDocument/2006/relationships/comments" Target="../comments10.xml"/><Relationship Id="rId4"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1.xml"/><Relationship Id="rId1" Type="http://schemas.openxmlformats.org/officeDocument/2006/relationships/printerSettings" Target="../printerSettings/printerSettings13.bin"/><Relationship Id="rId5" Type="http://schemas.openxmlformats.org/officeDocument/2006/relationships/comments" Target="../comments11.xml"/><Relationship Id="rId4"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3.xml"/><Relationship Id="rId1" Type="http://schemas.openxmlformats.org/officeDocument/2006/relationships/printerSettings" Target="../printerSettings/printerSettings14.bin"/><Relationship Id="rId5" Type="http://schemas.openxmlformats.org/officeDocument/2006/relationships/comments" Target="../comments12.xml"/><Relationship Id="rId4"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84673-2356-4453-B874-776B10F75486}">
  <sheetPr>
    <pageSetUpPr fitToPage="1"/>
  </sheetPr>
  <dimension ref="B1:AB142"/>
  <sheetViews>
    <sheetView topLeftCell="A6" zoomScale="80" zoomScaleNormal="80" workbookViewId="0">
      <selection activeCell="E23" sqref="E23"/>
    </sheetView>
  </sheetViews>
  <sheetFormatPr defaultColWidth="8.88671875" defaultRowHeight="13.2" x14ac:dyDescent="0.25"/>
  <cols>
    <col min="1" max="1" width="3.109375" style="2" customWidth="1"/>
    <col min="2" max="2" width="9.44140625" style="2" customWidth="1"/>
    <col min="3" max="3" width="20.88671875" style="2" customWidth="1"/>
    <col min="4" max="4" width="15.44140625" style="61" customWidth="1"/>
    <col min="5" max="5" width="10.88671875" style="61" customWidth="1"/>
    <col min="6" max="6" width="13.5546875" style="61" customWidth="1"/>
    <col min="7" max="7" width="10.33203125" style="2" customWidth="1"/>
    <col min="8" max="8" width="13.33203125" style="2" customWidth="1"/>
    <col min="9" max="9" width="10.5546875" style="2" customWidth="1"/>
    <col min="10" max="10" width="15" style="2" customWidth="1"/>
    <col min="11" max="11" width="12.109375" style="3" customWidth="1"/>
    <col min="12" max="12" width="9.109375" style="3" customWidth="1"/>
    <col min="13" max="13" width="7.6640625" style="2" customWidth="1"/>
    <col min="14" max="14" width="7" style="2" customWidth="1"/>
    <col min="15" max="15" width="11.109375" style="2" customWidth="1"/>
    <col min="16" max="16" width="10.109375" style="2" customWidth="1"/>
    <col min="17" max="17" width="6.33203125" style="2" customWidth="1"/>
    <col min="18" max="20" width="8.88671875" style="2"/>
    <col min="21" max="21" width="9.33203125" style="2" customWidth="1"/>
    <col min="22" max="23" width="8.88671875" style="2"/>
    <col min="24" max="24" width="9.109375" style="2" customWidth="1"/>
    <col min="25" max="16384" width="8.88671875" style="2"/>
  </cols>
  <sheetData>
    <row r="1" spans="2:28" ht="15.6" customHeight="1" x14ac:dyDescent="0.25">
      <c r="B1" s="1"/>
      <c r="C1" s="1"/>
      <c r="D1" s="2"/>
      <c r="E1" s="1"/>
      <c r="F1" s="2"/>
      <c r="M1" s="3"/>
      <c r="N1" s="3"/>
      <c r="O1" s="3"/>
      <c r="P1" s="3"/>
      <c r="Q1" s="3"/>
      <c r="R1" s="3"/>
      <c r="S1" s="3"/>
      <c r="T1" s="3"/>
      <c r="U1" s="3"/>
      <c r="V1" s="3"/>
      <c r="W1" s="1" t="s">
        <v>53</v>
      </c>
    </row>
    <row r="2" spans="2:28" ht="6.6" customHeight="1" x14ac:dyDescent="0.3">
      <c r="D2" s="4"/>
      <c r="E2" s="4"/>
      <c r="F2" s="4"/>
      <c r="G2" s="5"/>
      <c r="H2" s="4"/>
      <c r="I2" s="4"/>
      <c r="J2" s="4"/>
      <c r="K2" s="6"/>
      <c r="L2" s="6"/>
      <c r="M2" s="6"/>
      <c r="N2" s="6"/>
      <c r="O2" s="6"/>
      <c r="P2" s="6"/>
      <c r="Q2" s="6"/>
      <c r="R2" s="6"/>
      <c r="S2" s="6"/>
      <c r="T2" s="6"/>
      <c r="U2" s="6"/>
      <c r="V2" s="6"/>
      <c r="W2" s="3"/>
    </row>
    <row r="3" spans="2:28" ht="20.399999999999999" x14ac:dyDescent="0.35">
      <c r="C3" s="98" t="s">
        <v>149</v>
      </c>
      <c r="D3" s="98"/>
      <c r="E3" s="98"/>
      <c r="F3" s="98"/>
      <c r="G3" s="98"/>
      <c r="H3" s="98"/>
      <c r="I3" s="98"/>
      <c r="J3" s="98"/>
      <c r="K3" s="98"/>
      <c r="L3" s="6"/>
      <c r="M3" s="6"/>
      <c r="N3" s="6"/>
      <c r="O3" s="6"/>
      <c r="P3" s="6"/>
      <c r="Q3" s="6"/>
      <c r="R3" s="6"/>
      <c r="S3" s="6"/>
      <c r="T3" s="6"/>
      <c r="U3" s="6"/>
      <c r="V3" s="6"/>
      <c r="W3" s="3"/>
    </row>
    <row r="4" spans="2:28" ht="7.2" customHeight="1" x14ac:dyDescent="0.25">
      <c r="D4" s="4"/>
      <c r="E4" s="4"/>
      <c r="F4" s="4"/>
      <c r="G4" s="4"/>
      <c r="H4" s="4"/>
      <c r="I4" s="4"/>
      <c r="J4" s="4"/>
      <c r="K4" s="6"/>
      <c r="L4" s="6"/>
      <c r="M4" s="6"/>
      <c r="N4" s="6"/>
      <c r="O4" s="6"/>
      <c r="P4" s="6"/>
      <c r="Q4" s="6"/>
      <c r="R4" s="6"/>
      <c r="S4" s="6"/>
      <c r="T4" s="6"/>
      <c r="U4" s="6"/>
      <c r="V4" s="6"/>
      <c r="W4" s="36"/>
      <c r="X4" s="30"/>
      <c r="Y4" s="30"/>
      <c r="Z4" s="30"/>
      <c r="AA4" s="30"/>
      <c r="AB4" s="30"/>
    </row>
    <row r="5" spans="2:28" ht="7.95" customHeight="1" thickBot="1" x14ac:dyDescent="0.3">
      <c r="D5" s="4"/>
      <c r="E5" s="4"/>
      <c r="F5" s="4"/>
      <c r="G5" s="4"/>
      <c r="H5" s="4"/>
      <c r="I5" s="4"/>
      <c r="J5" s="4"/>
      <c r="K5" s="6"/>
      <c r="L5" s="6"/>
      <c r="M5" s="6"/>
      <c r="N5" s="6"/>
      <c r="O5" s="6"/>
      <c r="P5" s="6"/>
      <c r="Q5" s="6"/>
      <c r="R5" s="6"/>
      <c r="S5" s="6"/>
      <c r="T5" s="6"/>
      <c r="U5" s="6"/>
      <c r="V5" s="6"/>
      <c r="W5" s="36"/>
      <c r="X5" s="30"/>
      <c r="Y5" s="30"/>
      <c r="Z5" s="30"/>
      <c r="AA5" s="30"/>
      <c r="AB5" s="30"/>
    </row>
    <row r="6" spans="2:28" ht="17.399999999999999" x14ac:dyDescent="0.3">
      <c r="B6" s="47"/>
      <c r="C6" s="48" t="str">
        <f>CONCATENATE(D62," = f (",F62," )")</f>
        <v>REF = f (Ypred )</v>
      </c>
      <c r="D6" s="49"/>
      <c r="E6" s="48"/>
      <c r="F6" s="48"/>
      <c r="G6" s="8"/>
      <c r="H6" s="65" t="s">
        <v>38</v>
      </c>
      <c r="I6" s="7"/>
      <c r="J6" s="8"/>
      <c r="M6" s="3"/>
      <c r="N6" s="3"/>
      <c r="O6" s="3"/>
      <c r="P6" s="3"/>
      <c r="Q6" s="3"/>
      <c r="R6" s="3"/>
      <c r="S6" s="3"/>
      <c r="T6" s="3"/>
      <c r="U6" s="3"/>
      <c r="V6" s="3"/>
      <c r="W6" s="36"/>
      <c r="X6" s="30"/>
      <c r="Y6" s="30"/>
      <c r="Z6" s="30"/>
      <c r="AA6" s="30"/>
      <c r="AB6" s="30"/>
    </row>
    <row r="7" spans="2:28" ht="17.399999999999999" x14ac:dyDescent="0.3">
      <c r="B7" s="50"/>
      <c r="C7" s="36"/>
      <c r="D7" s="45" t="str">
        <f>D62</f>
        <v>REF</v>
      </c>
      <c r="E7" s="45"/>
      <c r="F7" s="45" t="str">
        <f>F62</f>
        <v>Ypred</v>
      </c>
      <c r="G7" s="10"/>
      <c r="H7" s="66" t="s">
        <v>22</v>
      </c>
      <c r="I7" s="9">
        <v>500</v>
      </c>
      <c r="J7" s="10"/>
      <c r="M7" s="3"/>
      <c r="N7" s="3"/>
      <c r="O7" s="3"/>
      <c r="P7" s="3"/>
      <c r="Q7" s="3"/>
      <c r="R7" s="3"/>
      <c r="S7" s="3"/>
      <c r="T7" s="3"/>
      <c r="U7" s="3"/>
      <c r="V7" s="3"/>
      <c r="W7" s="36"/>
      <c r="X7" s="30" t="s">
        <v>30</v>
      </c>
      <c r="Y7" s="30"/>
      <c r="Z7" s="30"/>
      <c r="AA7" s="30"/>
      <c r="AB7" s="30"/>
    </row>
    <row r="8" spans="2:28" ht="17.399999999999999" x14ac:dyDescent="0.3">
      <c r="B8" s="50"/>
      <c r="C8" s="51" t="s">
        <v>22</v>
      </c>
      <c r="D8" s="23"/>
      <c r="E8" s="45">
        <f>COUNT(Table2234210[REF])</f>
        <v>80</v>
      </c>
      <c r="F8" s="23"/>
      <c r="G8" s="10"/>
      <c r="H8" s="66" t="s">
        <v>39</v>
      </c>
      <c r="I8" s="9">
        <v>1.2</v>
      </c>
      <c r="J8" s="10"/>
      <c r="M8" s="3"/>
      <c r="N8" s="3"/>
      <c r="O8" s="3"/>
      <c r="P8" s="3"/>
      <c r="Q8" s="3"/>
      <c r="R8" s="3"/>
      <c r="S8" s="3"/>
      <c r="T8" s="3"/>
      <c r="U8" s="3"/>
      <c r="V8" s="3"/>
      <c r="W8" s="36"/>
      <c r="X8" s="37">
        <f>62+E8</f>
        <v>142</v>
      </c>
      <c r="Y8" s="30"/>
      <c r="Z8" s="38"/>
      <c r="AA8" s="30"/>
      <c r="AB8" s="30"/>
    </row>
    <row r="9" spans="2:28" ht="16.2" thickBot="1" x14ac:dyDescent="0.35">
      <c r="B9" s="50"/>
      <c r="C9" s="51" t="s">
        <v>6</v>
      </c>
      <c r="D9" s="24">
        <f>AVERAGE(Table2234210[REF])</f>
        <v>11.109499980000002</v>
      </c>
      <c r="E9" s="24"/>
      <c r="F9" s="24">
        <f>AVERAGE(Table2234210[Ypred])</f>
        <v>10.952379430832387</v>
      </c>
      <c r="G9" s="69"/>
      <c r="H9" s="67" t="s">
        <v>43</v>
      </c>
      <c r="I9" s="13"/>
      <c r="J9" s="14">
        <v>12</v>
      </c>
      <c r="M9" s="3"/>
      <c r="N9" s="3"/>
      <c r="O9" s="3"/>
      <c r="P9" s="3"/>
      <c r="Q9" s="3"/>
      <c r="R9" s="3"/>
      <c r="S9" s="3"/>
      <c r="T9" s="3"/>
      <c r="U9" s="3"/>
      <c r="V9" s="3"/>
      <c r="W9" s="56"/>
      <c r="X9" s="30"/>
      <c r="Y9" s="30"/>
      <c r="Z9" s="30"/>
      <c r="AA9" s="30"/>
      <c r="AB9" s="30"/>
    </row>
    <row r="10" spans="2:28" ht="16.2" thickBot="1" x14ac:dyDescent="0.35">
      <c r="B10" s="50"/>
      <c r="C10" s="51" t="s">
        <v>7</v>
      </c>
      <c r="D10" s="24">
        <f>MIN(Table2234210[REF])</f>
        <v>8.9700003000000006</v>
      </c>
      <c r="E10" s="24">
        <f>ROUNDDOWN(MIN(D10,F10),0)</f>
        <v>5</v>
      </c>
      <c r="F10" s="24">
        <f>MIN(Table2234210[Ypred])</f>
        <v>5.9089431228349003</v>
      </c>
      <c r="G10" s="70"/>
      <c r="H10" s="68" t="s">
        <v>40</v>
      </c>
      <c r="I10" s="15">
        <v>0.05</v>
      </c>
      <c r="J10" s="16"/>
      <c r="M10" s="3"/>
      <c r="N10" s="3"/>
      <c r="O10" s="3"/>
      <c r="P10" s="3"/>
      <c r="Q10" s="3"/>
      <c r="R10" s="3"/>
      <c r="S10" s="3"/>
      <c r="T10" s="3"/>
      <c r="U10" s="3"/>
      <c r="V10" s="3"/>
      <c r="W10" s="56">
        <f>E10+E20</f>
        <v>4.8428794508323847</v>
      </c>
      <c r="X10" s="30"/>
      <c r="Y10" s="30"/>
      <c r="Z10" s="30"/>
      <c r="AA10" s="30"/>
      <c r="AB10" s="30"/>
    </row>
    <row r="11" spans="2:28" ht="15.6" x14ac:dyDescent="0.3">
      <c r="B11" s="50"/>
      <c r="C11" s="51" t="s">
        <v>8</v>
      </c>
      <c r="D11" s="24">
        <f>MAX(Table2234210[REF])</f>
        <v>14.4300003</v>
      </c>
      <c r="E11" s="24">
        <f>ROUNDUP(MAX(D11,F11),0)+1</f>
        <v>18</v>
      </c>
      <c r="F11" s="24">
        <f>MAX(Table2234210[Ypred])</f>
        <v>16.4427234151444</v>
      </c>
      <c r="G11" s="70"/>
      <c r="H11" s="28" t="s">
        <v>41</v>
      </c>
      <c r="I11" s="29">
        <f>TINV(I10,E8)</f>
        <v>1.9900634212544475</v>
      </c>
      <c r="J11" s="29"/>
      <c r="K11" s="36"/>
      <c r="M11" s="3"/>
      <c r="N11" s="3"/>
      <c r="O11" s="3"/>
      <c r="P11" s="3"/>
      <c r="Q11" s="3"/>
      <c r="R11" s="3"/>
      <c r="S11" s="3"/>
      <c r="T11" s="3"/>
      <c r="U11" s="3"/>
      <c r="V11" s="3"/>
      <c r="W11" s="56">
        <f>E11+E20</f>
        <v>17.842879450832385</v>
      </c>
      <c r="X11" s="30"/>
      <c r="Y11" s="30"/>
      <c r="Z11" s="30"/>
      <c r="AA11" s="30"/>
      <c r="AB11" s="30"/>
    </row>
    <row r="12" spans="2:28" ht="15.6" x14ac:dyDescent="0.3">
      <c r="B12" s="50"/>
      <c r="C12" s="51" t="s">
        <v>9</v>
      </c>
      <c r="D12" s="25">
        <f>STDEV(Table2234210[REF])</f>
        <v>1.1729049824811564</v>
      </c>
      <c r="E12" s="25"/>
      <c r="F12" s="24">
        <f>STDEV(Table2234210[Ypred])</f>
        <v>2.2888483752392417</v>
      </c>
      <c r="G12" s="69"/>
      <c r="H12" s="28" t="s">
        <v>42</v>
      </c>
      <c r="I12" s="29">
        <f>FINV(I10,E8-1,I7-1-J9)</f>
        <v>1.305795130911809</v>
      </c>
      <c r="J12" s="30"/>
      <c r="K12" s="36"/>
      <c r="M12" s="3"/>
      <c r="N12" s="3"/>
      <c r="O12" s="3"/>
      <c r="P12" s="3"/>
      <c r="Q12" s="3"/>
      <c r="R12" s="3"/>
      <c r="S12" s="3"/>
      <c r="T12" s="3"/>
      <c r="U12" s="3"/>
      <c r="V12" s="3"/>
      <c r="W12" s="36"/>
      <c r="X12" s="30"/>
      <c r="Y12" s="30"/>
      <c r="Z12" s="30"/>
      <c r="AA12" s="30"/>
      <c r="AB12" s="30"/>
    </row>
    <row r="13" spans="2:28" ht="15.6" x14ac:dyDescent="0.3">
      <c r="B13" s="50"/>
      <c r="C13" s="51" t="s">
        <v>56</v>
      </c>
      <c r="D13" s="24">
        <f>MEDIAN(Table2234210[REF])</f>
        <v>11.010000250000001</v>
      </c>
      <c r="E13" s="25"/>
      <c r="F13" s="24">
        <f>MEDIAN(Table2234210[Ypred])</f>
        <v>10.9956725580123</v>
      </c>
      <c r="G13" s="69"/>
      <c r="H13" s="28"/>
      <c r="I13" s="29"/>
      <c r="J13" s="30"/>
      <c r="K13" s="36"/>
      <c r="M13" s="3"/>
      <c r="N13" s="3"/>
      <c r="O13" s="3"/>
      <c r="P13" s="3"/>
      <c r="Q13" s="3"/>
      <c r="R13" s="3"/>
      <c r="S13" s="3"/>
      <c r="T13" s="3"/>
      <c r="U13" s="3"/>
      <c r="V13" s="3"/>
      <c r="W13" s="36"/>
      <c r="X13" s="30"/>
      <c r="Y13" s="30"/>
      <c r="Z13" s="30"/>
      <c r="AA13" s="30"/>
      <c r="AB13" s="30"/>
    </row>
    <row r="14" spans="2:28" ht="15.6" x14ac:dyDescent="0.3">
      <c r="B14" s="50"/>
      <c r="C14" s="51" t="s">
        <v>57</v>
      </c>
      <c r="D14" s="25">
        <f>1.4826*(MEDIAN(Table2234210[abs(lab)]))</f>
        <v>1.4677736293499986</v>
      </c>
      <c r="E14" s="25"/>
      <c r="F14" s="24">
        <f>1.4826*MEDIAN(Table2234210[abs(anl)])</f>
        <v>2.1065927964442182</v>
      </c>
      <c r="G14" s="75"/>
      <c r="H14" s="28"/>
      <c r="I14" s="29"/>
      <c r="J14" s="30"/>
      <c r="K14" s="36"/>
      <c r="M14" s="3"/>
      <c r="N14" s="3"/>
      <c r="O14" s="3"/>
      <c r="P14" s="3"/>
      <c r="Q14" s="3"/>
      <c r="R14" s="3"/>
      <c r="S14" s="3"/>
      <c r="T14" s="3"/>
      <c r="U14" s="3"/>
      <c r="V14" s="3"/>
      <c r="W14" s="36"/>
      <c r="X14" s="30"/>
      <c r="Y14" s="30"/>
      <c r="Z14" s="30"/>
      <c r="AA14" s="30"/>
      <c r="AB14" s="30"/>
    </row>
    <row r="15" spans="2:28" ht="15.6" x14ac:dyDescent="0.3">
      <c r="B15" s="50"/>
      <c r="C15" s="51"/>
      <c r="D15" s="25"/>
      <c r="E15" s="25"/>
      <c r="F15" s="24" t="s">
        <v>63</v>
      </c>
      <c r="G15" s="69"/>
      <c r="H15" s="28"/>
      <c r="I15" s="29"/>
      <c r="J15" s="30"/>
      <c r="K15" s="36"/>
      <c r="M15" s="3"/>
      <c r="N15" s="3"/>
      <c r="O15" s="3"/>
      <c r="P15" s="3"/>
      <c r="Q15" s="3"/>
      <c r="R15" s="3"/>
      <c r="S15" s="3"/>
      <c r="T15" s="3"/>
      <c r="U15" s="3"/>
      <c r="V15" s="3"/>
      <c r="W15" s="36"/>
      <c r="X15" s="30"/>
      <c r="Y15" s="30"/>
      <c r="Z15" s="30"/>
      <c r="AA15" s="30"/>
      <c r="AB15" s="30"/>
    </row>
    <row r="16" spans="2:28" ht="17.399999999999999" x14ac:dyDescent="0.3">
      <c r="B16" s="50"/>
      <c r="C16" s="51" t="s">
        <v>10</v>
      </c>
      <c r="D16" s="25"/>
      <c r="E16" s="26">
        <f>SQRT(AVERAGE(Table2234210[dif^2]))</f>
        <v>2.0264867752251092</v>
      </c>
      <c r="F16" s="72">
        <f>SQRT(F18^2+E20^2)</f>
        <v>2.718360658356175</v>
      </c>
      <c r="G16" s="10"/>
      <c r="H16" s="31"/>
      <c r="I16" s="30"/>
      <c r="J16" s="31"/>
      <c r="K16" s="44"/>
      <c r="M16" s="3"/>
      <c r="N16" s="3"/>
      <c r="O16" s="3"/>
      <c r="P16" s="3"/>
      <c r="Q16" s="3"/>
      <c r="R16" s="3"/>
      <c r="S16" s="3"/>
      <c r="T16" s="3"/>
      <c r="U16" s="3"/>
      <c r="V16" s="3"/>
      <c r="W16" s="36"/>
      <c r="X16" s="30"/>
      <c r="Y16" s="30"/>
      <c r="Z16" s="30"/>
      <c r="AA16" s="30"/>
      <c r="AB16" s="30"/>
    </row>
    <row r="17" spans="2:28" ht="21" x14ac:dyDescent="0.4">
      <c r="B17" s="50"/>
      <c r="C17" s="51" t="s">
        <v>55</v>
      </c>
      <c r="D17" s="3"/>
      <c r="E17" s="26"/>
      <c r="F17" s="26">
        <f>MEDIAN(Table2234210[abs_errors])</f>
        <v>1.830443879548965</v>
      </c>
      <c r="G17" s="10"/>
      <c r="H17" s="32"/>
      <c r="I17" s="33"/>
      <c r="J17" s="34"/>
      <c r="K17" s="54"/>
      <c r="M17" s="3"/>
      <c r="N17" s="3"/>
      <c r="O17" s="3"/>
      <c r="P17" s="3"/>
      <c r="Q17" s="3"/>
      <c r="R17" s="3"/>
      <c r="S17" s="3"/>
      <c r="T17" s="3"/>
      <c r="U17" s="3"/>
      <c r="V17" s="3"/>
      <c r="W17" s="36"/>
      <c r="X17" s="30"/>
      <c r="Y17" s="30"/>
      <c r="Z17" s="30"/>
      <c r="AA17" s="30"/>
      <c r="AB17" s="30"/>
    </row>
    <row r="18" spans="2:28" ht="21" x14ac:dyDescent="0.4">
      <c r="B18" s="50"/>
      <c r="C18" s="51" t="s">
        <v>11</v>
      </c>
      <c r="D18" s="25"/>
      <c r="E18" s="26">
        <f>STDEV(Table2234210[X-Y])</f>
        <v>2.0331335877188224</v>
      </c>
      <c r="F18" s="26">
        <f>1.4826*MEDIAN(Table2234210[abs_errors])</f>
        <v>2.7138160958192956</v>
      </c>
      <c r="G18" s="10"/>
      <c r="H18" s="32" t="s">
        <v>44</v>
      </c>
      <c r="I18" s="33">
        <f>I8*I12</f>
        <v>1.5669541570941707</v>
      </c>
      <c r="J18" s="34" t="str">
        <f>IF(E18&gt;I18,"S"," ns ")</f>
        <v>S</v>
      </c>
      <c r="K18" s="36"/>
      <c r="M18" s="3"/>
      <c r="N18" s="3"/>
      <c r="O18" s="3"/>
      <c r="P18" s="3"/>
      <c r="Q18" s="3"/>
      <c r="R18" s="3"/>
      <c r="S18" s="3"/>
      <c r="T18" s="3"/>
      <c r="U18" s="3"/>
      <c r="V18" s="3"/>
      <c r="W18" s="36"/>
      <c r="X18" s="30" t="s">
        <v>28</v>
      </c>
      <c r="Y18" s="30" t="s">
        <v>27</v>
      </c>
      <c r="Z18" s="30"/>
      <c r="AA18" s="30"/>
      <c r="AB18" s="30"/>
    </row>
    <row r="19" spans="2:28" ht="17.399999999999999" x14ac:dyDescent="0.3">
      <c r="B19" s="50"/>
      <c r="C19" s="51" t="s">
        <v>12</v>
      </c>
      <c r="D19" s="25"/>
      <c r="E19" s="26">
        <f>STEYX(Table2234210[REF],Table2234210[Ypred])</f>
        <v>1.0468350948193992</v>
      </c>
      <c r="F19" s="26">
        <f>1.4826*MEDIAN(Table2234210[Abs_erroryx])</f>
        <v>1.0700526971321205</v>
      </c>
      <c r="G19" s="10"/>
      <c r="H19" s="32"/>
      <c r="I19" s="33"/>
      <c r="J19" s="30"/>
      <c r="K19" s="36"/>
      <c r="M19" s="3"/>
      <c r="N19" s="3"/>
      <c r="O19" s="3"/>
      <c r="P19" s="3"/>
      <c r="Q19" s="3"/>
      <c r="R19" s="3"/>
      <c r="S19" s="3"/>
      <c r="T19" s="3"/>
      <c r="U19" s="3"/>
      <c r="V19" s="3"/>
      <c r="W19" s="36" t="s">
        <v>24</v>
      </c>
      <c r="X19" s="35">
        <f>E$26+E$25*E10</f>
        <v>8.0592431051592186</v>
      </c>
      <c r="Y19" s="30">
        <f>E10</f>
        <v>5</v>
      </c>
      <c r="Z19" s="30"/>
      <c r="AA19" s="30"/>
      <c r="AB19" s="30"/>
    </row>
    <row r="20" spans="2:28" ht="21" x14ac:dyDescent="0.4">
      <c r="B20" s="50"/>
      <c r="C20" s="51" t="s">
        <v>16</v>
      </c>
      <c r="D20" s="25"/>
      <c r="E20" s="72">
        <f>F9-D9</f>
        <v>-0.15712054916761531</v>
      </c>
      <c r="F20" s="26">
        <f>F13-D13</f>
        <v>-1.4327691987700675E-2</v>
      </c>
      <c r="G20" s="10"/>
      <c r="H20" s="32" t="s">
        <v>46</v>
      </c>
      <c r="I20" s="33">
        <f>ABS(E20/(SQRT(SUM(Table2234210[dif^2])/(E8*(E8-1)))))</f>
        <v>0.68913254457435469</v>
      </c>
      <c r="J20" s="34" t="str">
        <f>IF(I20&gt;I11,"S","ns")</f>
        <v>ns</v>
      </c>
      <c r="K20" s="36"/>
      <c r="M20" s="3"/>
      <c r="N20" s="3"/>
      <c r="O20" s="3"/>
      <c r="P20" s="3"/>
      <c r="Q20" s="3"/>
      <c r="R20" s="3"/>
      <c r="S20" s="3"/>
      <c r="T20" s="3"/>
      <c r="U20" s="3"/>
      <c r="V20" s="3"/>
      <c r="W20" s="36" t="s">
        <v>25</v>
      </c>
      <c r="X20" s="35">
        <f>E$26+E$25*E11</f>
        <v>14.721005822692337</v>
      </c>
      <c r="Y20" s="30">
        <f>E11</f>
        <v>18</v>
      </c>
      <c r="Z20" s="30"/>
      <c r="AA20" s="30"/>
      <c r="AB20" s="30"/>
    </row>
    <row r="21" spans="2:28" ht="21" x14ac:dyDescent="0.4">
      <c r="B21" s="50"/>
      <c r="C21" s="51" t="s">
        <v>13</v>
      </c>
      <c r="D21" s="25"/>
      <c r="E21" s="26">
        <f>SLOPE(Table2234210[REF],Table2234210[Ypred])</f>
        <v>0.23678018493371847</v>
      </c>
      <c r="F21" s="26"/>
      <c r="G21" s="10"/>
      <c r="H21" s="32" t="s">
        <v>45</v>
      </c>
      <c r="I21" s="33">
        <f>ABS(E21-1)*SQRT((E8-1)*F12^2/E19^2)</f>
        <v>14.832075682004444</v>
      </c>
      <c r="J21" s="34" t="str">
        <f>IF(I21&gt;I11,"S"," ns  ")</f>
        <v>S</v>
      </c>
      <c r="K21" s="55"/>
      <c r="M21" s="3"/>
      <c r="N21" s="3"/>
      <c r="O21" s="3"/>
      <c r="P21" s="3"/>
      <c r="Q21" s="3"/>
      <c r="R21" s="3"/>
      <c r="S21" s="3"/>
      <c r="T21" s="3"/>
      <c r="U21" s="3"/>
      <c r="V21" s="3"/>
      <c r="W21" s="36" t="s">
        <v>26</v>
      </c>
      <c r="X21" s="30">
        <f>E$26+E$25*F9</f>
        <v>11.109499980000002</v>
      </c>
      <c r="Y21" s="29">
        <f>F9</f>
        <v>10.952379430832387</v>
      </c>
      <c r="Z21" s="30"/>
      <c r="AA21" s="30"/>
      <c r="AB21" s="30"/>
    </row>
    <row r="22" spans="2:28" ht="17.399999999999999" x14ac:dyDescent="0.3">
      <c r="B22" s="50"/>
      <c r="C22" s="51" t="s">
        <v>14</v>
      </c>
      <c r="D22" s="25"/>
      <c r="E22" s="26">
        <f>INTERCEPT(Table2234210[REF],Table2234210[Ypred])</f>
        <v>8.5161935529032551</v>
      </c>
      <c r="F22" s="26"/>
      <c r="G22" s="10"/>
      <c r="H22" s="30"/>
      <c r="I22" s="30"/>
      <c r="J22" s="30"/>
      <c r="K22" s="36"/>
      <c r="M22" s="3"/>
      <c r="N22" s="3"/>
      <c r="O22" s="3"/>
      <c r="P22" s="3"/>
      <c r="Q22" s="3"/>
      <c r="R22" s="3"/>
      <c r="S22" s="3"/>
      <c r="T22" s="3"/>
      <c r="U22" s="3"/>
      <c r="V22" s="3"/>
      <c r="W22" s="36"/>
      <c r="X22" s="30"/>
      <c r="Y22" s="30"/>
      <c r="Z22" s="30"/>
      <c r="AA22" s="30"/>
      <c r="AB22" s="30"/>
    </row>
    <row r="23" spans="2:28" ht="21" x14ac:dyDescent="0.4">
      <c r="B23" s="50"/>
      <c r="C23" s="51" t="s">
        <v>15</v>
      </c>
      <c r="D23" s="25"/>
      <c r="E23" s="79">
        <f>RSQ(Table2234210[REF],Table2234210[Ypred])</f>
        <v>0.21350059815111416</v>
      </c>
      <c r="F23" s="26">
        <f>(D12^2-F19^2)/D12^2</f>
        <v>0.16769084882059002</v>
      </c>
      <c r="G23" s="10"/>
      <c r="H23" s="32"/>
      <c r="I23" s="33"/>
      <c r="J23" s="30"/>
      <c r="K23" s="36"/>
      <c r="M23" s="3"/>
      <c r="N23" s="3"/>
      <c r="O23" s="3"/>
      <c r="P23" s="3"/>
      <c r="Q23" s="3"/>
      <c r="R23" s="3"/>
      <c r="S23" s="3"/>
      <c r="T23" s="3"/>
      <c r="U23" s="3"/>
      <c r="V23" s="3"/>
      <c r="W23" s="36"/>
      <c r="X23" s="30"/>
      <c r="Y23" s="30"/>
      <c r="Z23" s="30"/>
      <c r="AA23" s="30"/>
      <c r="AB23" s="30"/>
    </row>
    <row r="24" spans="2:28" ht="17.399999999999999" x14ac:dyDescent="0.3">
      <c r="B24" s="50"/>
      <c r="C24" s="51" t="s">
        <v>29</v>
      </c>
      <c r="D24" s="23"/>
      <c r="E24" s="26">
        <f>1/SQRT(1-E23)</f>
        <v>1.1275889250441073</v>
      </c>
      <c r="F24" s="26">
        <f>1/SQRT(1-F23)</f>
        <v>1.0961188973446758</v>
      </c>
      <c r="G24" s="10"/>
      <c r="H24" s="76" t="s">
        <v>64</v>
      </c>
      <c r="I24" s="77">
        <f>D12/E19</f>
        <v>1.1204295578985217</v>
      </c>
      <c r="J24" s="30"/>
      <c r="K24" s="36"/>
      <c r="M24" s="3"/>
      <c r="N24" s="3"/>
      <c r="O24" s="3"/>
      <c r="P24" s="3"/>
      <c r="Q24" s="3"/>
      <c r="R24" s="3"/>
      <c r="S24" s="3"/>
      <c r="T24" s="3"/>
      <c r="U24" s="3"/>
      <c r="V24" s="3"/>
      <c r="W24" s="36"/>
      <c r="X24" s="30"/>
      <c r="Y24" s="30"/>
      <c r="Z24" s="30"/>
      <c r="AA24" s="30"/>
      <c r="AB24" s="30"/>
    </row>
    <row r="25" spans="2:28" ht="17.399999999999999" x14ac:dyDescent="0.3">
      <c r="B25" s="50"/>
      <c r="C25" s="51" t="s">
        <v>17</v>
      </c>
      <c r="D25" s="23"/>
      <c r="E25" s="26">
        <f>(D12/F12)</f>
        <v>0.51244328596408606</v>
      </c>
      <c r="F25" s="45"/>
      <c r="G25" s="10"/>
      <c r="H25" s="32" t="s">
        <v>47</v>
      </c>
      <c r="I25" s="62">
        <f>QUARTILE(Table2234210[abs_errors],3)</f>
        <v>2.5471650289960417</v>
      </c>
      <c r="J25" s="30"/>
      <c r="K25" s="36"/>
      <c r="M25" s="3"/>
      <c r="N25" s="3"/>
      <c r="O25" s="3"/>
      <c r="P25" s="3"/>
      <c r="Q25" s="3"/>
      <c r="R25" s="3"/>
      <c r="S25" s="3"/>
      <c r="T25" s="3"/>
      <c r="U25" s="3"/>
      <c r="V25" s="3"/>
      <c r="W25" s="36" t="s">
        <v>19</v>
      </c>
      <c r="X25" s="30">
        <f>COVAR(Table2234210[REF],Table2234210[Ypred])</f>
        <v>1.2249447686442037</v>
      </c>
      <c r="Y25" s="30"/>
      <c r="Z25" s="30"/>
      <c r="AA25" s="30"/>
      <c r="AB25" s="30"/>
    </row>
    <row r="26" spans="2:28" ht="17.399999999999999" x14ac:dyDescent="0.3">
      <c r="B26" s="50"/>
      <c r="C26" s="51" t="s">
        <v>18</v>
      </c>
      <c r="D26" s="23"/>
      <c r="E26" s="26">
        <f>D9-E25*F9</f>
        <v>5.4970266753387875</v>
      </c>
      <c r="F26" s="45"/>
      <c r="G26" s="10"/>
      <c r="M26" s="3"/>
      <c r="N26" s="3"/>
      <c r="O26" s="3"/>
      <c r="P26" s="3"/>
      <c r="Q26" s="3"/>
      <c r="R26" s="3"/>
      <c r="S26" s="3"/>
      <c r="T26" s="3"/>
      <c r="U26" s="3"/>
      <c r="V26" s="3"/>
      <c r="W26" s="36" t="s">
        <v>20</v>
      </c>
      <c r="X26" s="30">
        <f>SIGN(X25)</f>
        <v>1</v>
      </c>
      <c r="Y26" s="30"/>
      <c r="Z26" s="30"/>
      <c r="AA26" s="30"/>
      <c r="AB26" s="30"/>
    </row>
    <row r="27" spans="2:28" ht="18" thickBot="1" x14ac:dyDescent="0.35">
      <c r="B27" s="52"/>
      <c r="C27" s="53" t="s">
        <v>21</v>
      </c>
      <c r="D27" s="27"/>
      <c r="E27" s="73">
        <f>SQRT(AVERAGE(Table2234210[dif_rec^2]))</f>
        <v>1.2089624058145765</v>
      </c>
      <c r="F27" s="74"/>
      <c r="G27" s="71"/>
      <c r="M27" s="3"/>
      <c r="N27" s="3"/>
      <c r="O27" s="3"/>
      <c r="P27" s="3"/>
      <c r="Q27" s="3"/>
      <c r="R27" s="3"/>
      <c r="S27" s="3"/>
      <c r="T27" s="3"/>
      <c r="U27" s="3"/>
      <c r="V27" s="3"/>
      <c r="W27" s="36"/>
      <c r="X27" s="30"/>
      <c r="Y27" s="30"/>
      <c r="Z27" s="30"/>
      <c r="AA27" s="30"/>
      <c r="AB27" s="30"/>
    </row>
    <row r="28" spans="2:28" ht="15.6" x14ac:dyDescent="0.3">
      <c r="B28" s="3"/>
      <c r="C28" s="11"/>
      <c r="D28" s="12"/>
      <c r="E28" s="18"/>
      <c r="F28" s="12"/>
      <c r="M28" s="3"/>
      <c r="N28" s="3"/>
      <c r="O28" s="3"/>
      <c r="P28" s="3"/>
      <c r="Q28" s="3"/>
      <c r="R28" s="3"/>
      <c r="S28" s="3"/>
      <c r="T28" s="3"/>
      <c r="U28" s="3"/>
      <c r="V28" s="3"/>
      <c r="W28" s="36"/>
      <c r="X28" s="30"/>
      <c r="Y28" s="30"/>
      <c r="Z28" s="30"/>
      <c r="AA28" s="30"/>
      <c r="AB28" s="30"/>
    </row>
    <row r="29" spans="2:28" ht="17.399999999999999" x14ac:dyDescent="0.3">
      <c r="C29" s="19"/>
      <c r="D29" s="3"/>
      <c r="E29" s="17"/>
      <c r="F29" s="3"/>
      <c r="M29" s="3"/>
      <c r="N29" s="3"/>
      <c r="O29" s="3"/>
      <c r="P29" s="3"/>
      <c r="Q29" s="3"/>
      <c r="R29" s="3"/>
      <c r="S29" s="3"/>
      <c r="T29" s="3"/>
      <c r="U29" s="3"/>
      <c r="V29" s="3"/>
      <c r="W29" s="44" t="s">
        <v>54</v>
      </c>
      <c r="X29" s="37">
        <f>MIN(Table2234210[X-Y])</f>
        <v>-4.5345806011935492</v>
      </c>
      <c r="Y29" s="30">
        <f>X29</f>
        <v>-4.5345806011935492</v>
      </c>
      <c r="Z29" s="30"/>
      <c r="AA29" s="30"/>
      <c r="AB29" s="30"/>
    </row>
    <row r="30" spans="2:28" ht="17.399999999999999" x14ac:dyDescent="0.3">
      <c r="C30" s="19"/>
      <c r="D30" s="3"/>
      <c r="E30" s="17"/>
      <c r="F30" s="3"/>
      <c r="M30" s="3"/>
      <c r="N30" s="3"/>
      <c r="O30" s="3"/>
      <c r="P30" s="3"/>
      <c r="Q30" s="3"/>
      <c r="R30" s="3"/>
      <c r="S30" s="3"/>
      <c r="T30" s="3"/>
      <c r="U30" s="3"/>
      <c r="V30" s="3"/>
      <c r="W30" s="39" t="s">
        <v>37</v>
      </c>
      <c r="X30" s="63">
        <f>MAX(Table2234210[X-Y])</f>
        <v>2.9815675789125002</v>
      </c>
      <c r="Y30" s="30">
        <f>X30</f>
        <v>2.9815675789125002</v>
      </c>
      <c r="Z30" s="30"/>
      <c r="AA30" s="30"/>
      <c r="AB30" s="30"/>
    </row>
    <row r="31" spans="2:28" ht="15.6" x14ac:dyDescent="0.3">
      <c r="C31" s="19"/>
      <c r="D31" s="3"/>
      <c r="E31" s="17"/>
      <c r="F31" s="3"/>
      <c r="M31" s="3"/>
      <c r="N31" s="3"/>
      <c r="O31" s="3"/>
      <c r="P31" s="3"/>
      <c r="Q31" s="3"/>
      <c r="R31" s="3"/>
      <c r="S31" s="3"/>
      <c r="T31" s="3"/>
      <c r="U31" s="3"/>
      <c r="V31" s="3"/>
      <c r="W31" s="36"/>
      <c r="X31" s="30"/>
      <c r="Y31" s="30"/>
      <c r="Z31" s="40"/>
      <c r="AA31" s="30"/>
      <c r="AB31" s="30"/>
    </row>
    <row r="32" spans="2:28" x14ac:dyDescent="0.25">
      <c r="C32" s="19"/>
      <c r="D32" s="3"/>
      <c r="E32" s="17"/>
      <c r="F32" s="3"/>
      <c r="M32" s="3"/>
      <c r="N32" s="3"/>
      <c r="O32" s="3"/>
      <c r="P32" s="3"/>
      <c r="Q32" s="3"/>
      <c r="R32" s="3"/>
      <c r="S32" s="3"/>
      <c r="T32" s="3"/>
      <c r="U32" s="3"/>
      <c r="V32" s="3"/>
      <c r="W32" s="36"/>
      <c r="X32" s="30"/>
      <c r="Y32" s="30"/>
      <c r="Z32" s="30"/>
      <c r="AA32" s="30"/>
      <c r="AB32" s="30"/>
    </row>
    <row r="33" spans="3:28" x14ac:dyDescent="0.25">
      <c r="C33" s="19"/>
      <c r="D33" s="3"/>
      <c r="E33" s="17"/>
      <c r="F33" s="3"/>
      <c r="M33" s="3"/>
      <c r="N33" s="3"/>
      <c r="O33" s="3"/>
      <c r="P33" s="3"/>
      <c r="Q33" s="3"/>
      <c r="R33" s="3"/>
      <c r="S33" s="3"/>
      <c r="T33" s="3"/>
      <c r="U33" s="3"/>
      <c r="V33" s="3"/>
      <c r="W33" s="36"/>
      <c r="X33" s="30"/>
      <c r="Y33" s="30"/>
      <c r="Z33" s="30"/>
      <c r="AA33" s="30"/>
      <c r="AB33" s="30"/>
    </row>
    <row r="34" spans="3:28" x14ac:dyDescent="0.25">
      <c r="C34" s="19"/>
      <c r="D34" s="3"/>
      <c r="E34" s="17"/>
      <c r="F34" s="3"/>
      <c r="M34" s="3"/>
      <c r="N34" s="3"/>
      <c r="O34" s="3"/>
      <c r="P34" s="3"/>
      <c r="Q34" s="3"/>
      <c r="R34" s="3"/>
      <c r="S34" s="3"/>
      <c r="T34" s="3"/>
      <c r="U34" s="3"/>
      <c r="V34" s="3"/>
      <c r="W34" s="36"/>
      <c r="X34" s="30"/>
      <c r="Y34" s="30"/>
      <c r="Z34" s="30"/>
      <c r="AA34" s="30"/>
      <c r="AB34" s="30"/>
    </row>
    <row r="35" spans="3:28" x14ac:dyDescent="0.25">
      <c r="C35" s="19"/>
      <c r="D35" s="3"/>
      <c r="E35" s="17"/>
      <c r="F35" s="3"/>
      <c r="M35" s="3"/>
      <c r="N35" s="3"/>
      <c r="O35" s="3"/>
      <c r="P35" s="3"/>
      <c r="Q35" s="3"/>
      <c r="R35" s="3"/>
      <c r="S35" s="3"/>
      <c r="T35" s="3"/>
      <c r="U35" s="3"/>
      <c r="V35" s="3"/>
      <c r="W35" s="36"/>
      <c r="X35" s="30"/>
      <c r="Y35" s="30"/>
      <c r="Z35" s="30"/>
      <c r="AA35" s="30"/>
      <c r="AB35" s="30"/>
    </row>
    <row r="36" spans="3:28" x14ac:dyDescent="0.25">
      <c r="C36" s="19"/>
      <c r="D36" s="3"/>
      <c r="E36" s="17"/>
      <c r="F36" s="3"/>
      <c r="M36" s="3"/>
      <c r="N36" s="3"/>
      <c r="O36" s="3"/>
      <c r="P36" s="3"/>
      <c r="Q36" s="3"/>
      <c r="R36" s="3"/>
      <c r="S36" s="3"/>
      <c r="T36" s="3"/>
      <c r="U36" s="3"/>
      <c r="V36" s="3"/>
      <c r="W36" s="36"/>
      <c r="X36" s="30"/>
      <c r="Y36" s="30"/>
      <c r="Z36" s="30"/>
      <c r="AA36" s="30"/>
      <c r="AB36" s="30"/>
    </row>
    <row r="37" spans="3:28" x14ac:dyDescent="0.25">
      <c r="C37" s="19"/>
      <c r="D37" s="3"/>
      <c r="E37" s="17"/>
      <c r="F37" s="3"/>
      <c r="M37" s="3"/>
      <c r="N37" s="3"/>
      <c r="O37" s="3"/>
      <c r="P37" s="3"/>
      <c r="Q37" s="3"/>
      <c r="R37" s="3"/>
      <c r="S37" s="3"/>
      <c r="T37" s="3"/>
      <c r="U37" s="3"/>
      <c r="V37" s="3"/>
      <c r="W37" s="36"/>
      <c r="X37" s="30"/>
      <c r="Y37" s="30"/>
      <c r="Z37" s="30"/>
      <c r="AA37" s="30"/>
      <c r="AB37" s="30"/>
    </row>
    <row r="38" spans="3:28" x14ac:dyDescent="0.25">
      <c r="C38" s="19"/>
      <c r="D38" s="3"/>
      <c r="E38" s="17"/>
      <c r="F38" s="3"/>
      <c r="M38" s="3"/>
      <c r="N38" s="3"/>
      <c r="O38" s="3"/>
      <c r="P38" s="3"/>
      <c r="Q38" s="3"/>
      <c r="R38" s="3"/>
      <c r="S38" s="3"/>
      <c r="T38" s="3"/>
      <c r="U38" s="3"/>
      <c r="V38" s="3"/>
      <c r="W38" s="36"/>
      <c r="X38" s="30" t="s">
        <v>30</v>
      </c>
      <c r="Y38" s="30"/>
      <c r="Z38" s="30"/>
      <c r="AA38" s="30"/>
      <c r="AB38" s="30"/>
    </row>
    <row r="39" spans="3:28" ht="17.399999999999999" x14ac:dyDescent="0.3">
      <c r="C39" s="19"/>
      <c r="D39" s="3"/>
      <c r="E39" s="17"/>
      <c r="F39" s="3"/>
      <c r="M39" s="3"/>
      <c r="N39" s="3"/>
      <c r="O39" s="3"/>
      <c r="P39" s="3"/>
      <c r="Q39" s="3"/>
      <c r="R39" s="3"/>
      <c r="S39" s="3"/>
      <c r="T39" s="3"/>
      <c r="U39" s="3"/>
      <c r="V39" s="3"/>
      <c r="W39" s="36"/>
      <c r="X39" s="37">
        <f>X8</f>
        <v>142</v>
      </c>
      <c r="Y39" s="41" t="s">
        <v>34</v>
      </c>
      <c r="Z39" s="30"/>
      <c r="AA39" s="30"/>
      <c r="AB39" s="30"/>
    </row>
    <row r="40" spans="3:28" x14ac:dyDescent="0.25">
      <c r="C40" s="19"/>
      <c r="D40" s="3"/>
      <c r="E40" s="17"/>
      <c r="F40" s="3"/>
      <c r="M40" s="3"/>
      <c r="N40" s="3"/>
      <c r="O40" s="3"/>
      <c r="P40" s="3"/>
      <c r="Q40" s="3"/>
      <c r="R40" s="3"/>
      <c r="S40" s="3"/>
      <c r="T40" s="3"/>
      <c r="U40" s="3"/>
      <c r="V40" s="3"/>
      <c r="W40" s="36"/>
      <c r="X40" s="30"/>
      <c r="Y40" s="30" t="s">
        <v>35</v>
      </c>
      <c r="Z40" s="30"/>
      <c r="AA40" s="30"/>
      <c r="AB40" s="30"/>
    </row>
    <row r="41" spans="3:28" x14ac:dyDescent="0.25">
      <c r="C41" s="19"/>
      <c r="D41" s="3"/>
      <c r="E41" s="17"/>
      <c r="F41" s="3"/>
      <c r="M41" s="3"/>
      <c r="N41" s="3"/>
      <c r="O41" s="3"/>
      <c r="P41" s="3"/>
      <c r="Q41" s="3"/>
      <c r="R41" s="3"/>
      <c r="S41" s="3"/>
      <c r="T41" s="3"/>
      <c r="U41" s="3"/>
      <c r="V41" s="3"/>
      <c r="W41" s="36"/>
      <c r="X41" s="30"/>
      <c r="Y41" s="30" t="s">
        <v>36</v>
      </c>
      <c r="Z41" s="30"/>
      <c r="AA41" s="30"/>
      <c r="AB41" s="30"/>
    </row>
    <row r="42" spans="3:28" x14ac:dyDescent="0.25">
      <c r="C42" s="19"/>
      <c r="D42" s="3"/>
      <c r="E42" s="17"/>
      <c r="F42" s="3"/>
      <c r="M42" s="3"/>
      <c r="N42" s="3"/>
      <c r="O42" s="3"/>
      <c r="P42" s="3"/>
      <c r="Q42" s="3"/>
      <c r="R42" s="3"/>
      <c r="S42" s="3"/>
      <c r="T42" s="3"/>
      <c r="U42" s="3"/>
      <c r="V42" s="3"/>
      <c r="W42" s="36"/>
      <c r="X42" s="30"/>
      <c r="Y42" s="30"/>
      <c r="Z42" s="30"/>
      <c r="AA42" s="30"/>
      <c r="AB42" s="30"/>
    </row>
    <row r="43" spans="3:28" x14ac:dyDescent="0.25">
      <c r="C43" s="19"/>
      <c r="D43" s="3"/>
      <c r="E43" s="17"/>
      <c r="F43" s="3"/>
      <c r="M43" s="3"/>
      <c r="N43" s="3"/>
      <c r="O43" s="3"/>
      <c r="P43" s="3"/>
      <c r="Q43" s="3"/>
      <c r="R43" s="3"/>
      <c r="S43" s="3"/>
      <c r="T43" s="3"/>
      <c r="U43" s="3"/>
      <c r="V43" s="3"/>
      <c r="W43" s="36"/>
      <c r="X43" s="30"/>
      <c r="Y43" s="30"/>
      <c r="Z43" s="30"/>
      <c r="AA43" s="30"/>
      <c r="AB43" s="30"/>
    </row>
    <row r="44" spans="3:28" x14ac:dyDescent="0.25">
      <c r="C44" s="19"/>
      <c r="D44" s="3"/>
      <c r="E44" s="17"/>
      <c r="F44" s="3"/>
      <c r="M44" s="3"/>
      <c r="N44" s="3"/>
      <c r="O44" s="3"/>
      <c r="P44" s="3"/>
      <c r="Q44" s="3"/>
      <c r="R44" s="3"/>
      <c r="S44" s="3"/>
      <c r="T44" s="3"/>
      <c r="U44" s="3"/>
      <c r="V44" s="3"/>
      <c r="W44" s="36"/>
      <c r="X44" s="30"/>
      <c r="Y44" s="30"/>
      <c r="Z44" s="30"/>
      <c r="AA44" s="30"/>
      <c r="AB44" s="30"/>
    </row>
    <row r="45" spans="3:28" ht="15" x14ac:dyDescent="0.25">
      <c r="C45" s="19"/>
      <c r="D45" s="3"/>
      <c r="E45" s="17"/>
      <c r="F45" s="3"/>
      <c r="M45" s="3"/>
      <c r="N45" s="3"/>
      <c r="O45" s="3"/>
      <c r="P45" s="3"/>
      <c r="Q45" s="3"/>
      <c r="R45" s="3"/>
      <c r="S45" s="3"/>
      <c r="T45" s="3"/>
      <c r="U45" s="3"/>
      <c r="V45" s="3"/>
      <c r="W45" s="36"/>
      <c r="X45" s="58"/>
      <c r="Y45" s="30"/>
      <c r="Z45" s="30"/>
      <c r="AA45" s="30"/>
      <c r="AB45" s="30"/>
    </row>
    <row r="46" spans="3:28" x14ac:dyDescent="0.25">
      <c r="C46" s="19"/>
      <c r="D46" s="3"/>
      <c r="E46" s="17"/>
      <c r="F46" s="3"/>
      <c r="M46" s="3"/>
      <c r="N46" s="3"/>
      <c r="O46" s="3"/>
      <c r="P46" s="3"/>
      <c r="Q46" s="3"/>
      <c r="R46" s="3"/>
      <c r="S46" s="3"/>
      <c r="T46" s="3"/>
      <c r="U46" s="3"/>
      <c r="V46" s="3"/>
      <c r="W46" s="36"/>
      <c r="X46" s="30"/>
      <c r="Y46" s="30"/>
      <c r="Z46" s="30"/>
      <c r="AA46" s="30"/>
      <c r="AB46" s="30"/>
    </row>
    <row r="47" spans="3:28" x14ac:dyDescent="0.25">
      <c r="C47" s="19"/>
      <c r="D47" s="3"/>
      <c r="E47" s="17"/>
      <c r="F47" s="3"/>
      <c r="M47" s="3"/>
      <c r="N47" s="3"/>
      <c r="O47" s="3"/>
      <c r="P47" s="3"/>
      <c r="Q47" s="3"/>
      <c r="R47" s="3"/>
      <c r="S47" s="3"/>
      <c r="T47" s="3"/>
      <c r="U47" s="3"/>
      <c r="V47" s="3"/>
      <c r="W47" s="36"/>
      <c r="X47" s="30"/>
      <c r="Y47" s="30"/>
      <c r="Z47" s="30"/>
      <c r="AA47" s="30"/>
      <c r="AB47" s="30"/>
    </row>
    <row r="48" spans="3:28" x14ac:dyDescent="0.25">
      <c r="C48" s="19"/>
      <c r="D48" s="3"/>
      <c r="E48" s="17"/>
      <c r="F48" s="3"/>
      <c r="M48" s="3"/>
      <c r="N48" s="3"/>
      <c r="O48" s="3"/>
      <c r="P48" s="3"/>
      <c r="Q48" s="3"/>
      <c r="R48" s="3"/>
      <c r="S48" s="3"/>
      <c r="T48" s="3"/>
      <c r="U48" s="3"/>
      <c r="V48" s="3"/>
      <c r="W48" s="36"/>
      <c r="X48" s="30"/>
      <c r="Y48" s="30"/>
      <c r="Z48" s="30"/>
      <c r="AA48" s="30"/>
      <c r="AB48" s="30"/>
    </row>
    <row r="49" spans="2:28" x14ac:dyDescent="0.25">
      <c r="C49" s="19"/>
      <c r="D49" s="3"/>
      <c r="E49" s="17"/>
      <c r="F49" s="3"/>
      <c r="M49" s="3"/>
      <c r="N49" s="3"/>
      <c r="O49" s="3"/>
      <c r="P49" s="3"/>
      <c r="Q49" s="3"/>
      <c r="R49" s="3"/>
      <c r="S49" s="3"/>
      <c r="T49" s="3"/>
      <c r="U49" s="3"/>
      <c r="V49" s="3"/>
      <c r="W49" s="36"/>
      <c r="X49" s="30"/>
      <c r="Y49" s="30"/>
      <c r="Z49" s="30"/>
      <c r="AA49" s="30"/>
      <c r="AB49" s="30"/>
    </row>
    <row r="50" spans="2:28" x14ac:dyDescent="0.25">
      <c r="C50" s="19"/>
      <c r="D50" s="3"/>
      <c r="E50" s="17"/>
      <c r="F50" s="3"/>
      <c r="M50" s="3"/>
      <c r="N50" s="3"/>
      <c r="O50" s="3"/>
      <c r="P50" s="3"/>
      <c r="Q50" s="3"/>
      <c r="R50" s="3"/>
      <c r="S50" s="3"/>
      <c r="T50" s="3"/>
      <c r="U50" s="3"/>
      <c r="V50" s="3"/>
      <c r="W50" s="36"/>
      <c r="X50" s="30"/>
      <c r="Y50" s="30"/>
      <c r="Z50" s="30"/>
      <c r="AA50" s="30"/>
      <c r="AB50" s="30"/>
    </row>
    <row r="51" spans="2:28" x14ac:dyDescent="0.25">
      <c r="C51" s="19"/>
      <c r="D51" s="3"/>
      <c r="E51" s="17"/>
      <c r="F51" s="3"/>
      <c r="M51" s="3"/>
      <c r="N51" s="3"/>
      <c r="O51" s="3"/>
      <c r="P51" s="3"/>
      <c r="Q51" s="3"/>
      <c r="R51" s="3"/>
      <c r="S51" s="3"/>
      <c r="T51" s="3"/>
      <c r="U51" s="3"/>
      <c r="V51" s="3"/>
      <c r="W51" s="36"/>
      <c r="X51" s="30"/>
      <c r="Y51" s="30"/>
      <c r="Z51" s="30"/>
      <c r="AA51" s="30"/>
      <c r="AB51" s="30"/>
    </row>
    <row r="52" spans="2:28" x14ac:dyDescent="0.25">
      <c r="C52" s="19"/>
      <c r="D52" s="3"/>
      <c r="E52" s="17"/>
      <c r="F52" s="3"/>
      <c r="M52" s="3"/>
      <c r="N52" s="3"/>
      <c r="O52" s="3"/>
      <c r="P52" s="3"/>
      <c r="Q52" s="3"/>
      <c r="R52" s="3"/>
      <c r="S52" s="3"/>
      <c r="T52" s="3"/>
      <c r="U52" s="3"/>
      <c r="V52" s="3"/>
      <c r="W52" s="36"/>
      <c r="X52" s="30"/>
      <c r="Y52" s="30"/>
      <c r="Z52" s="30"/>
      <c r="AA52" s="30"/>
      <c r="AB52" s="30"/>
    </row>
    <row r="53" spans="2:28" x14ac:dyDescent="0.25">
      <c r="C53" s="19"/>
      <c r="D53" s="3"/>
      <c r="E53" s="17"/>
      <c r="F53" s="3"/>
      <c r="M53" s="3"/>
      <c r="N53" s="3"/>
      <c r="O53" s="3"/>
      <c r="P53" s="3"/>
      <c r="Q53" s="3"/>
      <c r="R53" s="3"/>
      <c r="S53" s="3"/>
      <c r="T53" s="3"/>
      <c r="U53" s="3"/>
      <c r="V53" s="3"/>
      <c r="W53" s="36"/>
      <c r="X53" s="30"/>
      <c r="Y53" s="30"/>
      <c r="Z53" s="30"/>
      <c r="AA53" s="30"/>
      <c r="AB53" s="30"/>
    </row>
    <row r="54" spans="2:28" x14ac:dyDescent="0.25">
      <c r="C54" s="19"/>
      <c r="D54" s="3"/>
      <c r="E54" s="17"/>
      <c r="F54" s="3"/>
      <c r="M54" s="3"/>
      <c r="N54" s="3"/>
      <c r="O54" s="3"/>
      <c r="P54" s="3"/>
      <c r="Q54" s="3"/>
      <c r="R54" s="3"/>
      <c r="S54" s="3"/>
      <c r="T54" s="3"/>
      <c r="U54" s="3"/>
      <c r="V54" s="3"/>
      <c r="W54" s="36"/>
      <c r="X54" s="30"/>
      <c r="Y54" s="30"/>
      <c r="Z54" s="30"/>
      <c r="AA54" s="30"/>
      <c r="AB54" s="30"/>
    </row>
    <row r="55" spans="2:28" ht="15.75" customHeight="1" x14ac:dyDescent="0.3">
      <c r="C55" s="19"/>
      <c r="D55" s="3"/>
      <c r="E55" s="17"/>
      <c r="F55" s="3"/>
      <c r="M55" s="3"/>
      <c r="N55" s="3"/>
      <c r="O55" s="3"/>
      <c r="P55" s="3"/>
      <c r="Q55" s="3"/>
      <c r="R55" s="3"/>
      <c r="S55" s="3"/>
      <c r="T55" s="3"/>
      <c r="U55" s="3"/>
      <c r="V55" s="3"/>
      <c r="W55" s="36"/>
      <c r="X55" s="30"/>
      <c r="Y55" s="30"/>
      <c r="Z55" s="40"/>
      <c r="AA55" s="30"/>
      <c r="AB55" s="30"/>
    </row>
    <row r="56" spans="2:28" ht="15.75" customHeight="1" x14ac:dyDescent="0.3">
      <c r="C56" s="19"/>
      <c r="D56" s="3"/>
      <c r="E56" s="17"/>
      <c r="F56" s="3"/>
      <c r="M56" s="3"/>
      <c r="N56" s="3"/>
      <c r="O56" s="3"/>
      <c r="P56" s="3"/>
      <c r="Q56" s="3"/>
      <c r="R56" s="3"/>
      <c r="S56" s="3"/>
      <c r="T56" s="3"/>
      <c r="U56" s="3"/>
      <c r="V56" s="3"/>
      <c r="W56" s="36"/>
      <c r="X56" s="30"/>
      <c r="Y56" s="30"/>
      <c r="Z56" s="59"/>
      <c r="AA56" s="30"/>
      <c r="AB56" s="30"/>
    </row>
    <row r="57" spans="2:28" ht="15.75" customHeight="1" x14ac:dyDescent="0.3">
      <c r="C57" s="19"/>
      <c r="D57" s="3"/>
      <c r="E57" s="17"/>
      <c r="F57" s="3"/>
      <c r="M57" s="3"/>
      <c r="N57" s="3"/>
      <c r="O57" s="3"/>
      <c r="P57" s="3"/>
      <c r="Q57" s="3"/>
      <c r="R57" s="3"/>
      <c r="S57" s="3"/>
      <c r="T57" s="3"/>
      <c r="U57" s="3"/>
      <c r="V57" s="3"/>
      <c r="W57" s="36"/>
      <c r="X57" s="30"/>
      <c r="Y57" s="30"/>
      <c r="Z57" s="59"/>
      <c r="AA57" s="30"/>
      <c r="AB57" s="30"/>
    </row>
    <row r="58" spans="2:28" ht="15.75" customHeight="1" x14ac:dyDescent="0.3">
      <c r="C58" s="19"/>
      <c r="D58" s="3"/>
      <c r="E58" s="17"/>
      <c r="F58" s="3"/>
      <c r="M58" s="3"/>
      <c r="N58" s="3"/>
      <c r="O58" s="3"/>
      <c r="P58" s="3"/>
      <c r="Q58" s="3"/>
      <c r="R58" s="3"/>
      <c r="S58" s="3"/>
      <c r="T58" s="3"/>
      <c r="U58" s="3"/>
      <c r="V58" s="3"/>
      <c r="W58" s="36"/>
      <c r="X58" s="30" t="s">
        <v>30</v>
      </c>
      <c r="Y58" s="30"/>
      <c r="Z58" s="60"/>
      <c r="AA58" s="30"/>
      <c r="AB58" s="30"/>
    </row>
    <row r="59" spans="2:28" ht="17.399999999999999" x14ac:dyDescent="0.3">
      <c r="C59" s="19"/>
      <c r="D59" s="3"/>
      <c r="E59" s="17"/>
      <c r="F59" s="3"/>
      <c r="M59" s="3"/>
      <c r="N59" s="3"/>
      <c r="O59" s="3"/>
      <c r="P59" s="3"/>
      <c r="Q59" s="3"/>
      <c r="R59" s="3"/>
      <c r="S59" s="3"/>
      <c r="T59" s="3"/>
      <c r="U59" s="3"/>
      <c r="V59" s="3"/>
      <c r="W59" s="36">
        <f>W60*E8</f>
        <v>8.6313868144127088</v>
      </c>
      <c r="X59" s="37">
        <f>X39</f>
        <v>142</v>
      </c>
      <c r="Y59" s="30"/>
      <c r="Z59" s="30"/>
      <c r="AA59" s="30"/>
      <c r="AB59" s="30"/>
    </row>
    <row r="60" spans="2:28" ht="17.399999999999999" x14ac:dyDescent="0.3">
      <c r="C60" s="19"/>
      <c r="D60" s="3"/>
      <c r="E60" s="17"/>
      <c r="F60" s="3"/>
      <c r="M60" s="3"/>
      <c r="N60" s="42"/>
      <c r="O60" s="3"/>
      <c r="P60" s="3"/>
      <c r="Q60" s="3"/>
      <c r="R60" s="3"/>
      <c r="S60" s="3"/>
      <c r="T60" s="3">
        <f>MEDIAN(Table2234210[abs(lab)])</f>
        <v>0.98999974999999907</v>
      </c>
      <c r="U60" s="3"/>
      <c r="V60" s="3">
        <f>MEDIAN(Table2234210[abs(anl)])</f>
        <v>1.4208773751815853</v>
      </c>
      <c r="W60" s="2">
        <f>MEDIAN(Table2234210[Produits Lab x Anl])</f>
        <v>0.10789233518015887</v>
      </c>
      <c r="X60" s="37"/>
      <c r="Z60" s="60"/>
      <c r="AA60" s="30"/>
      <c r="AB60" s="30"/>
    </row>
    <row r="61" spans="2:28" ht="13.8" x14ac:dyDescent="0.25">
      <c r="D61" s="43" t="s">
        <v>1</v>
      </c>
      <c r="E61" s="1"/>
      <c r="F61" s="43" t="s">
        <v>2</v>
      </c>
      <c r="G61" s="4"/>
      <c r="M61" s="3"/>
      <c r="W61" s="22"/>
      <c r="Y61" s="22"/>
    </row>
    <row r="62" spans="2:28" s="22" customFormat="1" ht="41.4" x14ac:dyDescent="0.25">
      <c r="B62" s="20" t="s">
        <v>0</v>
      </c>
      <c r="C62" t="s">
        <v>67</v>
      </c>
      <c r="D62" t="s">
        <v>65</v>
      </c>
      <c r="E62" t="s">
        <v>66</v>
      </c>
      <c r="F62" s="78" t="s">
        <v>68</v>
      </c>
      <c r="G62" s="20" t="s">
        <v>48</v>
      </c>
      <c r="H62" s="20" t="s">
        <v>3</v>
      </c>
      <c r="I62" s="20" t="s">
        <v>23</v>
      </c>
      <c r="J62" s="20" t="s">
        <v>4</v>
      </c>
      <c r="K62" s="20" t="s">
        <v>51</v>
      </c>
      <c r="L62" s="20" t="s">
        <v>52</v>
      </c>
      <c r="M62" s="21" t="s">
        <v>5</v>
      </c>
      <c r="N62" s="21" t="s">
        <v>32</v>
      </c>
      <c r="O62" s="21" t="s">
        <v>31</v>
      </c>
      <c r="P62" s="21" t="s">
        <v>33</v>
      </c>
      <c r="Q62" s="21" t="s">
        <v>50</v>
      </c>
      <c r="R62" s="21" t="s">
        <v>49</v>
      </c>
      <c r="S62" s="21" t="s">
        <v>58</v>
      </c>
      <c r="T62" s="21" t="s">
        <v>60</v>
      </c>
      <c r="U62" s="64" t="s">
        <v>59</v>
      </c>
      <c r="V62" s="64" t="s">
        <v>61</v>
      </c>
      <c r="W62" s="21" t="s">
        <v>62</v>
      </c>
      <c r="X62" s="22" t="str">
        <f>D62</f>
        <v>REF</v>
      </c>
      <c r="Z62" s="2"/>
      <c r="AA62" s="22" t="str">
        <f>F62</f>
        <v>Ypred</v>
      </c>
      <c r="AB62" s="2"/>
    </row>
    <row r="63" spans="2:28" x14ac:dyDescent="0.25">
      <c r="B63" s="46">
        <f ca="1">VALUE((Table2234210[[#This Row],[Column3]]-62))</f>
        <v>1</v>
      </c>
      <c r="C63" t="s">
        <v>69</v>
      </c>
      <c r="D63">
        <v>9.9399996000000002</v>
      </c>
      <c r="E63"/>
      <c r="F63" s="78">
        <v>7.7669191657623697</v>
      </c>
      <c r="G63" s="29">
        <f>Table2234210[[#This Row],[Ypred]]-Table2234210[[#This Row],[REF]]</f>
        <v>-2.1730804342376304</v>
      </c>
      <c r="H63" s="29">
        <f>Table2234210[[#This Row],[X-Y]]-E$20</f>
        <v>-2.0159598850700151</v>
      </c>
      <c r="I63" s="29">
        <f>Table2234210[[#This Row],[Ypred]]-E$20</f>
        <v>7.924039714929985</v>
      </c>
      <c r="J63" s="29">
        <f>Table2234210[[#This Row],[Ypred]]*E$21+E$22</f>
        <v>10.355246109337712</v>
      </c>
      <c r="K63" s="56">
        <f>Table2234210[[#This Row],[Yest]]-Table2234210[[#This Row],[REF]]</f>
        <v>0.41524650933771134</v>
      </c>
      <c r="L63" s="56">
        <f>ABS(Table2234210[[#This Row],[RESyx]])</f>
        <v>0.41524650933771134</v>
      </c>
      <c r="M63" s="29">
        <f>Table2234210[[#This Row],[Ypred]]*E$25+E$26</f>
        <v>9.4771322544594945</v>
      </c>
      <c r="N63" s="29">
        <f>Table2234210[[#This Row],[X-Y]]^2</f>
        <v>4.7222785736664088</v>
      </c>
      <c r="O63" s="57">
        <f>Table2234210[[#This Row],[yest_rect]]-Table2234210[[#This Row],[REF]]</f>
        <v>-0.46286734554050568</v>
      </c>
      <c r="P63" s="57">
        <f>Table2234210[[#This Row],[dif rec]]^2</f>
        <v>0.21424617956771388</v>
      </c>
      <c r="Q63" s="57">
        <f>ABS(Table2234210[[#This Row],[diff-bias]])</f>
        <v>2.0159598850700151</v>
      </c>
      <c r="R63" s="57">
        <f ca="1">CELL("row",Table2234210[[#This Row],[Position]])</f>
        <v>63</v>
      </c>
      <c r="S63" s="4">
        <f>Table2234210[[#This Row],[REF]]-D$13</f>
        <v>-1.0700006500000008</v>
      </c>
      <c r="T63" s="4">
        <f>ABS(Table2234210[[#This Row],[lab-med]])</f>
        <v>1.0700006500000008</v>
      </c>
      <c r="U63" s="4">
        <f>Table2234210[[#This Row],[Ypred]]-F$13</f>
        <v>-3.2287533922499305</v>
      </c>
      <c r="V63" s="4">
        <f>ABS(Table2234210[[#This Row],[anl-med]])</f>
        <v>3.2287533922499305</v>
      </c>
      <c r="W63" s="4">
        <f>Table2234210[[#This Row],[lab-med]]*Table2234210[[#This Row],[anl-med]]</f>
        <v>3.4547682283971333</v>
      </c>
    </row>
    <row r="64" spans="2:28" x14ac:dyDescent="0.25">
      <c r="B64" s="46">
        <f ca="1">VALUE((Table2234210[[#This Row],[Column3]]-62))</f>
        <v>2</v>
      </c>
      <c r="C64" t="s">
        <v>70</v>
      </c>
      <c r="D64">
        <v>10.0200005</v>
      </c>
      <c r="E64"/>
      <c r="F64" s="78">
        <v>12.395625673765601</v>
      </c>
      <c r="G64" s="29">
        <f>Table2234210[[#This Row],[Ypred]]-Table2234210[[#This Row],[REF]]</f>
        <v>2.3756251737656005</v>
      </c>
      <c r="H64" s="29">
        <f>Table2234210[[#This Row],[X-Y]]-E$20</f>
        <v>2.5327457229332158</v>
      </c>
      <c r="I64" s="29">
        <f>Table2234210[[#This Row],[Ypred]]-E$20</f>
        <v>12.552746222933216</v>
      </c>
      <c r="J64" s="29">
        <f>Table2234210[[#This Row],[Ypred]]*E$21+E$22</f>
        <v>11.451232092306622</v>
      </c>
      <c r="K64" s="56">
        <f>Table2234210[[#This Row],[Yest]]-Table2234210[[#This Row],[REF]]</f>
        <v>1.4312315923066219</v>
      </c>
      <c r="L64" s="56">
        <f>ABS(Table2234210[[#This Row],[RESyx]])</f>
        <v>1.4312315923066219</v>
      </c>
      <c r="M64" s="29">
        <f>Table2234210[[#This Row],[Ypred]]*E$25+E$26</f>
        <v>11.849081827184019</v>
      </c>
      <c r="N64" s="29">
        <f>Table2234210[[#This Row],[X-Y]]^2</f>
        <v>5.6435949662288394</v>
      </c>
      <c r="O64" s="57">
        <f>Table2234210[[#This Row],[yest_rect]]-Table2234210[[#This Row],[REF]]</f>
        <v>1.8290813271840189</v>
      </c>
      <c r="P64" s="57">
        <f>Table2234210[[#This Row],[dif rec]]^2</f>
        <v>3.3455385014532522</v>
      </c>
      <c r="Q64" s="57">
        <f>ABS(Table2234210[[#This Row],[diff-bias]])</f>
        <v>2.5327457229332158</v>
      </c>
      <c r="R64" s="57">
        <f ca="1">CELL("row",Table2234210[[#This Row],[Position]])</f>
        <v>64</v>
      </c>
      <c r="S64" s="4">
        <f>Table2234210[[#This Row],[REF]]-D$13</f>
        <v>-0.98999975000000084</v>
      </c>
      <c r="T64" s="4">
        <f>ABS(Table2234210[[#This Row],[lab-med]])</f>
        <v>0.98999975000000084</v>
      </c>
      <c r="U64" s="4">
        <f>Table2234210[[#This Row],[Ypred]]-F$13</f>
        <v>1.3999531157533003</v>
      </c>
      <c r="V64" s="4">
        <f>ABS(Table2234210[[#This Row],[anl-med]])</f>
        <v>1.3999531157533003</v>
      </c>
      <c r="W64" s="4">
        <f>Table2234210[[#This Row],[lab-med]]*Table2234210[[#This Row],[anl-med]]</f>
        <v>-1.3859532346074894</v>
      </c>
    </row>
    <row r="65" spans="2:23" x14ac:dyDescent="0.25">
      <c r="B65" s="46">
        <f ca="1">VALUE((Table2234210[[#This Row],[Column3]]-62))</f>
        <v>3</v>
      </c>
      <c r="C65" t="s">
        <v>71</v>
      </c>
      <c r="D65">
        <v>10</v>
      </c>
      <c r="E65"/>
      <c r="F65" s="78">
        <v>5.9841559181149897</v>
      </c>
      <c r="G65" s="29">
        <f>Table2234210[[#This Row],[Ypred]]-Table2234210[[#This Row],[REF]]</f>
        <v>-4.0158440818850103</v>
      </c>
      <c r="H65" s="29">
        <f>Table2234210[[#This Row],[X-Y]]-E$20</f>
        <v>-3.858723532717395</v>
      </c>
      <c r="I65" s="29">
        <f>Table2234210[[#This Row],[Ypred]]-E$20</f>
        <v>6.141276467282605</v>
      </c>
      <c r="J65" s="29">
        <f>Table2234210[[#This Row],[Ypred]]*E$21+E$22</f>
        <v>9.9331230978667282</v>
      </c>
      <c r="K65" s="56">
        <f>Table2234210[[#This Row],[Yest]]-Table2234210[[#This Row],[REF]]</f>
        <v>-6.6876902133271798E-2</v>
      </c>
      <c r="L65" s="56">
        <f>ABS(Table2234210[[#This Row],[RESyx]])</f>
        <v>6.6876902133271798E-2</v>
      </c>
      <c r="M65" s="29">
        <f>Table2234210[[#This Row],[Ypred]]*E$25+E$26</f>
        <v>8.5635671977390651</v>
      </c>
      <c r="N65" s="29">
        <f>Table2234210[[#This Row],[X-Y]]^2</f>
        <v>16.127003690010863</v>
      </c>
      <c r="O65" s="57">
        <f>Table2234210[[#This Row],[yest_rect]]-Table2234210[[#This Row],[REF]]</f>
        <v>-1.4364328022609349</v>
      </c>
      <c r="P65" s="57">
        <f>Table2234210[[#This Row],[dif rec]]^2</f>
        <v>2.0633391954112024</v>
      </c>
      <c r="Q65" s="57">
        <f>ABS(Table2234210[[#This Row],[diff-bias]])</f>
        <v>3.858723532717395</v>
      </c>
      <c r="R65" s="57">
        <f ca="1">CELL("row",Table2234210[[#This Row],[Position]])</f>
        <v>65</v>
      </c>
      <c r="S65" s="4">
        <f>Table2234210[[#This Row],[REF]]-D$13</f>
        <v>-1.0100002500000009</v>
      </c>
      <c r="T65" s="4">
        <f>ABS(Table2234210[[#This Row],[lab-med]])</f>
        <v>1.0100002500000009</v>
      </c>
      <c r="U65" s="4">
        <f>Table2234210[[#This Row],[Ypred]]-F$13</f>
        <v>-5.0115166398973106</v>
      </c>
      <c r="V65" s="4">
        <f>ABS(Table2234210[[#This Row],[anl-med]])</f>
        <v>5.0115166398973106</v>
      </c>
      <c r="W65" s="4">
        <f>Table2234210[[#This Row],[lab-med]]*Table2234210[[#This Row],[anl-med]]</f>
        <v>5.0616330591754481</v>
      </c>
    </row>
    <row r="66" spans="2:23" x14ac:dyDescent="0.25">
      <c r="B66" s="46">
        <f ca="1">VALUE((Table2234210[[#This Row],[Column3]]-62))</f>
        <v>4</v>
      </c>
      <c r="C66" t="s">
        <v>72</v>
      </c>
      <c r="D66">
        <v>10.5</v>
      </c>
      <c r="E66"/>
      <c r="F66" s="78">
        <v>12.900334944082701</v>
      </c>
      <c r="G66" s="29">
        <f>Table2234210[[#This Row],[Ypred]]-Table2234210[[#This Row],[REF]]</f>
        <v>2.4003349440827009</v>
      </c>
      <c r="H66" s="29">
        <f>Table2234210[[#This Row],[X-Y]]-E$20</f>
        <v>2.5574554932503162</v>
      </c>
      <c r="I66" s="29">
        <f>Table2234210[[#This Row],[Ypred]]-E$20</f>
        <v>13.057455493250316</v>
      </c>
      <c r="J66" s="29">
        <f>Table2234210[[#This Row],[Ypred]]*E$21+E$22</f>
        <v>11.570737246670067</v>
      </c>
      <c r="K66" s="56">
        <f>Table2234210[[#This Row],[Yest]]-Table2234210[[#This Row],[REF]]</f>
        <v>1.0707372466700669</v>
      </c>
      <c r="L66" s="56">
        <f>ABS(Table2234210[[#This Row],[RESyx]])</f>
        <v>1.0707372466700669</v>
      </c>
      <c r="M66" s="29">
        <f>Table2234210[[#This Row],[Ypred]]*E$25+E$26</f>
        <v>12.107716704121852</v>
      </c>
      <c r="N66" s="29">
        <f>Table2234210[[#This Row],[X-Y]]^2</f>
        <v>5.7616078437845024</v>
      </c>
      <c r="O66" s="57">
        <f>Table2234210[[#This Row],[yest_rect]]-Table2234210[[#This Row],[REF]]</f>
        <v>1.6077167041218523</v>
      </c>
      <c r="P66" s="57">
        <f>Table2234210[[#This Row],[dif rec]]^2</f>
        <v>2.5847530007124315</v>
      </c>
      <c r="Q66" s="57">
        <f>ABS(Table2234210[[#This Row],[diff-bias]])</f>
        <v>2.5574554932503162</v>
      </c>
      <c r="R66" s="57">
        <f ca="1">CELL("row",Table2234210[[#This Row],[Position]])</f>
        <v>66</v>
      </c>
      <c r="S66" s="4">
        <f>Table2234210[[#This Row],[REF]]-D$13</f>
        <v>-0.51000025000000093</v>
      </c>
      <c r="T66" s="4">
        <f>ABS(Table2234210[[#This Row],[lab-med]])</f>
        <v>0.51000025000000093</v>
      </c>
      <c r="U66" s="4">
        <f>Table2234210[[#This Row],[Ypred]]-F$13</f>
        <v>1.9046623860704006</v>
      </c>
      <c r="V66" s="4">
        <f>ABS(Table2234210[[#This Row],[anl-med]])</f>
        <v>1.9046623860704006</v>
      </c>
      <c r="W66" s="4">
        <f>Table2234210[[#This Row],[lab-med]]*Table2234210[[#This Row],[anl-med]]</f>
        <v>-0.97137829306150258</v>
      </c>
    </row>
    <row r="67" spans="2:23" x14ac:dyDescent="0.25">
      <c r="B67" s="46">
        <f ca="1">VALUE((Table2234210[[#This Row],[Column3]]-62))</f>
        <v>5</v>
      </c>
      <c r="C67" t="s">
        <v>73</v>
      </c>
      <c r="D67">
        <v>10.779999699999999</v>
      </c>
      <c r="E67"/>
      <c r="F67" s="78">
        <v>6.2454190988064502</v>
      </c>
      <c r="G67" s="29">
        <f>Table2234210[[#This Row],[Ypred]]-Table2234210[[#This Row],[REF]]</f>
        <v>-4.5345806011935492</v>
      </c>
      <c r="H67" s="29">
        <f>Table2234210[[#This Row],[X-Y]]-E$20</f>
        <v>-4.3774600520259339</v>
      </c>
      <c r="I67" s="29">
        <f>Table2234210[[#This Row],[Ypred]]-E$20</f>
        <v>6.4025396479740655</v>
      </c>
      <c r="J67" s="29">
        <f>Table2234210[[#This Row],[Ypred]]*E$21+E$22</f>
        <v>9.9949850421072242</v>
      </c>
      <c r="K67" s="56">
        <f>Table2234210[[#This Row],[Yest]]-Table2234210[[#This Row],[REF]]</f>
        <v>-0.78501465789277525</v>
      </c>
      <c r="L67" s="56">
        <f>ABS(Table2234210[[#This Row],[RESyx]])</f>
        <v>0.78501465789277525</v>
      </c>
      <c r="M67" s="29">
        <f>Table2234210[[#This Row],[Ypred]]*E$25+E$26</f>
        <v>8.6974497605540257</v>
      </c>
      <c r="N67" s="29">
        <f>Table2234210[[#This Row],[X-Y]]^2</f>
        <v>20.562421228720851</v>
      </c>
      <c r="O67" s="57">
        <f>Table2234210[[#This Row],[yest_rect]]-Table2234210[[#This Row],[REF]]</f>
        <v>-2.0825499394459737</v>
      </c>
      <c r="P67" s="57">
        <f>Table2234210[[#This Row],[dif rec]]^2</f>
        <v>4.3370142502864288</v>
      </c>
      <c r="Q67" s="57">
        <f>ABS(Table2234210[[#This Row],[diff-bias]])</f>
        <v>4.3774600520259339</v>
      </c>
      <c r="R67" s="57">
        <f ca="1">CELL("row",Table2234210[[#This Row],[Position]])</f>
        <v>67</v>
      </c>
      <c r="S67" s="4">
        <f>Table2234210[[#This Row],[REF]]-D$13</f>
        <v>-0.23000055000000152</v>
      </c>
      <c r="T67" s="4">
        <f>ABS(Table2234210[[#This Row],[lab-med]])</f>
        <v>0.23000055000000152</v>
      </c>
      <c r="U67" s="4">
        <f>Table2234210[[#This Row],[Ypred]]-F$13</f>
        <v>-4.7502534592058501</v>
      </c>
      <c r="V67" s="4">
        <f>ABS(Table2234210[[#This Row],[anl-med]])</f>
        <v>4.7502534592058501</v>
      </c>
      <c r="W67" s="4">
        <f>Table2234210[[#This Row],[lab-med]]*Table2234210[[#This Row],[anl-med]]</f>
        <v>1.0925609082567553</v>
      </c>
    </row>
    <row r="68" spans="2:23" x14ac:dyDescent="0.25">
      <c r="B68" s="46">
        <f ca="1">VALUE((Table2234210[[#This Row],[Column3]]-62))</f>
        <v>6</v>
      </c>
      <c r="C68" t="s">
        <v>74</v>
      </c>
      <c r="D68">
        <v>10.449999800000001</v>
      </c>
      <c r="E68"/>
      <c r="F68" s="78">
        <v>11.291111962120301</v>
      </c>
      <c r="G68" s="29">
        <f>Table2234210[[#This Row],[Ypred]]-Table2234210[[#This Row],[REF]]</f>
        <v>0.84111216212030016</v>
      </c>
      <c r="H68" s="29">
        <f>Table2234210[[#This Row],[X-Y]]-E$20</f>
        <v>0.99823271128791546</v>
      </c>
      <c r="I68" s="29">
        <f>Table2234210[[#This Row],[Ypred]]-E$20</f>
        <v>11.448232511287916</v>
      </c>
      <c r="J68" s="29">
        <f>Table2234210[[#This Row],[Ypred]]*E$21+E$22</f>
        <v>11.189705131401421</v>
      </c>
      <c r="K68" s="56">
        <f>Table2234210[[#This Row],[Yest]]-Table2234210[[#This Row],[REF]]</f>
        <v>0.73970533140142081</v>
      </c>
      <c r="L68" s="56">
        <f>ABS(Table2234210[[#This Row],[RESyx]])</f>
        <v>0.73970533140142081</v>
      </c>
      <c r="M68" s="29">
        <f>Table2234210[[#This Row],[Ypred]]*E$25+E$26</f>
        <v>11.283081191396114</v>
      </c>
      <c r="N68" s="29">
        <f>Table2234210[[#This Row],[X-Y]]^2</f>
        <v>0.70746966926668609</v>
      </c>
      <c r="O68" s="57">
        <f>Table2234210[[#This Row],[yest_rect]]-Table2234210[[#This Row],[REF]]</f>
        <v>0.8330813913961137</v>
      </c>
      <c r="P68" s="57">
        <f>Table2234210[[#This Row],[dif rec]]^2</f>
        <v>0.69402460469048477</v>
      </c>
      <c r="Q68" s="57">
        <f>ABS(Table2234210[[#This Row],[diff-bias]])</f>
        <v>0.99823271128791546</v>
      </c>
      <c r="R68" s="57">
        <f ca="1">CELL("row",Table2234210[[#This Row],[Position]])</f>
        <v>68</v>
      </c>
      <c r="S68" s="4">
        <f>Table2234210[[#This Row],[REF]]-D$13</f>
        <v>-0.56000045000000043</v>
      </c>
      <c r="T68" s="4">
        <f>ABS(Table2234210[[#This Row],[lab-med]])</f>
        <v>0.56000045000000043</v>
      </c>
      <c r="U68" s="4">
        <f>Table2234210[[#This Row],[Ypred]]-F$13</f>
        <v>0.2954394041080004</v>
      </c>
      <c r="V68" s="4">
        <f>ABS(Table2234210[[#This Row],[anl-med]])</f>
        <v>0.2954394041080004</v>
      </c>
      <c r="W68" s="4">
        <f>Table2234210[[#This Row],[lab-med]]*Table2234210[[#This Row],[anl-med]]</f>
        <v>-0.16544619924821219</v>
      </c>
    </row>
    <row r="69" spans="2:23" x14ac:dyDescent="0.25">
      <c r="B69" s="46">
        <f ca="1">VALUE((Table2234210[[#This Row],[Column3]]-62))</f>
        <v>7</v>
      </c>
      <c r="C69" t="s">
        <v>75</v>
      </c>
      <c r="D69">
        <v>11.0200005</v>
      </c>
      <c r="E69"/>
      <c r="F69" s="78">
        <v>9.7267271837627103</v>
      </c>
      <c r="G69" s="29">
        <f>Table2234210[[#This Row],[Ypred]]-Table2234210[[#This Row],[REF]]</f>
        <v>-1.2932733162372898</v>
      </c>
      <c r="H69" s="29">
        <f>Table2234210[[#This Row],[X-Y]]-E$20</f>
        <v>-1.1361527670696745</v>
      </c>
      <c r="I69" s="29">
        <f>Table2234210[[#This Row],[Ypred]]-E$20</f>
        <v>9.8838477329303256</v>
      </c>
      <c r="J69" s="29">
        <f>Table2234210[[#This Row],[Ypred]]*E$21+E$22</f>
        <v>10.819289814274416</v>
      </c>
      <c r="K69" s="56">
        <f>Table2234210[[#This Row],[Yest]]-Table2234210[[#This Row],[REF]]</f>
        <v>-0.20071068572558382</v>
      </c>
      <c r="L69" s="56">
        <f>ABS(Table2234210[[#This Row],[RESyx]])</f>
        <v>0.20071068572558382</v>
      </c>
      <c r="M69" s="29">
        <f>Table2234210[[#This Row],[Ypred]]*E$25+E$26</f>
        <v>10.481422715062351</v>
      </c>
      <c r="N69" s="29">
        <f>Table2234210[[#This Row],[X-Y]]^2</f>
        <v>1.672555870491397</v>
      </c>
      <c r="O69" s="57">
        <f>Table2234210[[#This Row],[yest_rect]]-Table2234210[[#This Row],[REF]]</f>
        <v>-0.53857778493764918</v>
      </c>
      <c r="P69" s="57">
        <f>Table2234210[[#This Row],[dif rec]]^2</f>
        <v>0.29006603042834472</v>
      </c>
      <c r="Q69" s="57">
        <f>ABS(Table2234210[[#This Row],[diff-bias]])</f>
        <v>1.1361527670696745</v>
      </c>
      <c r="R69" s="57">
        <f ca="1">CELL("row",Table2234210[[#This Row],[Position]])</f>
        <v>69</v>
      </c>
      <c r="S69" s="4">
        <f>Table2234210[[#This Row],[REF]]-D$13</f>
        <v>1.0000249999999156E-2</v>
      </c>
      <c r="T69" s="4">
        <f>ABS(Table2234210[[#This Row],[lab-med]])</f>
        <v>1.0000249999999156E-2</v>
      </c>
      <c r="U69" s="4">
        <f>Table2234210[[#This Row],[Ypred]]-F$13</f>
        <v>-1.26894537424959</v>
      </c>
      <c r="V69" s="4">
        <f>ABS(Table2234210[[#This Row],[anl-med]])</f>
        <v>1.26894537424959</v>
      </c>
      <c r="W69" s="4">
        <f>Table2234210[[#This Row],[lab-med]]*Table2234210[[#This Row],[anl-med]]</f>
        <v>-1.268977097883839E-2</v>
      </c>
    </row>
    <row r="70" spans="2:23" x14ac:dyDescent="0.25">
      <c r="B70" s="46">
        <f ca="1">VALUE((Table2234210[[#This Row],[Column3]]-62))</f>
        <v>8</v>
      </c>
      <c r="C70" t="s">
        <v>76</v>
      </c>
      <c r="D70">
        <v>10.800000199999999</v>
      </c>
      <c r="E70"/>
      <c r="F70" s="78">
        <v>11.848861400802001</v>
      </c>
      <c r="G70" s="29">
        <f>Table2234210[[#This Row],[Ypred]]-Table2234210[[#This Row],[REF]]</f>
        <v>1.0488612008020013</v>
      </c>
      <c r="H70" s="29">
        <f>Table2234210[[#This Row],[X-Y]]-E$20</f>
        <v>1.2059817499696166</v>
      </c>
      <c r="I70" s="29">
        <f>Table2234210[[#This Row],[Ypred]]-E$20</f>
        <v>12.005981949969616</v>
      </c>
      <c r="J70" s="29">
        <f>Table2234210[[#This Row],[Ypred]]*E$21+E$22</f>
        <v>11.321769146639152</v>
      </c>
      <c r="K70" s="56">
        <f>Table2234210[[#This Row],[Yest]]-Table2234210[[#This Row],[REF]]</f>
        <v>0.52176894663915263</v>
      </c>
      <c r="L70" s="56">
        <f>ABS(Table2234210[[#This Row],[RESyx]])</f>
        <v>0.52176894663915263</v>
      </c>
      <c r="M70" s="29">
        <f>Table2234210[[#This Row],[Ypred]]*E$25+E$26</f>
        <v>11.568896146498789</v>
      </c>
      <c r="N70" s="29">
        <f>Table2234210[[#This Row],[X-Y]]^2</f>
        <v>1.100109818547816</v>
      </c>
      <c r="O70" s="57">
        <f>Table2234210[[#This Row],[yest_rect]]-Table2234210[[#This Row],[REF]]</f>
        <v>0.76889594649878923</v>
      </c>
      <c r="P70" s="57">
        <f>Table2234210[[#This Row],[dif rec]]^2</f>
        <v>0.591200976542269</v>
      </c>
      <c r="Q70" s="57">
        <f>ABS(Table2234210[[#This Row],[diff-bias]])</f>
        <v>1.2059817499696166</v>
      </c>
      <c r="R70" s="57">
        <f ca="1">CELL("row",Table2234210[[#This Row],[Position]])</f>
        <v>70</v>
      </c>
      <c r="S70" s="4">
        <f>Table2234210[[#This Row],[REF]]-D$13</f>
        <v>-0.21000005000000144</v>
      </c>
      <c r="T70" s="4">
        <f>ABS(Table2234210[[#This Row],[lab-med]])</f>
        <v>0.21000005000000144</v>
      </c>
      <c r="U70" s="4">
        <f>Table2234210[[#This Row],[Ypred]]-F$13</f>
        <v>0.85318884278970053</v>
      </c>
      <c r="V70" s="4">
        <f>ABS(Table2234210[[#This Row],[anl-med]])</f>
        <v>0.85318884278970053</v>
      </c>
      <c r="W70" s="4">
        <f>Table2234210[[#This Row],[lab-med]]*Table2234210[[#This Row],[anl-med]]</f>
        <v>-0.17916969964528048</v>
      </c>
    </row>
    <row r="71" spans="2:23" x14ac:dyDescent="0.25">
      <c r="B71" s="46">
        <f ca="1">VALUE((Table2234210[[#This Row],[Column3]]-62))</f>
        <v>9</v>
      </c>
      <c r="C71" t="s">
        <v>77</v>
      </c>
      <c r="D71">
        <v>10.8800001</v>
      </c>
      <c r="E71"/>
      <c r="F71" s="78">
        <v>11.855725997411399</v>
      </c>
      <c r="G71" s="29">
        <f>Table2234210[[#This Row],[Ypred]]-Table2234210[[#This Row],[REF]]</f>
        <v>0.97572589741139915</v>
      </c>
      <c r="H71" s="29">
        <f>Table2234210[[#This Row],[X-Y]]-E$20</f>
        <v>1.1328464465790145</v>
      </c>
      <c r="I71" s="29">
        <f>Table2234210[[#This Row],[Ypred]]-E$20</f>
        <v>12.012846546579015</v>
      </c>
      <c r="J71" s="29">
        <f>Table2234210[[#This Row],[Ypred]]*E$21+E$22</f>
        <v>11.32339454709382</v>
      </c>
      <c r="K71" s="56">
        <f>Table2234210[[#This Row],[Yest]]-Table2234210[[#This Row],[REF]]</f>
        <v>0.44339444709381937</v>
      </c>
      <c r="L71" s="56">
        <f>ABS(Table2234210[[#This Row],[RESyx]])</f>
        <v>0.44339444709381937</v>
      </c>
      <c r="M71" s="29">
        <f>Table2234210[[#This Row],[Ypred]]*E$25+E$26</f>
        <v>11.572413862942128</v>
      </c>
      <c r="N71" s="29">
        <f>Table2234210[[#This Row],[X-Y]]^2</f>
        <v>0.95204102687928016</v>
      </c>
      <c r="O71" s="57">
        <f>Table2234210[[#This Row],[yest_rect]]-Table2234210[[#This Row],[REF]]</f>
        <v>0.69241376294212742</v>
      </c>
      <c r="P71" s="57">
        <f>Table2234210[[#This Row],[dif rec]]^2</f>
        <v>0.47943681911167663</v>
      </c>
      <c r="Q71" s="57">
        <f>ABS(Table2234210[[#This Row],[diff-bias]])</f>
        <v>1.1328464465790145</v>
      </c>
      <c r="R71" s="57">
        <f ca="1">CELL("row",Table2234210[[#This Row],[Position]])</f>
        <v>71</v>
      </c>
      <c r="S71" s="4">
        <f>Table2234210[[#This Row],[REF]]-D$13</f>
        <v>-0.13000015000000076</v>
      </c>
      <c r="T71" s="4">
        <f>ABS(Table2234210[[#This Row],[lab-med]])</f>
        <v>0.13000015000000076</v>
      </c>
      <c r="U71" s="4">
        <f>Table2234210[[#This Row],[Ypred]]-F$13</f>
        <v>0.86005343939909906</v>
      </c>
      <c r="V71" s="4">
        <f>ABS(Table2234210[[#This Row],[anl-med]])</f>
        <v>0.86005343939909906</v>
      </c>
      <c r="W71" s="4">
        <f>Table2234210[[#This Row],[lab-med]]*Table2234210[[#This Row],[anl-med]]</f>
        <v>-0.11180707612989944</v>
      </c>
    </row>
    <row r="72" spans="2:23" x14ac:dyDescent="0.25">
      <c r="B72" s="46">
        <f ca="1">VALUE((Table2234210[[#This Row],[Column3]]-62))</f>
        <v>10</v>
      </c>
      <c r="C72" t="s">
        <v>78</v>
      </c>
      <c r="D72">
        <v>11.0600004</v>
      </c>
      <c r="E72"/>
      <c r="F72" s="78">
        <v>7.8848494692429103</v>
      </c>
      <c r="G72" s="29">
        <f>Table2234210[[#This Row],[Ypred]]-Table2234210[[#This Row],[REF]]</f>
        <v>-3.1751509307570895</v>
      </c>
      <c r="H72" s="29">
        <f>Table2234210[[#This Row],[X-Y]]-E$20</f>
        <v>-3.0180303815894742</v>
      </c>
      <c r="I72" s="29">
        <f>Table2234210[[#This Row],[Ypred]]-E$20</f>
        <v>8.0419700184105256</v>
      </c>
      <c r="J72" s="29">
        <f>Table2234210[[#This Row],[Ypred]]*E$21+E$22</f>
        <v>10.383169668405124</v>
      </c>
      <c r="K72" s="56">
        <f>Table2234210[[#This Row],[Yest]]-Table2234210[[#This Row],[REF]]</f>
        <v>-0.67683073159487606</v>
      </c>
      <c r="L72" s="56">
        <f>ABS(Table2234210[[#This Row],[RESyx]])</f>
        <v>0.67683073159487606</v>
      </c>
      <c r="M72" s="29">
        <f>Table2234210[[#This Row],[Ypred]]*E$25+E$26</f>
        <v>9.5375648466898042</v>
      </c>
      <c r="N72" s="29">
        <f>Table2234210[[#This Row],[X-Y]]^2</f>
        <v>10.081583433087612</v>
      </c>
      <c r="O72" s="57">
        <f>Table2234210[[#This Row],[yest_rect]]-Table2234210[[#This Row],[REF]]</f>
        <v>-1.5224355533101956</v>
      </c>
      <c r="P72" s="57">
        <f>Table2234210[[#This Row],[dif rec]]^2</f>
        <v>2.3178100139829216</v>
      </c>
      <c r="Q72" s="57">
        <f>ABS(Table2234210[[#This Row],[diff-bias]])</f>
        <v>3.0180303815894742</v>
      </c>
      <c r="R72" s="57">
        <f ca="1">CELL("row",Table2234210[[#This Row],[Position]])</f>
        <v>72</v>
      </c>
      <c r="S72" s="4">
        <f>Table2234210[[#This Row],[REF]]-D$13</f>
        <v>5.0000149999998911E-2</v>
      </c>
      <c r="T72" s="4">
        <f>ABS(Table2234210[[#This Row],[lab-med]])</f>
        <v>5.0000149999998911E-2</v>
      </c>
      <c r="U72" s="4">
        <f>Table2234210[[#This Row],[Ypred]]-F$13</f>
        <v>-3.11082308876939</v>
      </c>
      <c r="V72" s="4">
        <f>ABS(Table2234210[[#This Row],[anl-med]])</f>
        <v>3.11082308876939</v>
      </c>
      <c r="W72" s="4">
        <f>Table2234210[[#This Row],[lab-med]]*Table2234210[[#This Row],[anl-med]]</f>
        <v>-0.15554162106192942</v>
      </c>
    </row>
    <row r="73" spans="2:23" x14ac:dyDescent="0.25">
      <c r="B73" s="46">
        <f ca="1">VALUE((Table2234210[[#This Row],[Column3]]-62))</f>
        <v>11</v>
      </c>
      <c r="C73" t="s">
        <v>79</v>
      </c>
      <c r="D73">
        <v>11.0900002</v>
      </c>
      <c r="E73"/>
      <c r="F73" s="78">
        <v>13.8758665310525</v>
      </c>
      <c r="G73" s="29">
        <f>Table2234210[[#This Row],[Ypred]]-Table2234210[[#This Row],[REF]]</f>
        <v>2.7858663310524996</v>
      </c>
      <c r="H73" s="29">
        <f>Table2234210[[#This Row],[X-Y]]-E$20</f>
        <v>2.9429868802201149</v>
      </c>
      <c r="I73" s="29">
        <f>Table2234210[[#This Row],[Ypred]]-E$20</f>
        <v>14.032987080220115</v>
      </c>
      <c r="J73" s="29">
        <f>Table2234210[[#This Row],[Ypred]]*E$21+E$22</f>
        <v>11.801723796241461</v>
      </c>
      <c r="K73" s="56">
        <f>Table2234210[[#This Row],[Yest]]-Table2234210[[#This Row],[REF]]</f>
        <v>0.71172359624146075</v>
      </c>
      <c r="L73" s="56">
        <f>ABS(Table2234210[[#This Row],[RESyx]])</f>
        <v>0.71172359624146075</v>
      </c>
      <c r="M73" s="29">
        <f>Table2234210[[#This Row],[Ypred]]*E$25+E$26</f>
        <v>12.607621316110414</v>
      </c>
      <c r="N73" s="29">
        <f>Table2234210[[#This Row],[X-Y]]^2</f>
        <v>7.761051214491915</v>
      </c>
      <c r="O73" s="57">
        <f>Table2234210[[#This Row],[yest_rect]]-Table2234210[[#This Row],[REF]]</f>
        <v>1.5176211161104138</v>
      </c>
      <c r="P73" s="57">
        <f>Table2234210[[#This Row],[dif rec]]^2</f>
        <v>2.303173852064218</v>
      </c>
      <c r="Q73" s="57">
        <f>ABS(Table2234210[[#This Row],[diff-bias]])</f>
        <v>2.9429868802201149</v>
      </c>
      <c r="R73" s="57">
        <f ca="1">CELL("row",Table2234210[[#This Row],[Position]])</f>
        <v>73</v>
      </c>
      <c r="S73" s="4">
        <f>Table2234210[[#This Row],[REF]]-D$13</f>
        <v>7.9999949999999487E-2</v>
      </c>
      <c r="T73" s="4">
        <f>ABS(Table2234210[[#This Row],[lab-med]])</f>
        <v>7.9999949999999487E-2</v>
      </c>
      <c r="U73" s="4">
        <f>Table2234210[[#This Row],[Ypred]]-F$13</f>
        <v>2.8801939730401998</v>
      </c>
      <c r="V73" s="4">
        <f>ABS(Table2234210[[#This Row],[anl-med]])</f>
        <v>2.8801939730401998</v>
      </c>
      <c r="W73" s="4">
        <f>Table2234210[[#This Row],[lab-med]]*Table2234210[[#This Row],[anl-med]]</f>
        <v>0.23041537383351585</v>
      </c>
    </row>
    <row r="74" spans="2:23" x14ac:dyDescent="0.25">
      <c r="B74" s="46">
        <f ca="1">VALUE((Table2234210[[#This Row],[Column3]]-62))</f>
        <v>12</v>
      </c>
      <c r="C74" t="s">
        <v>80</v>
      </c>
      <c r="D74">
        <v>11.6199999</v>
      </c>
      <c r="E74"/>
      <c r="F74" s="78">
        <v>11.1874098729386</v>
      </c>
      <c r="G74" s="29">
        <f>Table2234210[[#This Row],[Ypred]]-Table2234210[[#This Row],[REF]]</f>
        <v>-0.4325900270613996</v>
      </c>
      <c r="H74" s="29">
        <f>Table2234210[[#This Row],[X-Y]]-E$20</f>
        <v>-0.27546947789378429</v>
      </c>
      <c r="I74" s="29">
        <f>Table2234210[[#This Row],[Ypred]]-E$20</f>
        <v>11.344530422106216</v>
      </c>
      <c r="J74" s="29">
        <f>Table2234210[[#This Row],[Ypred]]*E$21+E$22</f>
        <v>11.165150531546965</v>
      </c>
      <c r="K74" s="56">
        <f>Table2234210[[#This Row],[Yest]]-Table2234210[[#This Row],[REF]]</f>
        <v>-0.45484936845303459</v>
      </c>
      <c r="L74" s="56">
        <f>ABS(Table2234210[[#This Row],[RESyx]])</f>
        <v>0.45484936845303459</v>
      </c>
      <c r="M74" s="29">
        <f>Table2234210[[#This Row],[Ypred]]*E$25+E$26</f>
        <v>11.229939752054502</v>
      </c>
      <c r="N74" s="29">
        <f>Table2234210[[#This Row],[X-Y]]^2</f>
        <v>0.18713413151298244</v>
      </c>
      <c r="O74" s="57">
        <f>Table2234210[[#This Row],[yest_rect]]-Table2234210[[#This Row],[REF]]</f>
        <v>-0.3900601479454977</v>
      </c>
      <c r="P74" s="57">
        <f>Table2234210[[#This Row],[dif rec]]^2</f>
        <v>0.15214691901526356</v>
      </c>
      <c r="Q74" s="57">
        <f>ABS(Table2234210[[#This Row],[diff-bias]])</f>
        <v>0.27546947789378429</v>
      </c>
      <c r="R74" s="57">
        <f ca="1">CELL("row",Table2234210[[#This Row],[Position]])</f>
        <v>74</v>
      </c>
      <c r="S74" s="4">
        <f>Table2234210[[#This Row],[REF]]-D$13</f>
        <v>0.60999964999999889</v>
      </c>
      <c r="T74" s="4">
        <f>ABS(Table2234210[[#This Row],[lab-med]])</f>
        <v>0.60999964999999889</v>
      </c>
      <c r="U74" s="4">
        <f>Table2234210[[#This Row],[Ypred]]-F$13</f>
        <v>0.19173731492629997</v>
      </c>
      <c r="V74" s="4">
        <f>ABS(Table2234210[[#This Row],[anl-med]])</f>
        <v>0.19173731492629997</v>
      </c>
      <c r="W74" s="4">
        <f>Table2234210[[#This Row],[lab-med]]*Table2234210[[#This Row],[anl-med]]</f>
        <v>0.11695969499698254</v>
      </c>
    </row>
    <row r="75" spans="2:23" x14ac:dyDescent="0.25">
      <c r="B75" s="46">
        <f ca="1">VALUE((Table2234210[[#This Row],[Column3]]-62))</f>
        <v>13</v>
      </c>
      <c r="C75" t="s">
        <v>81</v>
      </c>
      <c r="D75">
        <v>9.9600000000000009</v>
      </c>
      <c r="E75"/>
      <c r="F75" s="78">
        <v>10.9183510083167</v>
      </c>
      <c r="G75" s="29">
        <f>Table2234210[[#This Row],[Ypred]]-Table2234210[[#This Row],[REF]]</f>
        <v>0.95835100831669884</v>
      </c>
      <c r="H75" s="29">
        <f>Table2234210[[#This Row],[X-Y]]-E$20</f>
        <v>1.1154715574843141</v>
      </c>
      <c r="I75" s="29">
        <f>Table2234210[[#This Row],[Ypred]]-E$20</f>
        <v>11.075471557484315</v>
      </c>
      <c r="J75" s="29">
        <f>Table2234210[[#This Row],[Ypred]]*E$21+E$22</f>
        <v>11.101442723823734</v>
      </c>
      <c r="K75" s="56">
        <f>Table2234210[[#This Row],[Yest]]-Table2234210[[#This Row],[REF]]</f>
        <v>1.141442723823733</v>
      </c>
      <c r="L75" s="56">
        <f>ABS(Table2234210[[#This Row],[RESyx]])</f>
        <v>1.141442723823733</v>
      </c>
      <c r="M75" s="29">
        <f>Table2234210[[#This Row],[Ypred]]*E$25+E$26</f>
        <v>11.092062343349889</v>
      </c>
      <c r="N75" s="29">
        <f>Table2234210[[#This Row],[X-Y]]^2</f>
        <v>0.91843665514163342</v>
      </c>
      <c r="O75" s="57">
        <f>Table2234210[[#This Row],[yest_rect]]-Table2234210[[#This Row],[REF]]</f>
        <v>1.1320623433498884</v>
      </c>
      <c r="P75" s="57">
        <f>Table2234210[[#This Row],[dif rec]]^2</f>
        <v>1.2815651492308406</v>
      </c>
      <c r="Q75" s="57">
        <f>ABS(Table2234210[[#This Row],[diff-bias]])</f>
        <v>1.1154715574843141</v>
      </c>
      <c r="R75" s="57">
        <f ca="1">CELL("row",Table2234210[[#This Row],[Position]])</f>
        <v>75</v>
      </c>
      <c r="S75" s="4">
        <f>Table2234210[[#This Row],[REF]]-D$13</f>
        <v>-1.0500002500000001</v>
      </c>
      <c r="T75" s="4">
        <f>ABS(Table2234210[[#This Row],[lab-med]])</f>
        <v>1.0500002500000001</v>
      </c>
      <c r="U75" s="4">
        <f>Table2234210[[#This Row],[Ypred]]-F$13</f>
        <v>-7.7321549695600567E-2</v>
      </c>
      <c r="V75" s="4">
        <f>ABS(Table2234210[[#This Row],[anl-med]])</f>
        <v>7.7321549695600567E-2</v>
      </c>
      <c r="W75" s="4">
        <f>Table2234210[[#This Row],[lab-med]]*Table2234210[[#This Row],[anl-med]]</f>
        <v>8.1187646510768027E-2</v>
      </c>
    </row>
    <row r="76" spans="2:23" x14ac:dyDescent="0.25">
      <c r="B76" s="46">
        <f ca="1">VALUE((Table2234210[[#This Row],[Column3]]-62))</f>
        <v>14</v>
      </c>
      <c r="C76" t="s">
        <v>82</v>
      </c>
      <c r="D76">
        <v>9.5</v>
      </c>
      <c r="E76"/>
      <c r="F76" s="78">
        <v>12.306855803341</v>
      </c>
      <c r="G76" s="29">
        <f>Table2234210[[#This Row],[Ypred]]-Table2234210[[#This Row],[REF]]</f>
        <v>2.8068558033409996</v>
      </c>
      <c r="H76" s="29">
        <f>Table2234210[[#This Row],[X-Y]]-E$20</f>
        <v>2.9639763525086149</v>
      </c>
      <c r="I76" s="29">
        <f>Table2234210[[#This Row],[Ypred]]-E$20</f>
        <v>12.463976352508615</v>
      </c>
      <c r="J76" s="29">
        <f>Table2234210[[#This Row],[Ypred]]*E$21+E$22</f>
        <v>11.430213145970944</v>
      </c>
      <c r="K76" s="56">
        <f>Table2234210[[#This Row],[Yest]]-Table2234210[[#This Row],[REF]]</f>
        <v>1.930213145970944</v>
      </c>
      <c r="L76" s="56">
        <f>ABS(Table2234210[[#This Row],[RESyx]])</f>
        <v>1.930213145970944</v>
      </c>
      <c r="M76" s="29">
        <f>Table2234210[[#This Row],[Ypred]]*E$25+E$26</f>
        <v>11.803592303089031</v>
      </c>
      <c r="N76" s="29">
        <f>Table2234210[[#This Row],[X-Y]]^2</f>
        <v>7.8784395007490486</v>
      </c>
      <c r="O76" s="57">
        <f>Table2234210[[#This Row],[yest_rect]]-Table2234210[[#This Row],[REF]]</f>
        <v>2.3035923030890313</v>
      </c>
      <c r="P76" s="57">
        <f>Table2234210[[#This Row],[dif rec]]^2</f>
        <v>5.3065374988510277</v>
      </c>
      <c r="Q76" s="57">
        <f>ABS(Table2234210[[#This Row],[diff-bias]])</f>
        <v>2.9639763525086149</v>
      </c>
      <c r="R76" s="57">
        <f ca="1">CELL("row",Table2234210[[#This Row],[Position]])</f>
        <v>76</v>
      </c>
      <c r="S76" s="4">
        <f>Table2234210[[#This Row],[REF]]-D$13</f>
        <v>-1.5100002500000009</v>
      </c>
      <c r="T76" s="4">
        <f>ABS(Table2234210[[#This Row],[lab-med]])</f>
        <v>1.5100002500000009</v>
      </c>
      <c r="U76" s="4">
        <f>Table2234210[[#This Row],[Ypred]]-F$13</f>
        <v>1.3111832453286993</v>
      </c>
      <c r="V76" s="4">
        <f>ABS(Table2234210[[#This Row],[anl-med]])</f>
        <v>1.3111832453286993</v>
      </c>
      <c r="W76" s="4">
        <f>Table2234210[[#This Row],[lab-med]]*Table2234210[[#This Row],[anl-med]]</f>
        <v>-1.9798870282421486</v>
      </c>
    </row>
    <row r="77" spans="2:23" x14ac:dyDescent="0.25">
      <c r="B77" s="46">
        <f ca="1">VALUE((Table2234210[[#This Row],[Column3]]-62))</f>
        <v>15</v>
      </c>
      <c r="C77" t="s">
        <v>83</v>
      </c>
      <c r="D77">
        <v>9.9899997999999997</v>
      </c>
      <c r="E77"/>
      <c r="F77" s="78">
        <v>7.9317243749028403</v>
      </c>
      <c r="G77" s="29">
        <f>Table2234210[[#This Row],[Ypred]]-Table2234210[[#This Row],[REF]]</f>
        <v>-2.0582754250971593</v>
      </c>
      <c r="H77" s="29">
        <f>Table2234210[[#This Row],[X-Y]]-E$20</f>
        <v>-1.901154875929544</v>
      </c>
      <c r="I77" s="29">
        <f>Table2234210[[#This Row],[Ypred]]-E$20</f>
        <v>8.0888449240704556</v>
      </c>
      <c r="J77" s="29">
        <f>Table2234210[[#This Row],[Ypred]]*E$21+E$22</f>
        <v>10.394268717236033</v>
      </c>
      <c r="K77" s="56">
        <f>Table2234210[[#This Row],[Yest]]-Table2234210[[#This Row],[REF]]</f>
        <v>0.40426891723603298</v>
      </c>
      <c r="L77" s="56">
        <f>ABS(Table2234210[[#This Row],[RESyx]])</f>
        <v>0.40426891723603298</v>
      </c>
      <c r="M77" s="29">
        <f>Table2234210[[#This Row],[Ypred]]*E$25+E$26</f>
        <v>9.5615855773754355</v>
      </c>
      <c r="N77" s="29">
        <f>Table2234210[[#This Row],[X-Y]]^2</f>
        <v>4.236497725558892</v>
      </c>
      <c r="O77" s="57">
        <f>Table2234210[[#This Row],[yest_rect]]-Table2234210[[#This Row],[REF]]</f>
        <v>-0.42841422262456419</v>
      </c>
      <c r="P77" s="57">
        <f>Table2234210[[#This Row],[dif rec]]^2</f>
        <v>0.18353874614700966</v>
      </c>
      <c r="Q77" s="57">
        <f>ABS(Table2234210[[#This Row],[diff-bias]])</f>
        <v>1.901154875929544</v>
      </c>
      <c r="R77" s="57">
        <f ca="1">CELL("row",Table2234210[[#This Row],[Position]])</f>
        <v>77</v>
      </c>
      <c r="S77" s="4">
        <f>Table2234210[[#This Row],[REF]]-D$13</f>
        <v>-1.0200004500000013</v>
      </c>
      <c r="T77" s="4">
        <f>ABS(Table2234210[[#This Row],[lab-med]])</f>
        <v>1.0200004500000013</v>
      </c>
      <c r="U77" s="4">
        <f>Table2234210[[#This Row],[Ypred]]-F$13</f>
        <v>-3.0639481831094599</v>
      </c>
      <c r="V77" s="4">
        <f>ABS(Table2234210[[#This Row],[anl-med]])</f>
        <v>3.0639481831094599</v>
      </c>
      <c r="W77" s="4">
        <f>Table2234210[[#This Row],[lab-med]]*Table2234210[[#This Row],[anl-med]]</f>
        <v>3.1252285255483354</v>
      </c>
    </row>
    <row r="78" spans="2:23" x14ac:dyDescent="0.25">
      <c r="B78" s="46">
        <f ca="1">VALUE((Table2234210[[#This Row],[Column3]]-62))</f>
        <v>16</v>
      </c>
      <c r="C78" t="s">
        <v>84</v>
      </c>
      <c r="D78">
        <v>10.0100002</v>
      </c>
      <c r="E78"/>
      <c r="F78" s="78">
        <v>10.0704021138881</v>
      </c>
      <c r="G78" s="29">
        <f>Table2234210[[#This Row],[Ypred]]-Table2234210[[#This Row],[REF]]</f>
        <v>6.0401913888100012E-2</v>
      </c>
      <c r="H78" s="29">
        <f>Table2234210[[#This Row],[X-Y]]-E$20</f>
        <v>0.21752246305571532</v>
      </c>
      <c r="I78" s="29">
        <f>Table2234210[[#This Row],[Ypred]]-E$20</f>
        <v>10.227522663055716</v>
      </c>
      <c r="J78" s="29">
        <f>Table2234210[[#This Row],[Ypred]]*E$21+E$22</f>
        <v>10.90066522778659</v>
      </c>
      <c r="K78" s="56">
        <f>Table2234210[[#This Row],[Yest]]-Table2234210[[#This Row],[REF]]</f>
        <v>0.89066502778658929</v>
      </c>
      <c r="L78" s="56">
        <f>ABS(Table2234210[[#This Row],[RESyx]])</f>
        <v>0.89066502778658929</v>
      </c>
      <c r="M78" s="29">
        <f>Table2234210[[#This Row],[Ypred]]*E$25+E$26</f>
        <v>10.657536625559285</v>
      </c>
      <c r="N78" s="29">
        <f>Table2234210[[#This Row],[X-Y]]^2</f>
        <v>3.648391201345449E-3</v>
      </c>
      <c r="O78" s="57">
        <f>Table2234210[[#This Row],[yest_rect]]-Table2234210[[#This Row],[REF]]</f>
        <v>0.64753642555928437</v>
      </c>
      <c r="P78" s="57">
        <f>Table2234210[[#This Row],[dif rec]]^2</f>
        <v>0.41930342242609464</v>
      </c>
      <c r="Q78" s="57">
        <f>ABS(Table2234210[[#This Row],[diff-bias]])</f>
        <v>0.21752246305571532</v>
      </c>
      <c r="R78" s="57">
        <f ca="1">CELL("row",Table2234210[[#This Row],[Position]])</f>
        <v>78</v>
      </c>
      <c r="S78" s="4">
        <f>Table2234210[[#This Row],[REF]]-D$13</f>
        <v>-1.0000000500000006</v>
      </c>
      <c r="T78" s="4">
        <f>ABS(Table2234210[[#This Row],[lab-med]])</f>
        <v>1.0000000500000006</v>
      </c>
      <c r="U78" s="4">
        <f>Table2234210[[#This Row],[Ypred]]-F$13</f>
        <v>-0.9252704441241999</v>
      </c>
      <c r="V78" s="4">
        <f>ABS(Table2234210[[#This Row],[anl-med]])</f>
        <v>0.9252704441241999</v>
      </c>
      <c r="W78" s="4">
        <f>Table2234210[[#This Row],[lab-med]]*Table2234210[[#This Row],[anl-med]]</f>
        <v>0.92527049038772269</v>
      </c>
    </row>
    <row r="79" spans="2:23" x14ac:dyDescent="0.25">
      <c r="B79" s="46">
        <f ca="1">VALUE((Table2234210[[#This Row],[Column3]]-62))</f>
        <v>17</v>
      </c>
      <c r="C79" t="s">
        <v>85</v>
      </c>
      <c r="D79">
        <v>9.8299999000000007</v>
      </c>
      <c r="E79"/>
      <c r="F79" s="78">
        <v>11.117017102857099</v>
      </c>
      <c r="G79" s="29">
        <f>Table2234210[[#This Row],[Ypred]]-Table2234210[[#This Row],[REF]]</f>
        <v>1.2870172028570988</v>
      </c>
      <c r="H79" s="29">
        <f>Table2234210[[#This Row],[X-Y]]-E$20</f>
        <v>1.4441377520247141</v>
      </c>
      <c r="I79" s="29">
        <f>Table2234210[[#This Row],[Ypred]]-E$20</f>
        <v>11.274137652024715</v>
      </c>
      <c r="J79" s="29">
        <f>Table2234210[[#This Row],[Ypred]]*E$21+E$22</f>
        <v>11.148482918429071</v>
      </c>
      <c r="K79" s="56">
        <f>Table2234210[[#This Row],[Yest]]-Table2234210[[#This Row],[REF]]</f>
        <v>1.3184830184290703</v>
      </c>
      <c r="L79" s="56">
        <f>ABS(Table2234210[[#This Row],[RESyx]])</f>
        <v>1.3184830184290703</v>
      </c>
      <c r="M79" s="29">
        <f>Table2234210[[#This Row],[Ypred]]*E$25+E$26</f>
        <v>11.193867449645824</v>
      </c>
      <c r="N79" s="29">
        <f>Table2234210[[#This Row],[X-Y]]^2</f>
        <v>1.6564132804501104</v>
      </c>
      <c r="O79" s="57">
        <f>Table2234210[[#This Row],[yest_rect]]-Table2234210[[#This Row],[REF]]</f>
        <v>1.363867549645823</v>
      </c>
      <c r="P79" s="57">
        <f>Table2234210[[#This Row],[dif rec]]^2</f>
        <v>1.8601346929769016</v>
      </c>
      <c r="Q79" s="57">
        <f>ABS(Table2234210[[#This Row],[diff-bias]])</f>
        <v>1.4441377520247141</v>
      </c>
      <c r="R79" s="57">
        <f ca="1">CELL("row",Table2234210[[#This Row],[Position]])</f>
        <v>79</v>
      </c>
      <c r="S79" s="4">
        <f>Table2234210[[#This Row],[REF]]-D$13</f>
        <v>-1.1800003500000003</v>
      </c>
      <c r="T79" s="4">
        <f>ABS(Table2234210[[#This Row],[lab-med]])</f>
        <v>1.1800003500000003</v>
      </c>
      <c r="U79" s="4">
        <f>Table2234210[[#This Row],[Ypred]]-F$13</f>
        <v>0.12134454484479917</v>
      </c>
      <c r="V79" s="4">
        <f>ABS(Table2234210[[#This Row],[anl-med]])</f>
        <v>0.12134454484479917</v>
      </c>
      <c r="W79" s="4">
        <f>Table2234210[[#This Row],[lab-med]]*Table2234210[[#This Row],[anl-med]]</f>
        <v>-0.14318660538745376</v>
      </c>
    </row>
    <row r="80" spans="2:23" x14ac:dyDescent="0.25">
      <c r="B80" s="46">
        <f ca="1">VALUE((Table2234210[[#This Row],[Column3]]-62))</f>
        <v>18</v>
      </c>
      <c r="C80" t="s">
        <v>86</v>
      </c>
      <c r="D80">
        <v>9.5699997000000003</v>
      </c>
      <c r="E80"/>
      <c r="F80" s="78">
        <v>8.4676443035423308</v>
      </c>
      <c r="G80" s="29">
        <f>Table2234210[[#This Row],[Ypred]]-Table2234210[[#This Row],[REF]]</f>
        <v>-1.1023553964576696</v>
      </c>
      <c r="H80" s="29">
        <f>Table2234210[[#This Row],[X-Y]]-E$20</f>
        <v>-0.94523484729005425</v>
      </c>
      <c r="I80" s="29">
        <f>Table2234210[[#This Row],[Ypred]]-E$20</f>
        <v>8.6247648527099461</v>
      </c>
      <c r="J80" s="29">
        <f>Table2234210[[#This Row],[Ypred]]*E$21+E$22</f>
        <v>10.521163937048955</v>
      </c>
      <c r="K80" s="56">
        <f>Table2234210[[#This Row],[Yest]]-Table2234210[[#This Row],[REF]]</f>
        <v>0.95116423704895503</v>
      </c>
      <c r="L80" s="56">
        <f>ABS(Table2234210[[#This Row],[RESyx]])</f>
        <v>0.95116423704895503</v>
      </c>
      <c r="M80" s="29">
        <f>Table2234210[[#This Row],[Ypred]]*E$25+E$26</f>
        <v>9.8362141466210957</v>
      </c>
      <c r="N80" s="29">
        <f>Table2234210[[#This Row],[X-Y]]^2</f>
        <v>1.2151874200993458</v>
      </c>
      <c r="O80" s="57">
        <f>Table2234210[[#This Row],[yest_rect]]-Table2234210[[#This Row],[REF]]</f>
        <v>0.26621444662109539</v>
      </c>
      <c r="P80" s="57">
        <f>Table2234210[[#This Row],[dif rec]]^2</f>
        <v>7.087013158977605E-2</v>
      </c>
      <c r="Q80" s="57">
        <f>ABS(Table2234210[[#This Row],[diff-bias]])</f>
        <v>0.94523484729005425</v>
      </c>
      <c r="R80" s="57">
        <f ca="1">CELL("row",Table2234210[[#This Row],[Position]])</f>
        <v>80</v>
      </c>
      <c r="S80" s="4">
        <f>Table2234210[[#This Row],[REF]]-D$13</f>
        <v>-1.4400005500000006</v>
      </c>
      <c r="T80" s="4">
        <f>ABS(Table2234210[[#This Row],[lab-med]])</f>
        <v>1.4400005500000006</v>
      </c>
      <c r="U80" s="4">
        <f>Table2234210[[#This Row],[Ypred]]-F$13</f>
        <v>-2.5280282544699695</v>
      </c>
      <c r="V80" s="4">
        <f>ABS(Table2234210[[#This Row],[anl-med]])</f>
        <v>2.5280282544699695</v>
      </c>
      <c r="W80" s="4">
        <f>Table2234210[[#This Row],[lab-med]]*Table2234210[[#This Row],[anl-med]]</f>
        <v>3.6403620768522975</v>
      </c>
    </row>
    <row r="81" spans="2:23" x14ac:dyDescent="0.25">
      <c r="B81" s="46">
        <f ca="1">VALUE((Table2234210[[#This Row],[Column3]]-62))</f>
        <v>19</v>
      </c>
      <c r="C81" t="s">
        <v>87</v>
      </c>
      <c r="D81">
        <v>9.9200000999999993</v>
      </c>
      <c r="E81"/>
      <c r="F81" s="78">
        <v>12.306614425077001</v>
      </c>
      <c r="G81" s="29">
        <f>Table2234210[[#This Row],[Ypred]]-Table2234210[[#This Row],[REF]]</f>
        <v>2.3866143250770016</v>
      </c>
      <c r="H81" s="29">
        <f>Table2234210[[#This Row],[X-Y]]-E$20</f>
        <v>2.5437348742446169</v>
      </c>
      <c r="I81" s="29">
        <f>Table2234210[[#This Row],[Ypred]]-E$20</f>
        <v>12.463734974244616</v>
      </c>
      <c r="J81" s="29">
        <f>Table2234210[[#This Row],[Ypred]]*E$21+E$22</f>
        <v>11.430155992380955</v>
      </c>
      <c r="K81" s="56">
        <f>Table2234210[[#This Row],[Yest]]-Table2234210[[#This Row],[REF]]</f>
        <v>1.5101558923809559</v>
      </c>
      <c r="L81" s="56">
        <f>ABS(Table2234210[[#This Row],[RESyx]])</f>
        <v>1.5101558923809559</v>
      </c>
      <c r="M81" s="29">
        <f>Table2234210[[#This Row],[Ypred]]*E$25+E$26</f>
        <v>11.803468610418268</v>
      </c>
      <c r="N81" s="29">
        <f>Table2234210[[#This Row],[X-Y]]^2</f>
        <v>5.695927936662752</v>
      </c>
      <c r="O81" s="57">
        <f>Table2234210[[#This Row],[yest_rect]]-Table2234210[[#This Row],[REF]]</f>
        <v>1.8834685104182682</v>
      </c>
      <c r="P81" s="57">
        <f>Table2234210[[#This Row],[dif rec]]^2</f>
        <v>3.5474536297372103</v>
      </c>
      <c r="Q81" s="57">
        <f>ABS(Table2234210[[#This Row],[diff-bias]])</f>
        <v>2.5437348742446169</v>
      </c>
      <c r="R81" s="57">
        <f ca="1">CELL("row",Table2234210[[#This Row],[Position]])</f>
        <v>81</v>
      </c>
      <c r="S81" s="4">
        <f>Table2234210[[#This Row],[REF]]-D$13</f>
        <v>-1.0900001500000016</v>
      </c>
      <c r="T81" s="4">
        <f>ABS(Table2234210[[#This Row],[lab-med]])</f>
        <v>1.0900001500000016</v>
      </c>
      <c r="U81" s="4">
        <f>Table2234210[[#This Row],[Ypred]]-F$13</f>
        <v>1.3109418670647006</v>
      </c>
      <c r="V81" s="4">
        <f>ABS(Table2234210[[#This Row],[anl-med]])</f>
        <v>1.3109418670647006</v>
      </c>
      <c r="W81" s="4">
        <f>Table2234210[[#This Row],[lab-med]]*Table2234210[[#This Row],[anl-med]]</f>
        <v>-1.4289268317418058</v>
      </c>
    </row>
    <row r="82" spans="2:23" x14ac:dyDescent="0.25">
      <c r="B82" s="46">
        <f ca="1">VALUE((Table2234210[[#This Row],[Column3]]-62))</f>
        <v>20</v>
      </c>
      <c r="C82" t="s">
        <v>88</v>
      </c>
      <c r="D82">
        <v>11.670000099999999</v>
      </c>
      <c r="E82"/>
      <c r="F82" s="78">
        <v>8.7624672416786797</v>
      </c>
      <c r="G82" s="29">
        <f>Table2234210[[#This Row],[Ypred]]-Table2234210[[#This Row],[REF]]</f>
        <v>-2.9075328583213196</v>
      </c>
      <c r="H82" s="29">
        <f>Table2234210[[#This Row],[X-Y]]-E$20</f>
        <v>-2.7504123091537043</v>
      </c>
      <c r="I82" s="29">
        <f>Table2234210[[#This Row],[Ypred]]-E$20</f>
        <v>8.9195877908462951</v>
      </c>
      <c r="J82" s="29">
        <f>Table2234210[[#This Row],[Ypred]]*E$21+E$22</f>
        <v>10.590972166863583</v>
      </c>
      <c r="K82" s="56">
        <f>Table2234210[[#This Row],[Yest]]-Table2234210[[#This Row],[REF]]</f>
        <v>-1.0790279331364161</v>
      </c>
      <c r="L82" s="56">
        <f>ABS(Table2234210[[#This Row],[RESyx]])</f>
        <v>1.0790279331364161</v>
      </c>
      <c r="M82" s="29">
        <f>Table2234210[[#This Row],[Ypred]]*E$25+E$26</f>
        <v>9.9872941818172727</v>
      </c>
      <c r="N82" s="29">
        <f>Table2234210[[#This Row],[X-Y]]^2</f>
        <v>8.4537473222181418</v>
      </c>
      <c r="O82" s="57">
        <f>Table2234210[[#This Row],[yest_rect]]-Table2234210[[#This Row],[REF]]</f>
        <v>-1.6827059181827266</v>
      </c>
      <c r="P82" s="57">
        <f>Table2234210[[#This Row],[dif rec]]^2</f>
        <v>2.8314992070871732</v>
      </c>
      <c r="Q82" s="57">
        <f>ABS(Table2234210[[#This Row],[diff-bias]])</f>
        <v>2.7504123091537043</v>
      </c>
      <c r="R82" s="57">
        <f ca="1">CELL("row",Table2234210[[#This Row],[Position]])</f>
        <v>82</v>
      </c>
      <c r="S82" s="4">
        <f>Table2234210[[#This Row],[REF]]-D$13</f>
        <v>0.65999984999999839</v>
      </c>
      <c r="T82" s="4">
        <f>ABS(Table2234210[[#This Row],[lab-med]])</f>
        <v>0.65999984999999839</v>
      </c>
      <c r="U82" s="4">
        <f>Table2234210[[#This Row],[Ypred]]-F$13</f>
        <v>-2.2332053163336205</v>
      </c>
      <c r="V82" s="4">
        <f>ABS(Table2234210[[#This Row],[anl-med]])</f>
        <v>2.2332053163336205</v>
      </c>
      <c r="W82" s="4">
        <f>Table2234210[[#This Row],[lab-med]]*Table2234210[[#This Row],[anl-med]]</f>
        <v>-1.4739151737993885</v>
      </c>
    </row>
    <row r="83" spans="2:23" x14ac:dyDescent="0.25">
      <c r="B83" s="46">
        <f ca="1">VALUE((Table2234210[[#This Row],[Column3]]-62))</f>
        <v>21</v>
      </c>
      <c r="C83" t="s">
        <v>89</v>
      </c>
      <c r="D83">
        <v>11.5</v>
      </c>
      <c r="E83"/>
      <c r="F83" s="78">
        <v>9.5111368007055699</v>
      </c>
      <c r="G83" s="29">
        <f>Table2234210[[#This Row],[Ypred]]-Table2234210[[#This Row],[REF]]</f>
        <v>-1.9888631992944301</v>
      </c>
      <c r="H83" s="29">
        <f>Table2234210[[#This Row],[X-Y]]-E$20</f>
        <v>-1.8317426501268148</v>
      </c>
      <c r="I83" s="29">
        <f>Table2234210[[#This Row],[Ypred]]-E$20</f>
        <v>9.6682573498731852</v>
      </c>
      <c r="J83" s="29">
        <f>Table2234210[[#This Row],[Ypred]]*E$21+E$22</f>
        <v>10.768242283504215</v>
      </c>
      <c r="K83" s="56">
        <f>Table2234210[[#This Row],[Yest]]-Table2234210[[#This Row],[REF]]</f>
        <v>-0.73175771649578536</v>
      </c>
      <c r="L83" s="56">
        <f>ABS(Table2234210[[#This Row],[RESyx]])</f>
        <v>0.73175771649578536</v>
      </c>
      <c r="M83" s="29">
        <f>Table2234210[[#This Row],[Ypred]]*E$25+E$26</f>
        <v>10.370944870746294</v>
      </c>
      <c r="N83" s="29">
        <f>Table2234210[[#This Row],[X-Y]]^2</f>
        <v>3.9555768255076762</v>
      </c>
      <c r="O83" s="57">
        <f>Table2234210[[#This Row],[yest_rect]]-Table2234210[[#This Row],[REF]]</f>
        <v>-1.1290551292537057</v>
      </c>
      <c r="P83" s="57">
        <f>Table2234210[[#This Row],[dif rec]]^2</f>
        <v>1.2747654848941019</v>
      </c>
      <c r="Q83" s="57">
        <f>ABS(Table2234210[[#This Row],[diff-bias]])</f>
        <v>1.8317426501268148</v>
      </c>
      <c r="R83" s="57">
        <f ca="1">CELL("row",Table2234210[[#This Row],[Position]])</f>
        <v>83</v>
      </c>
      <c r="S83" s="4">
        <f>Table2234210[[#This Row],[REF]]-D$13</f>
        <v>0.48999974999999907</v>
      </c>
      <c r="T83" s="4">
        <f>ABS(Table2234210[[#This Row],[lab-med]])</f>
        <v>0.48999974999999907</v>
      </c>
      <c r="U83" s="4">
        <f>Table2234210[[#This Row],[Ypred]]-F$13</f>
        <v>-1.4845357573067304</v>
      </c>
      <c r="V83" s="4">
        <f>ABS(Table2234210[[#This Row],[anl-med]])</f>
        <v>1.4845357573067304</v>
      </c>
      <c r="W83" s="4">
        <f>Table2234210[[#This Row],[lab-med]]*Table2234210[[#This Row],[anl-med]]</f>
        <v>-0.72742214994635712</v>
      </c>
    </row>
    <row r="84" spans="2:23" x14ac:dyDescent="0.25">
      <c r="B84" s="46">
        <f ca="1">VALUE((Table2234210[[#This Row],[Column3]]-62))</f>
        <v>22</v>
      </c>
      <c r="C84" t="s">
        <v>90</v>
      </c>
      <c r="D84">
        <v>11.3699999</v>
      </c>
      <c r="E84"/>
      <c r="F84" s="78">
        <v>14.175823572892099</v>
      </c>
      <c r="G84" s="29">
        <f>Table2234210[[#This Row],[Ypred]]-Table2234210[[#This Row],[REF]]</f>
        <v>2.8058236728920996</v>
      </c>
      <c r="H84" s="29">
        <f>Table2234210[[#This Row],[X-Y]]-E$20</f>
        <v>2.9629442220597149</v>
      </c>
      <c r="I84" s="29">
        <f>Table2234210[[#This Row],[Ypred]]-E$20</f>
        <v>14.332944122059715</v>
      </c>
      <c r="J84" s="29">
        <f>Table2234210[[#This Row],[Ypred]]*E$21+E$22</f>
        <v>11.872747680080412</v>
      </c>
      <c r="K84" s="56">
        <f>Table2234210[[#This Row],[Yest]]-Table2234210[[#This Row],[REF]]</f>
        <v>0.5027477800804121</v>
      </c>
      <c r="L84" s="56">
        <f>ABS(Table2234210[[#This Row],[RESyx]])</f>
        <v>0.5027477800804121</v>
      </c>
      <c r="M84" s="29">
        <f>Table2234210[[#This Row],[Ypred]]*E$25+E$26</f>
        <v>12.761332288278766</v>
      </c>
      <c r="N84" s="29">
        <f>Table2234210[[#This Row],[X-Y]]^2</f>
        <v>7.872646483361712</v>
      </c>
      <c r="O84" s="57">
        <f>Table2234210[[#This Row],[yest_rect]]-Table2234210[[#This Row],[REF]]</f>
        <v>1.3913323882787658</v>
      </c>
      <c r="P84" s="57">
        <f>Table2234210[[#This Row],[dif rec]]^2</f>
        <v>1.9358058146734944</v>
      </c>
      <c r="Q84" s="57">
        <f>ABS(Table2234210[[#This Row],[diff-bias]])</f>
        <v>2.9629442220597149</v>
      </c>
      <c r="R84" s="57">
        <f ca="1">CELL("row",Table2234210[[#This Row],[Position]])</f>
        <v>84</v>
      </c>
      <c r="S84" s="4">
        <f>Table2234210[[#This Row],[REF]]-D$13</f>
        <v>0.35999964999999889</v>
      </c>
      <c r="T84" s="4">
        <f>ABS(Table2234210[[#This Row],[lab-med]])</f>
        <v>0.35999964999999889</v>
      </c>
      <c r="U84" s="4">
        <f>Table2234210[[#This Row],[Ypred]]-F$13</f>
        <v>3.1801510148797991</v>
      </c>
      <c r="V84" s="4">
        <f>ABS(Table2234210[[#This Row],[anl-med]])</f>
        <v>3.1801510148797991</v>
      </c>
      <c r="W84" s="4">
        <f>Table2234210[[#This Row],[lab-med]]*Table2234210[[#This Row],[anl-med]]</f>
        <v>1.144853252303869</v>
      </c>
    </row>
    <row r="85" spans="2:23" x14ac:dyDescent="0.25">
      <c r="B85" s="46">
        <f ca="1">VALUE((Table2234210[[#This Row],[Column3]]-62))</f>
        <v>23</v>
      </c>
      <c r="C85" t="s">
        <v>91</v>
      </c>
      <c r="D85">
        <v>11.5900002</v>
      </c>
      <c r="E85"/>
      <c r="F85" s="78">
        <v>11.8974957665632</v>
      </c>
      <c r="G85" s="29">
        <f>Table2234210[[#This Row],[Ypred]]-Table2234210[[#This Row],[REF]]</f>
        <v>0.30749556656319932</v>
      </c>
      <c r="H85" s="29">
        <f>Table2234210[[#This Row],[X-Y]]-E$20</f>
        <v>0.46461611573081463</v>
      </c>
      <c r="I85" s="29">
        <f>Table2234210[[#This Row],[Ypred]]-E$20</f>
        <v>12.054616315730815</v>
      </c>
      <c r="J85" s="29">
        <f>Table2234210[[#This Row],[Ypred]]*E$21+E$22</f>
        <v>11.333284800758221</v>
      </c>
      <c r="K85" s="56">
        <f>Table2234210[[#This Row],[Yest]]-Table2234210[[#This Row],[REF]]</f>
        <v>-0.256715399241779</v>
      </c>
      <c r="L85" s="56">
        <f>ABS(Table2234210[[#This Row],[RESyx]])</f>
        <v>0.256715399241779</v>
      </c>
      <c r="M85" s="29">
        <f>Table2234210[[#This Row],[Ypred]]*E$25+E$26</f>
        <v>11.593818500700237</v>
      </c>
      <c r="N85" s="29">
        <f>Table2234210[[#This Row],[X-Y]]^2</f>
        <v>9.4553523456022942E-2</v>
      </c>
      <c r="O85" s="57">
        <f>Table2234210[[#This Row],[yest_rect]]-Table2234210[[#This Row],[REF]]</f>
        <v>3.8183007002370317E-3</v>
      </c>
      <c r="P85" s="57">
        <f>Table2234210[[#This Row],[dif rec]]^2</f>
        <v>1.4579420237430607E-5</v>
      </c>
      <c r="Q85" s="57">
        <f>ABS(Table2234210[[#This Row],[diff-bias]])</f>
        <v>0.46461611573081463</v>
      </c>
      <c r="R85" s="57">
        <f ca="1">CELL("row",Table2234210[[#This Row],[Position]])</f>
        <v>85</v>
      </c>
      <c r="S85" s="4">
        <f>Table2234210[[#This Row],[REF]]-D$13</f>
        <v>0.57999994999999949</v>
      </c>
      <c r="T85" s="4">
        <f>ABS(Table2234210[[#This Row],[lab-med]])</f>
        <v>0.57999994999999949</v>
      </c>
      <c r="U85" s="4">
        <f>Table2234210[[#This Row],[Ypred]]-F$13</f>
        <v>0.90182320855089948</v>
      </c>
      <c r="V85" s="4">
        <f>ABS(Table2234210[[#This Row],[anl-med]])</f>
        <v>0.90182320855089948</v>
      </c>
      <c r="W85" s="4">
        <f>Table2234210[[#This Row],[lab-med]]*Table2234210[[#This Row],[anl-med]]</f>
        <v>0.52305741586836085</v>
      </c>
    </row>
    <row r="86" spans="2:23" x14ac:dyDescent="0.25">
      <c r="B86" s="46">
        <f ca="1">VALUE((Table2234210[[#This Row],[Column3]]-62))</f>
        <v>24</v>
      </c>
      <c r="C86" t="s">
        <v>92</v>
      </c>
      <c r="D86">
        <v>9.8800001000000002</v>
      </c>
      <c r="E86"/>
      <c r="F86" s="78">
        <v>9.6579393777865299</v>
      </c>
      <c r="G86" s="29">
        <f>Table2234210[[#This Row],[Ypred]]-Table2234210[[#This Row],[REF]]</f>
        <v>-0.22206072221347029</v>
      </c>
      <c r="H86" s="29">
        <f>Table2234210[[#This Row],[X-Y]]-E$20</f>
        <v>-6.4940173045854976E-2</v>
      </c>
      <c r="I86" s="29">
        <f>Table2234210[[#This Row],[Ypred]]-E$20</f>
        <v>9.8150599269541452</v>
      </c>
      <c r="J86" s="29">
        <f>Table2234210[[#This Row],[Ypred]]*E$21+E$22</f>
        <v>10.803002224854191</v>
      </c>
      <c r="K86" s="56">
        <f>Table2234210[[#This Row],[Yest]]-Table2234210[[#This Row],[REF]]</f>
        <v>0.92300212485419131</v>
      </c>
      <c r="L86" s="56">
        <f>ABS(Table2234210[[#This Row],[RESyx]])</f>
        <v>0.92300212485419131</v>
      </c>
      <c r="M86" s="29">
        <f>Table2234210[[#This Row],[Ypred]]*E$25+E$26</f>
        <v>10.446172865733658</v>
      </c>
      <c r="N86" s="29">
        <f>Table2234210[[#This Row],[X-Y]]^2</f>
        <v>4.9310964349968019E-2</v>
      </c>
      <c r="O86" s="57">
        <f>Table2234210[[#This Row],[yest_rect]]-Table2234210[[#This Row],[REF]]</f>
        <v>0.56617276573365771</v>
      </c>
      <c r="P86" s="57">
        <f>Table2234210[[#This Row],[dif rec]]^2</f>
        <v>0.32055160065849925</v>
      </c>
      <c r="Q86" s="57">
        <f>ABS(Table2234210[[#This Row],[diff-bias]])</f>
        <v>6.4940173045854976E-2</v>
      </c>
      <c r="R86" s="57">
        <f ca="1">CELL("row",Table2234210[[#This Row],[Position]])</f>
        <v>86</v>
      </c>
      <c r="S86" s="4">
        <f>Table2234210[[#This Row],[REF]]-D$13</f>
        <v>-1.1300001500000008</v>
      </c>
      <c r="T86" s="4">
        <f>ABS(Table2234210[[#This Row],[lab-med]])</f>
        <v>1.1300001500000008</v>
      </c>
      <c r="U86" s="4">
        <f>Table2234210[[#This Row],[Ypred]]-F$13</f>
        <v>-1.3377331802257704</v>
      </c>
      <c r="V86" s="4">
        <f>ABS(Table2234210[[#This Row],[anl-med]])</f>
        <v>1.3377331802257704</v>
      </c>
      <c r="W86" s="4">
        <f>Table2234210[[#This Row],[lab-med]]*Table2234210[[#This Row],[anl-med]]</f>
        <v>1.5116386943150986</v>
      </c>
    </row>
    <row r="87" spans="2:23" x14ac:dyDescent="0.25">
      <c r="B87" s="46">
        <f ca="1">VALUE((Table2234210[[#This Row],[Column3]]-62))</f>
        <v>25</v>
      </c>
      <c r="C87" t="s">
        <v>93</v>
      </c>
      <c r="D87">
        <v>11.8400002</v>
      </c>
      <c r="E87"/>
      <c r="F87" s="78">
        <v>12.940025664334801</v>
      </c>
      <c r="G87" s="29">
        <f>Table2234210[[#This Row],[Ypred]]-Table2234210[[#This Row],[REF]]</f>
        <v>1.1000254643348004</v>
      </c>
      <c r="H87" s="29">
        <f>Table2234210[[#This Row],[X-Y]]-E$20</f>
        <v>1.2571460135024157</v>
      </c>
      <c r="I87" s="29">
        <f>Table2234210[[#This Row],[Ypred]]-E$20</f>
        <v>13.097146213502416</v>
      </c>
      <c r="J87" s="29">
        <f>Table2234210[[#This Row],[Ypred]]*E$21+E$22</f>
        <v>11.580135222751512</v>
      </c>
      <c r="K87" s="56">
        <f>Table2234210[[#This Row],[Yest]]-Table2234210[[#This Row],[REF]]</f>
        <v>-0.25986497724848867</v>
      </c>
      <c r="L87" s="56">
        <f>ABS(Table2234210[[#This Row],[RESyx]])</f>
        <v>0.25986497724848867</v>
      </c>
      <c r="M87" s="29">
        <f>Table2234210[[#This Row],[Ypred]]*E$25+E$26</f>
        <v>12.128055947230118</v>
      </c>
      <c r="N87" s="29">
        <f>Table2234210[[#This Row],[X-Y]]^2</f>
        <v>1.2100560221849932</v>
      </c>
      <c r="O87" s="57">
        <f>Table2234210[[#This Row],[yest_rect]]-Table2234210[[#This Row],[REF]]</f>
        <v>0.28805574723011773</v>
      </c>
      <c r="P87" s="57">
        <f>Table2234210[[#This Row],[dif rec]]^2</f>
        <v>8.2976113512301483E-2</v>
      </c>
      <c r="Q87" s="57">
        <f>ABS(Table2234210[[#This Row],[diff-bias]])</f>
        <v>1.2571460135024157</v>
      </c>
      <c r="R87" s="57">
        <f ca="1">CELL("row",Table2234210[[#This Row],[Position]])</f>
        <v>87</v>
      </c>
      <c r="S87" s="4">
        <f>Table2234210[[#This Row],[REF]]-D$13</f>
        <v>0.82999994999999949</v>
      </c>
      <c r="T87" s="4">
        <f>ABS(Table2234210[[#This Row],[lab-med]])</f>
        <v>0.82999994999999949</v>
      </c>
      <c r="U87" s="4">
        <f>Table2234210[[#This Row],[Ypred]]-F$13</f>
        <v>1.9443531063225006</v>
      </c>
      <c r="V87" s="4">
        <f>ABS(Table2234210[[#This Row],[anl-med]])</f>
        <v>1.9443531063225006</v>
      </c>
      <c r="W87" s="4">
        <f>Table2234210[[#This Row],[lab-med]]*Table2234210[[#This Row],[anl-med]]</f>
        <v>1.6138129810300192</v>
      </c>
    </row>
    <row r="88" spans="2:23" x14ac:dyDescent="0.25">
      <c r="B88" s="46">
        <f ca="1">VALUE((Table2234210[[#This Row],[Column3]]-62))</f>
        <v>26</v>
      </c>
      <c r="C88" t="s">
        <v>94</v>
      </c>
      <c r="D88">
        <v>10</v>
      </c>
      <c r="E88"/>
      <c r="F88" s="78">
        <v>7.6581775915983599</v>
      </c>
      <c r="G88" s="29">
        <f>Table2234210[[#This Row],[Ypred]]-Table2234210[[#This Row],[REF]]</f>
        <v>-2.3418224084016401</v>
      </c>
      <c r="H88" s="29">
        <f>Table2234210[[#This Row],[X-Y]]-E$20</f>
        <v>-2.1847018592340248</v>
      </c>
      <c r="I88" s="29">
        <f>Table2234210[[#This Row],[Ypred]]-E$20</f>
        <v>7.8152981407659752</v>
      </c>
      <c r="J88" s="29">
        <f>Table2234210[[#This Row],[Ypred]]*E$21+E$22</f>
        <v>10.329498259297173</v>
      </c>
      <c r="K88" s="56">
        <f>Table2234210[[#This Row],[Yest]]-Table2234210[[#This Row],[REF]]</f>
        <v>0.32949825929717313</v>
      </c>
      <c r="L88" s="56">
        <f>ABS(Table2234210[[#This Row],[RESyx]])</f>
        <v>0.32949825929717313</v>
      </c>
      <c r="M88" s="29">
        <f>Table2234210[[#This Row],[Ypred]]*E$25+E$26</f>
        <v>9.4214083648739813</v>
      </c>
      <c r="N88" s="29">
        <f>Table2234210[[#This Row],[X-Y]]^2</f>
        <v>5.4841321924920585</v>
      </c>
      <c r="O88" s="57">
        <f>Table2234210[[#This Row],[yest_rect]]-Table2234210[[#This Row],[REF]]</f>
        <v>-0.57859163512601874</v>
      </c>
      <c r="P88" s="57">
        <f>Table2234210[[#This Row],[dif rec]]^2</f>
        <v>0.33476828023780003</v>
      </c>
      <c r="Q88" s="57">
        <f>ABS(Table2234210[[#This Row],[diff-bias]])</f>
        <v>2.1847018592340248</v>
      </c>
      <c r="R88" s="57">
        <f ca="1">CELL("row",Table2234210[[#This Row],[Position]])</f>
        <v>88</v>
      </c>
      <c r="S88" s="4">
        <f>Table2234210[[#This Row],[REF]]-D$13</f>
        <v>-1.0100002500000009</v>
      </c>
      <c r="T88" s="4">
        <f>ABS(Table2234210[[#This Row],[lab-med]])</f>
        <v>1.0100002500000009</v>
      </c>
      <c r="U88" s="4">
        <f>Table2234210[[#This Row],[Ypred]]-F$13</f>
        <v>-3.3374949664139404</v>
      </c>
      <c r="V88" s="4">
        <f>ABS(Table2234210[[#This Row],[anl-med]])</f>
        <v>3.3374949664139404</v>
      </c>
      <c r="W88" s="4">
        <f>Table2234210[[#This Row],[lab-med]]*Table2234210[[#This Row],[anl-med]]</f>
        <v>3.3708707504518247</v>
      </c>
    </row>
    <row r="89" spans="2:23" x14ac:dyDescent="0.25">
      <c r="B89" s="46">
        <f ca="1">VALUE((Table2234210[[#This Row],[Column3]]-62))</f>
        <v>27</v>
      </c>
      <c r="C89" t="s">
        <v>95</v>
      </c>
      <c r="D89">
        <v>10.100000400000001</v>
      </c>
      <c r="E89"/>
      <c r="F89" s="78">
        <v>10.6897496567108</v>
      </c>
      <c r="G89" s="29">
        <f>Table2234210[[#This Row],[Ypred]]-Table2234210[[#This Row],[REF]]</f>
        <v>0.58974925671079959</v>
      </c>
      <c r="H89" s="29">
        <f>Table2234210[[#This Row],[X-Y]]-E$20</f>
        <v>0.74686980587841489</v>
      </c>
      <c r="I89" s="29">
        <f>Table2234210[[#This Row],[Ypred]]-E$20</f>
        <v>10.846870205878416</v>
      </c>
      <c r="J89" s="29">
        <f>Table2234210[[#This Row],[Ypred]]*E$21+E$22</f>
        <v>11.047314453514392</v>
      </c>
      <c r="K89" s="56">
        <f>Table2234210[[#This Row],[Yest]]-Table2234210[[#This Row],[REF]]</f>
        <v>0.94731405351439157</v>
      </c>
      <c r="L89" s="56">
        <f>ABS(Table2234210[[#This Row],[RESyx]])</f>
        <v>0.94731405351439157</v>
      </c>
      <c r="M89" s="29">
        <f>Table2234210[[#This Row],[Ypred]]*E$25+E$26</f>
        <v>10.97491711555713</v>
      </c>
      <c r="N89" s="29">
        <f>Table2234210[[#This Row],[X-Y]]^2</f>
        <v>0.34780418579094058</v>
      </c>
      <c r="O89" s="57">
        <f>Table2234210[[#This Row],[yest_rect]]-Table2234210[[#This Row],[REF]]</f>
        <v>0.87491671555712891</v>
      </c>
      <c r="P89" s="57">
        <f>Table2234210[[#This Row],[dif rec]]^2</f>
        <v>0.76547925916127402</v>
      </c>
      <c r="Q89" s="57">
        <f>ABS(Table2234210[[#This Row],[diff-bias]])</f>
        <v>0.74686980587841489</v>
      </c>
      <c r="R89" s="57">
        <f ca="1">CELL("row",Table2234210[[#This Row],[Position]])</f>
        <v>89</v>
      </c>
      <c r="S89" s="4">
        <f>Table2234210[[#This Row],[REF]]-D$13</f>
        <v>-0.90999985000000017</v>
      </c>
      <c r="T89" s="4">
        <f>ABS(Table2234210[[#This Row],[lab-med]])</f>
        <v>0.90999985000000017</v>
      </c>
      <c r="U89" s="4">
        <f>Table2234210[[#This Row],[Ypred]]-F$13</f>
        <v>-0.30592290130149991</v>
      </c>
      <c r="V89" s="4">
        <f>ABS(Table2234210[[#This Row],[anl-med]])</f>
        <v>0.30592290130149991</v>
      </c>
      <c r="W89" s="4">
        <f>Table2234210[[#This Row],[lab-med]]*Table2234210[[#This Row],[anl-med]]</f>
        <v>0.27838979429592975</v>
      </c>
    </row>
    <row r="90" spans="2:23" x14ac:dyDescent="0.25">
      <c r="B90" s="46">
        <f ca="1">VALUE((Table2234210[[#This Row],[Column3]]-62))</f>
        <v>28</v>
      </c>
      <c r="C90" t="s">
        <v>96</v>
      </c>
      <c r="D90">
        <v>11.399999599999999</v>
      </c>
      <c r="E90"/>
      <c r="F90" s="78">
        <v>14.381567178912499</v>
      </c>
      <c r="G90" s="29">
        <f>Table2234210[[#This Row],[Ypred]]-Table2234210[[#This Row],[REF]]</f>
        <v>2.9815675789125002</v>
      </c>
      <c r="H90" s="29">
        <f>Table2234210[[#This Row],[X-Y]]-E$20</f>
        <v>3.1386881280801155</v>
      </c>
      <c r="I90" s="29">
        <f>Table2234210[[#This Row],[Ypred]]-E$20</f>
        <v>14.538687728080115</v>
      </c>
      <c r="J90" s="29">
        <f>Table2234210[[#This Row],[Ypred]]*E$21+E$22</f>
        <v>11.921463689162852</v>
      </c>
      <c r="K90" s="56">
        <f>Table2234210[[#This Row],[Yest]]-Table2234210[[#This Row],[REF]]</f>
        <v>0.52146408916285303</v>
      </c>
      <c r="L90" s="56">
        <f>ABS(Table2234210[[#This Row],[RESyx]])</f>
        <v>0.52146408916285303</v>
      </c>
      <c r="M90" s="29">
        <f>Table2234210[[#This Row],[Ypred]]*E$25+E$26</f>
        <v>12.866764217813959</v>
      </c>
      <c r="N90" s="29">
        <f>Table2234210[[#This Row],[X-Y]]^2</f>
        <v>8.8897452276221482</v>
      </c>
      <c r="O90" s="57">
        <f>Table2234210[[#This Row],[yest_rect]]-Table2234210[[#This Row],[REF]]</f>
        <v>1.4667646178139595</v>
      </c>
      <c r="P90" s="57">
        <f>Table2234210[[#This Row],[dif rec]]^2</f>
        <v>2.1513984440709306</v>
      </c>
      <c r="Q90" s="57">
        <f>ABS(Table2234210[[#This Row],[diff-bias]])</f>
        <v>3.1386881280801155</v>
      </c>
      <c r="R90" s="57">
        <f ca="1">CELL("row",Table2234210[[#This Row],[Position]])</f>
        <v>90</v>
      </c>
      <c r="S90" s="4">
        <f>Table2234210[[#This Row],[REF]]-D$13</f>
        <v>0.3899993499999983</v>
      </c>
      <c r="T90" s="4">
        <f>ABS(Table2234210[[#This Row],[lab-med]])</f>
        <v>0.3899993499999983</v>
      </c>
      <c r="U90" s="4">
        <f>Table2234210[[#This Row],[Ypred]]-F$13</f>
        <v>3.3858946209001992</v>
      </c>
      <c r="V90" s="4">
        <f>ABS(Table2234210[[#This Row],[anl-med]])</f>
        <v>3.3858946209001992</v>
      </c>
      <c r="W90" s="4">
        <f>Table2234210[[#This Row],[lab-med]]*Table2234210[[#This Row],[anl-med]]</f>
        <v>1.3204967013195683</v>
      </c>
    </row>
    <row r="91" spans="2:23" x14ac:dyDescent="0.25">
      <c r="B91" s="46">
        <f ca="1">VALUE((Table2234210[[#This Row],[Column3]]-62))</f>
        <v>29</v>
      </c>
      <c r="C91" t="s">
        <v>97</v>
      </c>
      <c r="D91">
        <v>10.279999699999999</v>
      </c>
      <c r="E91"/>
      <c r="F91" s="78">
        <v>11.018609297854701</v>
      </c>
      <c r="G91" s="29">
        <f>Table2234210[[#This Row],[Ypred]]-Table2234210[[#This Row],[REF]]</f>
        <v>0.73860959785470115</v>
      </c>
      <c r="H91" s="29">
        <f>Table2234210[[#This Row],[X-Y]]-E$20</f>
        <v>0.89573014702231646</v>
      </c>
      <c r="I91" s="29">
        <f>Table2234210[[#This Row],[Ypred]]-E$20</f>
        <v>11.175729847022316</v>
      </c>
      <c r="J91" s="29">
        <f>Table2234210[[#This Row],[Ypred]]*E$21+E$22</f>
        <v>11.125181900161682</v>
      </c>
      <c r="K91" s="56">
        <f>Table2234210[[#This Row],[Yest]]-Table2234210[[#This Row],[REF]]</f>
        <v>0.84518220016168222</v>
      </c>
      <c r="L91" s="56">
        <f>ABS(Table2234210[[#This Row],[RESyx]])</f>
        <v>0.84518220016168222</v>
      </c>
      <c r="M91" s="29">
        <f>Table2234210[[#This Row],[Ypred]]*E$25+E$26</f>
        <v>11.143439030685881</v>
      </c>
      <c r="N91" s="29">
        <f>Table2234210[[#This Row],[X-Y]]^2</f>
        <v>0.54554413804308333</v>
      </c>
      <c r="O91" s="57">
        <f>Table2234210[[#This Row],[yest_rect]]-Table2234210[[#This Row],[REF]]</f>
        <v>0.86343933068588186</v>
      </c>
      <c r="P91" s="57">
        <f>Table2234210[[#This Row],[dif rec]]^2</f>
        <v>0.74552747777528361</v>
      </c>
      <c r="Q91" s="57">
        <f>ABS(Table2234210[[#This Row],[diff-bias]])</f>
        <v>0.89573014702231646</v>
      </c>
      <c r="R91" s="57">
        <f ca="1">CELL("row",Table2234210[[#This Row],[Position]])</f>
        <v>91</v>
      </c>
      <c r="S91" s="4">
        <f>Table2234210[[#This Row],[REF]]-D$13</f>
        <v>-0.73000055000000152</v>
      </c>
      <c r="T91" s="4">
        <f>ABS(Table2234210[[#This Row],[lab-med]])</f>
        <v>0.73000055000000152</v>
      </c>
      <c r="U91" s="4">
        <f>Table2234210[[#This Row],[Ypred]]-F$13</f>
        <v>2.29367398424003E-2</v>
      </c>
      <c r="V91" s="4">
        <f>ABS(Table2234210[[#This Row],[anl-med]])</f>
        <v>2.29367398424003E-2</v>
      </c>
      <c r="W91" s="4">
        <f>Table2234210[[#This Row],[lab-med]]*Table2234210[[#This Row],[anl-med]]</f>
        <v>-1.6743832700159167E-2</v>
      </c>
    </row>
    <row r="92" spans="2:23" x14ac:dyDescent="0.25">
      <c r="B92" s="46">
        <f ca="1">VALUE((Table2234210[[#This Row],[Column3]]-62))</f>
        <v>30</v>
      </c>
      <c r="C92" t="s">
        <v>98</v>
      </c>
      <c r="D92">
        <v>12.21</v>
      </c>
      <c r="E92"/>
      <c r="F92" s="78">
        <v>13.882024559803501</v>
      </c>
      <c r="G92" s="29">
        <f>Table2234210[[#This Row],[Ypred]]-Table2234210[[#This Row],[REF]]</f>
        <v>1.6720245598035</v>
      </c>
      <c r="H92" s="29">
        <f>Table2234210[[#This Row],[X-Y]]-E$20</f>
        <v>1.8291451089711153</v>
      </c>
      <c r="I92" s="29">
        <f>Table2234210[[#This Row],[Ypred]]-E$20</f>
        <v>14.039145108971116</v>
      </c>
      <c r="J92" s="29">
        <f>Table2234210[[#This Row],[Ypred]]*E$21+E$22</f>
        <v>11.803181895427951</v>
      </c>
      <c r="K92" s="56">
        <f>Table2234210[[#This Row],[Yest]]-Table2234210[[#This Row],[REF]]</f>
        <v>-0.40681810457205003</v>
      </c>
      <c r="L92" s="56">
        <f>ABS(Table2234210[[#This Row],[RESyx]])</f>
        <v>0.40681810457205003</v>
      </c>
      <c r="M92" s="29">
        <f>Table2234210[[#This Row],[Ypred]]*E$25+E$26</f>
        <v>12.610776956598638</v>
      </c>
      <c r="N92" s="29">
        <f>Table2234210[[#This Row],[X-Y]]^2</f>
        <v>2.7956661285860878</v>
      </c>
      <c r="O92" s="57">
        <f>Table2234210[[#This Row],[yest_rect]]-Table2234210[[#This Row],[REF]]</f>
        <v>0.40077695659863721</v>
      </c>
      <c r="P92" s="57">
        <f>Table2234210[[#This Row],[dif rec]]^2</f>
        <v>0.16062216894046594</v>
      </c>
      <c r="Q92" s="57">
        <f>ABS(Table2234210[[#This Row],[diff-bias]])</f>
        <v>1.8291451089711153</v>
      </c>
      <c r="R92" s="57">
        <f ca="1">CELL("row",Table2234210[[#This Row],[Position]])</f>
        <v>92</v>
      </c>
      <c r="S92" s="4">
        <f>Table2234210[[#This Row],[REF]]-D$13</f>
        <v>1.1999997499999999</v>
      </c>
      <c r="T92" s="4">
        <f>ABS(Table2234210[[#This Row],[lab-med]])</f>
        <v>1.1999997499999999</v>
      </c>
      <c r="U92" s="4">
        <f>Table2234210[[#This Row],[Ypred]]-F$13</f>
        <v>2.8863520017912005</v>
      </c>
      <c r="V92" s="4">
        <f>ABS(Table2234210[[#This Row],[anl-med]])</f>
        <v>2.8863520017912005</v>
      </c>
      <c r="W92" s="4">
        <f>Table2234210[[#This Row],[lab-med]]*Table2234210[[#This Row],[anl-med]]</f>
        <v>3.4636216805614399</v>
      </c>
    </row>
    <row r="93" spans="2:23" x14ac:dyDescent="0.25">
      <c r="B93" s="46">
        <f ca="1">VALUE((Table2234210[[#This Row],[Column3]]-62))</f>
        <v>31</v>
      </c>
      <c r="C93" t="s">
        <v>99</v>
      </c>
      <c r="D93">
        <v>11.9399996</v>
      </c>
      <c r="E93"/>
      <c r="F93" s="78">
        <v>14.617548336966101</v>
      </c>
      <c r="G93" s="29">
        <f>Table2234210[[#This Row],[Ypred]]-Table2234210[[#This Row],[REF]]</f>
        <v>2.6775487369661004</v>
      </c>
      <c r="H93" s="29">
        <f>Table2234210[[#This Row],[X-Y]]-E$20</f>
        <v>2.8346692861337157</v>
      </c>
      <c r="I93" s="29">
        <f>Table2234210[[#This Row],[Ypred]]-E$20</f>
        <v>14.774668886133716</v>
      </c>
      <c r="J93" s="29">
        <f>Table2234210[[#This Row],[Ypred]]*E$21+E$22</f>
        <v>11.977339351407657</v>
      </c>
      <c r="K93" s="56">
        <f>Table2234210[[#This Row],[Yest]]-Table2234210[[#This Row],[REF]]</f>
        <v>3.7339751407657218E-2</v>
      </c>
      <c r="L93" s="56">
        <f>ABS(Table2234210[[#This Row],[RESyx]])</f>
        <v>3.7339751407657218E-2</v>
      </c>
      <c r="M93" s="29">
        <f>Table2234210[[#This Row],[Ypred]]*E$25+E$26</f>
        <v>12.987691177872557</v>
      </c>
      <c r="N93" s="29">
        <f>Table2234210[[#This Row],[X-Y]]^2</f>
        <v>7.1692672388287599</v>
      </c>
      <c r="O93" s="57">
        <f>Table2234210[[#This Row],[yest_rect]]-Table2234210[[#This Row],[REF]]</f>
        <v>1.0476915778725573</v>
      </c>
      <c r="P93" s="57">
        <f>Table2234210[[#This Row],[dif rec]]^2</f>
        <v>1.0976576423450888</v>
      </c>
      <c r="Q93" s="57">
        <f>ABS(Table2234210[[#This Row],[diff-bias]])</f>
        <v>2.8346692861337157</v>
      </c>
      <c r="R93" s="57">
        <f ca="1">CELL("row",Table2234210[[#This Row],[Position]])</f>
        <v>93</v>
      </c>
      <c r="S93" s="4">
        <f>Table2234210[[#This Row],[REF]]-D$13</f>
        <v>0.92999934999999923</v>
      </c>
      <c r="T93" s="4">
        <f>ABS(Table2234210[[#This Row],[lab-med]])</f>
        <v>0.92999934999999923</v>
      </c>
      <c r="U93" s="4">
        <f>Table2234210[[#This Row],[Ypred]]-F$13</f>
        <v>3.6218757789538003</v>
      </c>
      <c r="V93" s="4">
        <f>ABS(Table2234210[[#This Row],[anl-med]])</f>
        <v>3.6218757789538003</v>
      </c>
      <c r="W93" s="4">
        <f>Table2234210[[#This Row],[lab-med]]*Table2234210[[#This Row],[anl-med]]</f>
        <v>3.368342120207775</v>
      </c>
    </row>
    <row r="94" spans="2:23" x14ac:dyDescent="0.25">
      <c r="B94" s="46">
        <f ca="1">VALUE((Table2234210[[#This Row],[Column3]]-62))</f>
        <v>32</v>
      </c>
      <c r="C94" t="s">
        <v>100</v>
      </c>
      <c r="D94">
        <v>10.3699999</v>
      </c>
      <c r="E94"/>
      <c r="F94" s="78">
        <v>10.109828887594601</v>
      </c>
      <c r="G94" s="29">
        <f>Table2234210[[#This Row],[Ypred]]-Table2234210[[#This Row],[REF]]</f>
        <v>-0.26017101240539908</v>
      </c>
      <c r="H94" s="29">
        <f>Table2234210[[#This Row],[X-Y]]-E$20</f>
        <v>-0.10305046323778377</v>
      </c>
      <c r="I94" s="29">
        <f>Table2234210[[#This Row],[Ypred]]-E$20</f>
        <v>10.266949436762216</v>
      </c>
      <c r="J94" s="29">
        <f>Table2234210[[#This Row],[Ypred]]*E$21+E$22</f>
        <v>10.910000706556154</v>
      </c>
      <c r="K94" s="56">
        <f>Table2234210[[#This Row],[Yest]]-Table2234210[[#This Row],[REF]]</f>
        <v>0.54000080655615434</v>
      </c>
      <c r="L94" s="56">
        <f>ABS(Table2234210[[#This Row],[RESyx]])</f>
        <v>0.54000080655615434</v>
      </c>
      <c r="M94" s="29">
        <f>Table2234210[[#This Row],[Ypred]]*E$25+E$26</f>
        <v>10.677740611032405</v>
      </c>
      <c r="N94" s="29">
        <f>Table2234210[[#This Row],[X-Y]]^2</f>
        <v>6.7688955696050324E-2</v>
      </c>
      <c r="O94" s="57">
        <f>Table2234210[[#This Row],[yest_rect]]-Table2234210[[#This Row],[REF]]</f>
        <v>0.3077407110324053</v>
      </c>
      <c r="P94" s="57">
        <f>Table2234210[[#This Row],[dif rec]]^2</f>
        <v>9.470434522673038E-2</v>
      </c>
      <c r="Q94" s="57">
        <f>ABS(Table2234210[[#This Row],[diff-bias]])</f>
        <v>0.10305046323778377</v>
      </c>
      <c r="R94" s="57">
        <f ca="1">CELL("row",Table2234210[[#This Row],[Position]])</f>
        <v>94</v>
      </c>
      <c r="S94" s="4">
        <f>Table2234210[[#This Row],[REF]]-D$13</f>
        <v>-0.64000035000000111</v>
      </c>
      <c r="T94" s="4">
        <f>ABS(Table2234210[[#This Row],[lab-med]])</f>
        <v>0.64000035000000111</v>
      </c>
      <c r="U94" s="4">
        <f>Table2234210[[#This Row],[Ypred]]-F$13</f>
        <v>-0.88584367041769951</v>
      </c>
      <c r="V94" s="4">
        <f>ABS(Table2234210[[#This Row],[anl-med]])</f>
        <v>0.88584367041769951</v>
      </c>
      <c r="W94" s="4">
        <f>Table2234210[[#This Row],[lab-med]]*Table2234210[[#This Row],[anl-med]]</f>
        <v>0.56694025911261337</v>
      </c>
    </row>
    <row r="95" spans="2:23" x14ac:dyDescent="0.25">
      <c r="B95" s="46">
        <f ca="1">VALUE((Table2234210[[#This Row],[Column3]]-62))</f>
        <v>33</v>
      </c>
      <c r="C95" t="s">
        <v>101</v>
      </c>
      <c r="D95">
        <v>10.3800001</v>
      </c>
      <c r="E95"/>
      <c r="F95" s="78">
        <v>10.099609434109899</v>
      </c>
      <c r="G95" s="29">
        <f>Table2234210[[#This Row],[Ypred]]-Table2234210[[#This Row],[REF]]</f>
        <v>-0.28039066589010098</v>
      </c>
      <c r="H95" s="29">
        <f>Table2234210[[#This Row],[X-Y]]-E$20</f>
        <v>-0.12327011672248567</v>
      </c>
      <c r="I95" s="29">
        <f>Table2234210[[#This Row],[Ypred]]-E$20</f>
        <v>10.256729983277515</v>
      </c>
      <c r="J95" s="29">
        <f>Table2234210[[#This Row],[Ypred]]*E$21+E$22</f>
        <v>10.907580942470124</v>
      </c>
      <c r="K95" s="56">
        <f>Table2234210[[#This Row],[Yest]]-Table2234210[[#This Row],[REF]]</f>
        <v>0.52758084247012427</v>
      </c>
      <c r="L95" s="56">
        <f>ABS(Table2234210[[#This Row],[RESyx]])</f>
        <v>0.52758084247012427</v>
      </c>
      <c r="M95" s="29">
        <f>Table2234210[[#This Row],[Ypred]]*E$25+E$26</f>
        <v>10.672503720707947</v>
      </c>
      <c r="N95" s="29">
        <f>Table2234210[[#This Row],[X-Y]]^2</f>
        <v>7.8618925518294233E-2</v>
      </c>
      <c r="O95" s="57">
        <f>Table2234210[[#This Row],[yest_rect]]-Table2234210[[#This Row],[REF]]</f>
        <v>0.29250362070794722</v>
      </c>
      <c r="P95" s="57">
        <f>Table2234210[[#This Row],[dif rec]]^2</f>
        <v>8.5558368127258644E-2</v>
      </c>
      <c r="Q95" s="57">
        <f>ABS(Table2234210[[#This Row],[diff-bias]])</f>
        <v>0.12327011672248567</v>
      </c>
      <c r="R95" s="57">
        <f ca="1">CELL("row",Table2234210[[#This Row],[Position]])</f>
        <v>95</v>
      </c>
      <c r="S95" s="4">
        <f>Table2234210[[#This Row],[REF]]-D$13</f>
        <v>-0.63000015000000076</v>
      </c>
      <c r="T95" s="4">
        <f>ABS(Table2234210[[#This Row],[lab-med]])</f>
        <v>0.63000015000000076</v>
      </c>
      <c r="U95" s="4">
        <f>Table2234210[[#This Row],[Ypred]]-F$13</f>
        <v>-0.89606312390240106</v>
      </c>
      <c r="V95" s="4">
        <f>ABS(Table2234210[[#This Row],[anl-med]])</f>
        <v>0.89606312390240106</v>
      </c>
      <c r="W95" s="4">
        <f>Table2234210[[#This Row],[lab-med]]*Table2234210[[#This Row],[anl-med]]</f>
        <v>0.56451990246798189</v>
      </c>
    </row>
    <row r="96" spans="2:23" x14ac:dyDescent="0.25">
      <c r="B96" s="46">
        <f ca="1">VALUE((Table2234210[[#This Row],[Column3]]-62))</f>
        <v>34</v>
      </c>
      <c r="C96" t="s">
        <v>102</v>
      </c>
      <c r="D96">
        <v>9.8800001000000002</v>
      </c>
      <c r="E96"/>
      <c r="F96" s="78">
        <v>12.0475172641454</v>
      </c>
      <c r="G96" s="29">
        <f>Table2234210[[#This Row],[Ypred]]-Table2234210[[#This Row],[REF]]</f>
        <v>2.1675171641453996</v>
      </c>
      <c r="H96" s="29">
        <f>Table2234210[[#This Row],[X-Y]]-E$20</f>
        <v>2.3246377133130149</v>
      </c>
      <c r="I96" s="29">
        <f>Table2234210[[#This Row],[Ypred]]-E$20</f>
        <v>12.204637813313015</v>
      </c>
      <c r="J96" s="29">
        <f>Table2234210[[#This Row],[Ypred]]*E$21+E$22</f>
        <v>11.368806918699768</v>
      </c>
      <c r="K96" s="56">
        <f>Table2234210[[#This Row],[Yest]]-Table2234210[[#This Row],[REF]]</f>
        <v>1.4888068186997678</v>
      </c>
      <c r="L96" s="56">
        <f>ABS(Table2234210[[#This Row],[RESyx]])</f>
        <v>1.4888068186997678</v>
      </c>
      <c r="M96" s="29">
        <f>Table2234210[[#This Row],[Ypred]]*E$25+E$26</f>
        <v>11.670696009886512</v>
      </c>
      <c r="N96" s="29">
        <f>Table2234210[[#This Row],[X-Y]]^2</f>
        <v>4.6981306568649153</v>
      </c>
      <c r="O96" s="57">
        <f>Table2234210[[#This Row],[yest_rect]]-Table2234210[[#This Row],[REF]]</f>
        <v>1.7906959098865123</v>
      </c>
      <c r="P96" s="57">
        <f>Table2234210[[#This Row],[dif rec]]^2</f>
        <v>3.206591841684284</v>
      </c>
      <c r="Q96" s="57">
        <f>ABS(Table2234210[[#This Row],[diff-bias]])</f>
        <v>2.3246377133130149</v>
      </c>
      <c r="R96" s="57">
        <f ca="1">CELL("row",Table2234210[[#This Row],[Position]])</f>
        <v>96</v>
      </c>
      <c r="S96" s="4">
        <f>Table2234210[[#This Row],[REF]]-D$13</f>
        <v>-1.1300001500000008</v>
      </c>
      <c r="T96" s="4">
        <f>ABS(Table2234210[[#This Row],[lab-med]])</f>
        <v>1.1300001500000008</v>
      </c>
      <c r="U96" s="4">
        <f>Table2234210[[#This Row],[Ypred]]-F$13</f>
        <v>1.0518447061330995</v>
      </c>
      <c r="V96" s="4">
        <f>ABS(Table2234210[[#This Row],[anl-med]])</f>
        <v>1.0518447061330995</v>
      </c>
      <c r="W96" s="4">
        <f>Table2234210[[#This Row],[lab-med]]*Table2234210[[#This Row],[anl-med]]</f>
        <v>-1.1885846757071092</v>
      </c>
    </row>
    <row r="97" spans="2:23" x14ac:dyDescent="0.25">
      <c r="B97" s="46">
        <f ca="1">VALUE((Table2234210[[#This Row],[Column3]]-62))</f>
        <v>35</v>
      </c>
      <c r="C97" t="s">
        <v>103</v>
      </c>
      <c r="D97">
        <v>12.079999900000001</v>
      </c>
      <c r="E97"/>
      <c r="F97" s="78">
        <v>9.3410054771011399</v>
      </c>
      <c r="G97" s="29">
        <f>Table2234210[[#This Row],[Ypred]]-Table2234210[[#This Row],[REF]]</f>
        <v>-2.7389944228988607</v>
      </c>
      <c r="H97" s="29">
        <f>Table2234210[[#This Row],[X-Y]]-E$20</f>
        <v>-2.5818738737312454</v>
      </c>
      <c r="I97" s="29">
        <f>Table2234210[[#This Row],[Ypred]]-E$20</f>
        <v>9.4981260262687552</v>
      </c>
      <c r="J97" s="29">
        <f>Table2234210[[#This Row],[Ypred]]*E$21+E$22</f>
        <v>10.727958557238139</v>
      </c>
      <c r="K97" s="56">
        <f>Table2234210[[#This Row],[Yest]]-Table2234210[[#This Row],[REF]]</f>
        <v>-1.3520413427618614</v>
      </c>
      <c r="L97" s="56">
        <f>ABS(Table2234210[[#This Row],[RESyx]])</f>
        <v>1.3520413427618614</v>
      </c>
      <c r="M97" s="29">
        <f>Table2234210[[#This Row],[Ypred]]*E$25+E$26</f>
        <v>10.283762216233022</v>
      </c>
      <c r="N97" s="29">
        <f>Table2234210[[#This Row],[X-Y]]^2</f>
        <v>7.5020904486710629</v>
      </c>
      <c r="O97" s="57">
        <f>Table2234210[[#This Row],[yest_rect]]-Table2234210[[#This Row],[REF]]</f>
        <v>-1.7962376837669787</v>
      </c>
      <c r="P97" s="57">
        <f>Table2234210[[#This Row],[dif rec]]^2</f>
        <v>3.2264698165845607</v>
      </c>
      <c r="Q97" s="57">
        <f>ABS(Table2234210[[#This Row],[diff-bias]])</f>
        <v>2.5818738737312454</v>
      </c>
      <c r="R97" s="57">
        <f ca="1">CELL("row",Table2234210[[#This Row],[Position]])</f>
        <v>97</v>
      </c>
      <c r="S97" s="4">
        <f>Table2234210[[#This Row],[REF]]-D$13</f>
        <v>1.0699996499999997</v>
      </c>
      <c r="T97" s="4">
        <f>ABS(Table2234210[[#This Row],[lab-med]])</f>
        <v>1.0699996499999997</v>
      </c>
      <c r="U97" s="4">
        <f>Table2234210[[#This Row],[Ypred]]-F$13</f>
        <v>-1.6546670809111603</v>
      </c>
      <c r="V97" s="4">
        <f>ABS(Table2234210[[#This Row],[anl-med]])</f>
        <v>1.6546670809111603</v>
      </c>
      <c r="W97" s="4">
        <f>Table2234210[[#This Row],[lab-med]]*Table2234210[[#This Row],[anl-med]]</f>
        <v>-1.7704931974414628</v>
      </c>
    </row>
    <row r="98" spans="2:23" x14ac:dyDescent="0.25">
      <c r="B98" s="46">
        <f ca="1">VALUE((Table2234210[[#This Row],[Column3]]-62))</f>
        <v>36</v>
      </c>
      <c r="C98" t="s">
        <v>104</v>
      </c>
      <c r="D98">
        <v>9.0799999000000007</v>
      </c>
      <c r="E98"/>
      <c r="F98" s="78">
        <v>5.9089431228349003</v>
      </c>
      <c r="G98" s="29">
        <f>Table2234210[[#This Row],[Ypred]]-Table2234210[[#This Row],[REF]]</f>
        <v>-3.1710567771651004</v>
      </c>
      <c r="H98" s="29">
        <f>Table2234210[[#This Row],[X-Y]]-E$20</f>
        <v>-3.0139362279974851</v>
      </c>
      <c r="I98" s="29">
        <f>Table2234210[[#This Row],[Ypred]]-E$20</f>
        <v>6.0660636720025156</v>
      </c>
      <c r="J98" s="29">
        <f>Table2234210[[#This Row],[Ypred]]*E$21+E$22</f>
        <v>9.9153141982909272</v>
      </c>
      <c r="K98" s="56">
        <f>Table2234210[[#This Row],[Yest]]-Table2234210[[#This Row],[REF]]</f>
        <v>0.83531429829092652</v>
      </c>
      <c r="L98" s="56">
        <f>ABS(Table2234210[[#This Row],[RESyx]])</f>
        <v>0.83531429829092652</v>
      </c>
      <c r="M98" s="29">
        <f>Table2234210[[#This Row],[Ypred]]*E$25+E$26</f>
        <v>8.5250249057791923</v>
      </c>
      <c r="N98" s="29">
        <f>Table2234210[[#This Row],[X-Y]]^2</f>
        <v>10.055601084004714</v>
      </c>
      <c r="O98" s="57">
        <f>Table2234210[[#This Row],[yest_rect]]-Table2234210[[#This Row],[REF]]</f>
        <v>-0.55497499422080843</v>
      </c>
      <c r="P98" s="57">
        <f>Table2234210[[#This Row],[dif rec]]^2</f>
        <v>0.30799724421038632</v>
      </c>
      <c r="Q98" s="57">
        <f>ABS(Table2234210[[#This Row],[diff-bias]])</f>
        <v>3.0139362279974851</v>
      </c>
      <c r="R98" s="57">
        <f ca="1">CELL("row",Table2234210[[#This Row],[Position]])</f>
        <v>98</v>
      </c>
      <c r="S98" s="4">
        <f>Table2234210[[#This Row],[REF]]-D$13</f>
        <v>-1.9300003500000003</v>
      </c>
      <c r="T98" s="4">
        <f>ABS(Table2234210[[#This Row],[lab-med]])</f>
        <v>1.9300003500000003</v>
      </c>
      <c r="U98" s="4">
        <f>Table2234210[[#This Row],[Ypred]]-F$13</f>
        <v>-5.0867294351773999</v>
      </c>
      <c r="V98" s="4">
        <f>ABS(Table2234210[[#This Row],[anl-med]])</f>
        <v>5.0867294351773999</v>
      </c>
      <c r="W98" s="4">
        <f>Table2234210[[#This Row],[lab-med]]*Table2234210[[#This Row],[anl-med]]</f>
        <v>9.8173895902476858</v>
      </c>
    </row>
    <row r="99" spans="2:23" x14ac:dyDescent="0.25">
      <c r="B99" s="46">
        <f ca="1">VALUE((Table2234210[[#This Row],[Column3]]-62))</f>
        <v>37</v>
      </c>
      <c r="C99" t="s">
        <v>105</v>
      </c>
      <c r="D99">
        <v>10.800000199999999</v>
      </c>
      <c r="E99"/>
      <c r="F99" s="78">
        <v>8.7009152480677603</v>
      </c>
      <c r="G99" s="29">
        <f>Table2234210[[#This Row],[Ypred]]-Table2234210[[#This Row],[REF]]</f>
        <v>-2.0990849519322392</v>
      </c>
      <c r="H99" s="29">
        <f>Table2234210[[#This Row],[X-Y]]-E$20</f>
        <v>-1.9419644027646239</v>
      </c>
      <c r="I99" s="29">
        <f>Table2234210[[#This Row],[Ypred]]-E$20</f>
        <v>8.8580357972353756</v>
      </c>
      <c r="J99" s="29">
        <f>Table2234210[[#This Row],[Ypred]]*E$21+E$22</f>
        <v>10.576397874433351</v>
      </c>
      <c r="K99" s="56">
        <f>Table2234210[[#This Row],[Yest]]-Table2234210[[#This Row],[REF]]</f>
        <v>-0.22360232556664883</v>
      </c>
      <c r="L99" s="56">
        <f>ABS(Table2234210[[#This Row],[RESyx]])</f>
        <v>0.22360232556664883</v>
      </c>
      <c r="M99" s="29">
        <f>Table2234210[[#This Row],[Ypred]]*E$25+E$26</f>
        <v>9.9557522759536514</v>
      </c>
      <c r="N99" s="29">
        <f>Table2234210[[#This Row],[X-Y]]^2</f>
        <v>4.4061576354283707</v>
      </c>
      <c r="O99" s="57">
        <f>Table2234210[[#This Row],[yest_rect]]-Table2234210[[#This Row],[REF]]</f>
        <v>-0.84424792404634807</v>
      </c>
      <c r="P99" s="57">
        <f>Table2234210[[#This Row],[dif rec]]^2</f>
        <v>0.71275455725656833</v>
      </c>
      <c r="Q99" s="57">
        <f>ABS(Table2234210[[#This Row],[diff-bias]])</f>
        <v>1.9419644027646239</v>
      </c>
      <c r="R99" s="57">
        <f ca="1">CELL("row",Table2234210[[#This Row],[Position]])</f>
        <v>99</v>
      </c>
      <c r="S99" s="4">
        <f>Table2234210[[#This Row],[REF]]-D$13</f>
        <v>-0.21000005000000144</v>
      </c>
      <c r="T99" s="4">
        <f>ABS(Table2234210[[#This Row],[lab-med]])</f>
        <v>0.21000005000000144</v>
      </c>
      <c r="U99" s="4">
        <f>Table2234210[[#This Row],[Ypred]]-F$13</f>
        <v>-2.29475730994454</v>
      </c>
      <c r="V99" s="4">
        <f>ABS(Table2234210[[#This Row],[anl-med]])</f>
        <v>2.29475730994454</v>
      </c>
      <c r="W99" s="4">
        <f>Table2234210[[#This Row],[lab-med]]*Table2234210[[#This Row],[anl-med]]</f>
        <v>0.48189914982622217</v>
      </c>
    </row>
    <row r="100" spans="2:23" x14ac:dyDescent="0.25">
      <c r="B100" s="46">
        <f ca="1">VALUE((Table2234210[[#This Row],[Column3]]-62))</f>
        <v>38</v>
      </c>
      <c r="C100" t="s">
        <v>106</v>
      </c>
      <c r="D100">
        <v>9.3599996999999995</v>
      </c>
      <c r="E100"/>
      <c r="F100" s="78">
        <v>11.925410924370199</v>
      </c>
      <c r="G100" s="29">
        <f>Table2234210[[#This Row],[Ypred]]-Table2234210[[#This Row],[REF]]</f>
        <v>2.5654112243701999</v>
      </c>
      <c r="H100" s="29">
        <f>Table2234210[[#This Row],[X-Y]]-E$20</f>
        <v>2.7225317735378152</v>
      </c>
      <c r="I100" s="29">
        <f>Table2234210[[#This Row],[Ypred]]-E$20</f>
        <v>12.082531473537815</v>
      </c>
      <c r="J100" s="29">
        <f>Table2234210[[#This Row],[Ypred]]*E$21+E$22</f>
        <v>11.339894556986216</v>
      </c>
      <c r="K100" s="56">
        <f>Table2234210[[#This Row],[Yest]]-Table2234210[[#This Row],[REF]]</f>
        <v>1.9798948569862169</v>
      </c>
      <c r="L100" s="56">
        <f>ABS(Table2234210[[#This Row],[RESyx]])</f>
        <v>1.9798948569862169</v>
      </c>
      <c r="M100" s="29">
        <f>Table2234210[[#This Row],[Ypred]]*E$25+E$26</f>
        <v>11.608123435895061</v>
      </c>
      <c r="N100" s="29">
        <f>Table2234210[[#This Row],[X-Y]]^2</f>
        <v>6.5813347501246078</v>
      </c>
      <c r="O100" s="57">
        <f>Table2234210[[#This Row],[yest_rect]]-Table2234210[[#This Row],[REF]]</f>
        <v>2.2481237358950619</v>
      </c>
      <c r="P100" s="57">
        <f>Table2234210[[#This Row],[dif rec]]^2</f>
        <v>5.0540603318947701</v>
      </c>
      <c r="Q100" s="57">
        <f>ABS(Table2234210[[#This Row],[diff-bias]])</f>
        <v>2.7225317735378152</v>
      </c>
      <c r="R100" s="57">
        <f ca="1">CELL("row",Table2234210[[#This Row],[Position]])</f>
        <v>100</v>
      </c>
      <c r="S100" s="4">
        <f>Table2234210[[#This Row],[REF]]-D$13</f>
        <v>-1.6500005500000015</v>
      </c>
      <c r="T100" s="4">
        <f>ABS(Table2234210[[#This Row],[lab-med]])</f>
        <v>1.6500005500000015</v>
      </c>
      <c r="U100" s="4">
        <f>Table2234210[[#This Row],[Ypred]]-F$13</f>
        <v>0.92973836635789908</v>
      </c>
      <c r="V100" s="4">
        <f>ABS(Table2234210[[#This Row],[anl-med]])</f>
        <v>0.92973836635789908</v>
      </c>
      <c r="W100" s="4">
        <f>Table2234210[[#This Row],[lab-med]]*Table2234210[[#This Row],[anl-med]]</f>
        <v>-1.5340688158466362</v>
      </c>
    </row>
    <row r="101" spans="2:23" x14ac:dyDescent="0.25">
      <c r="B101" s="46">
        <f ca="1">VALUE((Table2234210[[#This Row],[Column3]]-62))</f>
        <v>39</v>
      </c>
      <c r="C101" t="s">
        <v>107</v>
      </c>
      <c r="D101">
        <v>12.449999800000001</v>
      </c>
      <c r="E101"/>
      <c r="F101" s="78">
        <v>9.5538709234024299</v>
      </c>
      <c r="G101" s="29">
        <f>Table2234210[[#This Row],[Ypred]]-Table2234210[[#This Row],[REF]]</f>
        <v>-2.8961288765975706</v>
      </c>
      <c r="H101" s="29">
        <f>Table2234210[[#This Row],[X-Y]]-E$20</f>
        <v>-2.7390083274299553</v>
      </c>
      <c r="I101" s="29">
        <f>Table2234210[[#This Row],[Ypred]]-E$20</f>
        <v>9.7109914725700452</v>
      </c>
      <c r="J101" s="29">
        <f>Table2234210[[#This Row],[Ypred]]*E$21+E$22</f>
        <v>10.778360876979358</v>
      </c>
      <c r="K101" s="56">
        <f>Table2234210[[#This Row],[Yest]]-Table2234210[[#This Row],[REF]]</f>
        <v>-1.6716389230206428</v>
      </c>
      <c r="L101" s="56">
        <f>ABS(Table2234210[[#This Row],[RESyx]])</f>
        <v>1.6716389230206428</v>
      </c>
      <c r="M101" s="29">
        <f>Table2234210[[#This Row],[Ypred]]*E$25+E$26</f>
        <v>10.392843685003866</v>
      </c>
      <c r="N101" s="29">
        <f>Table2234210[[#This Row],[X-Y]]^2</f>
        <v>8.3875624698623064</v>
      </c>
      <c r="O101" s="57">
        <f>Table2234210[[#This Row],[yest_rect]]-Table2234210[[#This Row],[REF]]</f>
        <v>-2.0571561149961344</v>
      </c>
      <c r="P101" s="57">
        <f>Table2234210[[#This Row],[dif rec]]^2</f>
        <v>4.2318912814659893</v>
      </c>
      <c r="Q101" s="57">
        <f>ABS(Table2234210[[#This Row],[diff-bias]])</f>
        <v>2.7390083274299553</v>
      </c>
      <c r="R101" s="57">
        <f ca="1">CELL("row",Table2234210[[#This Row],[Position]])</f>
        <v>101</v>
      </c>
      <c r="S101" s="4">
        <f>Table2234210[[#This Row],[REF]]-D$13</f>
        <v>1.4399995499999996</v>
      </c>
      <c r="T101" s="4">
        <f>ABS(Table2234210[[#This Row],[lab-med]])</f>
        <v>1.4399995499999996</v>
      </c>
      <c r="U101" s="4">
        <f>Table2234210[[#This Row],[Ypred]]-F$13</f>
        <v>-1.4418016346098703</v>
      </c>
      <c r="V101" s="4">
        <f>ABS(Table2234210[[#This Row],[anl-med]])</f>
        <v>1.4418016346098703</v>
      </c>
      <c r="W101" s="4">
        <f>Table2234210[[#This Row],[lab-med]]*Table2234210[[#This Row],[anl-med]]</f>
        <v>-2.0761937050274772</v>
      </c>
    </row>
    <row r="102" spans="2:23" x14ac:dyDescent="0.25">
      <c r="B102" s="46">
        <f ca="1">VALUE((Table2234210[[#This Row],[Column3]]-62))</f>
        <v>40</v>
      </c>
      <c r="C102" t="s">
        <v>108</v>
      </c>
      <c r="D102">
        <v>10.920000099999999</v>
      </c>
      <c r="E102"/>
      <c r="F102" s="78">
        <v>10.69152409448</v>
      </c>
      <c r="G102" s="29">
        <f>Table2234210[[#This Row],[Ypred]]-Table2234210[[#This Row],[REF]]</f>
        <v>-0.22847600551999925</v>
      </c>
      <c r="H102" s="29">
        <f>Table2234210[[#This Row],[X-Y]]-E$20</f>
        <v>-7.1355456352383939E-2</v>
      </c>
      <c r="I102" s="29">
        <f>Table2234210[[#This Row],[Ypred]]-E$20</f>
        <v>10.848644643647615</v>
      </c>
      <c r="J102" s="29">
        <f>Table2234210[[#This Row],[Ypred]]*E$21+E$22</f>
        <v>11.047734605217537</v>
      </c>
      <c r="K102" s="56">
        <f>Table2234210[[#This Row],[Yest]]-Table2234210[[#This Row],[REF]]</f>
        <v>0.12773450521753738</v>
      </c>
      <c r="L102" s="56">
        <f>ABS(Table2234210[[#This Row],[RESyx]])</f>
        <v>0.12773450521753738</v>
      </c>
      <c r="M102" s="29">
        <f>Table2234210[[#This Row],[Ypred]]*E$25+E$26</f>
        <v>10.97582641427832</v>
      </c>
      <c r="N102" s="29">
        <f>Table2234210[[#This Row],[X-Y]]^2</f>
        <v>5.2201285098374725E-2</v>
      </c>
      <c r="O102" s="57">
        <f>Table2234210[[#This Row],[yest_rect]]-Table2234210[[#This Row],[REF]]</f>
        <v>5.582631427832041E-2</v>
      </c>
      <c r="P102" s="57">
        <f>Table2234210[[#This Row],[dif rec]]^2</f>
        <v>3.1165773659018012E-3</v>
      </c>
      <c r="Q102" s="57">
        <f>ABS(Table2234210[[#This Row],[diff-bias]])</f>
        <v>7.1355456352383939E-2</v>
      </c>
      <c r="R102" s="57">
        <f ca="1">CELL("row",Table2234210[[#This Row],[Position]])</f>
        <v>102</v>
      </c>
      <c r="S102" s="4">
        <f>Table2234210[[#This Row],[REF]]-D$13</f>
        <v>-9.0000150000001611E-2</v>
      </c>
      <c r="T102" s="4">
        <f>ABS(Table2234210[[#This Row],[lab-med]])</f>
        <v>9.0000150000001611E-2</v>
      </c>
      <c r="U102" s="4">
        <f>Table2234210[[#This Row],[Ypred]]-F$13</f>
        <v>-0.30414846353230018</v>
      </c>
      <c r="V102" s="4">
        <f>ABS(Table2234210[[#This Row],[anl-med]])</f>
        <v>0.30414846353230018</v>
      </c>
      <c r="W102" s="4">
        <f>Table2234210[[#This Row],[lab-med]]*Table2234210[[#This Row],[anl-med]]</f>
        <v>2.7373407340177035E-2</v>
      </c>
    </row>
    <row r="103" spans="2:23" x14ac:dyDescent="0.25">
      <c r="B103" s="46">
        <f ca="1">VALUE((Table2234210[[#This Row],[Column3]]-62))</f>
        <v>41</v>
      </c>
      <c r="C103" t="s">
        <v>109</v>
      </c>
      <c r="D103">
        <v>10.949999800000001</v>
      </c>
      <c r="E103"/>
      <c r="F103" s="78">
        <v>12.1064347132851</v>
      </c>
      <c r="G103" s="29">
        <f>Table2234210[[#This Row],[Ypred]]-Table2234210[[#This Row],[REF]]</f>
        <v>1.1564349132851</v>
      </c>
      <c r="H103" s="29">
        <f>Table2234210[[#This Row],[X-Y]]-E$20</f>
        <v>1.3135554624527153</v>
      </c>
      <c r="I103" s="29">
        <f>Table2234210[[#This Row],[Ypred]]-E$20</f>
        <v>12.263555262452716</v>
      </c>
      <c r="J103" s="29">
        <f>Table2234210[[#This Row],[Ypred]]*E$21+E$22</f>
        <v>11.38275740320289</v>
      </c>
      <c r="K103" s="56">
        <f>Table2234210[[#This Row],[Yest]]-Table2234210[[#This Row],[REF]]</f>
        <v>0.43275760320288903</v>
      </c>
      <c r="L103" s="56">
        <f>ABS(Table2234210[[#This Row],[RESyx]])</f>
        <v>0.43275760320288903</v>
      </c>
      <c r="M103" s="29">
        <f>Table2234210[[#This Row],[Ypred]]*E$25+E$26</f>
        <v>11.700887861124283</v>
      </c>
      <c r="N103" s="29">
        <f>Table2234210[[#This Row],[X-Y]]^2</f>
        <v>1.3373417086647166</v>
      </c>
      <c r="O103" s="57">
        <f>Table2234210[[#This Row],[yest_rect]]-Table2234210[[#This Row],[REF]]</f>
        <v>0.7508880611242823</v>
      </c>
      <c r="P103" s="57">
        <f>Table2234210[[#This Row],[dif rec]]^2</f>
        <v>0.56383288033898393</v>
      </c>
      <c r="Q103" s="57">
        <f>ABS(Table2234210[[#This Row],[diff-bias]])</f>
        <v>1.3135554624527153</v>
      </c>
      <c r="R103" s="57">
        <f ca="1">CELL("row",Table2234210[[#This Row],[Position]])</f>
        <v>103</v>
      </c>
      <c r="S103" s="4">
        <f>Table2234210[[#This Row],[REF]]-D$13</f>
        <v>-6.0000450000000427E-2</v>
      </c>
      <c r="T103" s="4">
        <f>ABS(Table2234210[[#This Row],[lab-med]])</f>
        <v>6.0000450000000427E-2</v>
      </c>
      <c r="U103" s="4">
        <f>Table2234210[[#This Row],[Ypred]]-F$13</f>
        <v>1.1107621552728002</v>
      </c>
      <c r="V103" s="4">
        <f>ABS(Table2234210[[#This Row],[anl-med]])</f>
        <v>1.1107621552728002</v>
      </c>
      <c r="W103" s="4">
        <f>Table2234210[[#This Row],[lab-med]]*Table2234210[[#This Row],[anl-med]]</f>
        <v>-6.6646229159338363E-2</v>
      </c>
    </row>
    <row r="104" spans="2:23" x14ac:dyDescent="0.25">
      <c r="B104" s="46">
        <f ca="1">VALUE((Table2234210[[#This Row],[Column3]]-62))</f>
        <v>42</v>
      </c>
      <c r="C104" t="s">
        <v>110</v>
      </c>
      <c r="D104">
        <v>10.9899998</v>
      </c>
      <c r="E104"/>
      <c r="F104" s="78">
        <v>11.8078819433213</v>
      </c>
      <c r="G104" s="29">
        <f>Table2234210[[#This Row],[Ypred]]-Table2234210[[#This Row],[REF]]</f>
        <v>0.8178821433213006</v>
      </c>
      <c r="H104" s="29">
        <f>Table2234210[[#This Row],[X-Y]]-E$20</f>
        <v>0.97500269248891591</v>
      </c>
      <c r="I104" s="29">
        <f>Table2234210[[#This Row],[Ypred]]-E$20</f>
        <v>11.965002492488916</v>
      </c>
      <c r="J104" s="29">
        <f>Table2234210[[#This Row],[Ypred]]*E$21+E$22</f>
        <v>11.312066023118387</v>
      </c>
      <c r="K104" s="56">
        <f>Table2234210[[#This Row],[Yest]]-Table2234210[[#This Row],[REF]]</f>
        <v>0.32206622311838728</v>
      </c>
      <c r="L104" s="56">
        <f>ABS(Table2234210[[#This Row],[RESyx]])</f>
        <v>0.32206622311838728</v>
      </c>
      <c r="M104" s="29">
        <f>Table2234210[[#This Row],[Ypred]]*E$25+E$26</f>
        <v>11.547896498650353</v>
      </c>
      <c r="N104" s="29">
        <f>Table2234210[[#This Row],[X-Y]]^2</f>
        <v>0.66893120036384446</v>
      </c>
      <c r="O104" s="57">
        <f>Table2234210[[#This Row],[yest_rect]]-Table2234210[[#This Row],[REF]]</f>
        <v>0.55789669865035307</v>
      </c>
      <c r="P104" s="57">
        <f>Table2234210[[#This Row],[dif rec]]^2</f>
        <v>0.31124872636496287</v>
      </c>
      <c r="Q104" s="57">
        <f>ABS(Table2234210[[#This Row],[diff-bias]])</f>
        <v>0.97500269248891591</v>
      </c>
      <c r="R104" s="57">
        <f ca="1">CELL("row",Table2234210[[#This Row],[Position]])</f>
        <v>104</v>
      </c>
      <c r="S104" s="4">
        <f>Table2234210[[#This Row],[REF]]-D$13</f>
        <v>-2.000045000000128E-2</v>
      </c>
      <c r="T104" s="4">
        <f>ABS(Table2234210[[#This Row],[lab-med]])</f>
        <v>2.000045000000128E-2</v>
      </c>
      <c r="U104" s="4">
        <f>Table2234210[[#This Row],[Ypred]]-F$13</f>
        <v>0.812209385309</v>
      </c>
      <c r="V104" s="4">
        <f>ABS(Table2234210[[#This Row],[anl-med]])</f>
        <v>0.812209385309</v>
      </c>
      <c r="W104" s="4">
        <f>Table2234210[[#This Row],[lab-med]]*Table2234210[[#This Row],[anl-med]]</f>
        <v>-1.6244553200404428E-2</v>
      </c>
    </row>
    <row r="105" spans="2:23" x14ac:dyDescent="0.25">
      <c r="B105" s="46">
        <f ca="1">VALUE((Table2234210[[#This Row],[Column3]]-62))</f>
        <v>43</v>
      </c>
      <c r="C105" t="s">
        <v>111</v>
      </c>
      <c r="D105">
        <v>11</v>
      </c>
      <c r="E105"/>
      <c r="F105" s="78">
        <v>10.411568619885699</v>
      </c>
      <c r="G105" s="29">
        <f>Table2234210[[#This Row],[Ypred]]-Table2234210[[#This Row],[REF]]</f>
        <v>-0.58843138011430085</v>
      </c>
      <c r="H105" s="29">
        <f>Table2234210[[#This Row],[X-Y]]-E$20</f>
        <v>-0.43131083094668554</v>
      </c>
      <c r="I105" s="29">
        <f>Table2234210[[#This Row],[Ypred]]-E$20</f>
        <v>10.568689169053314</v>
      </c>
      <c r="J105" s="29">
        <f>Table2234210[[#This Row],[Ypred]]*E$21+E$22</f>
        <v>10.981446696169892</v>
      </c>
      <c r="K105" s="56">
        <f>Table2234210[[#This Row],[Yest]]-Table2234210[[#This Row],[REF]]</f>
        <v>-1.8553303830108447E-2</v>
      </c>
      <c r="L105" s="56">
        <f>ABS(Table2234210[[#This Row],[RESyx]])</f>
        <v>1.8553303830108447E-2</v>
      </c>
      <c r="M105" s="29">
        <f>Table2234210[[#This Row],[Ypred]]*E$25+E$26</f>
        <v>10.83236511095358</v>
      </c>
      <c r="N105" s="29">
        <f>Table2234210[[#This Row],[X-Y]]^2</f>
        <v>0.34625148910322079</v>
      </c>
      <c r="O105" s="57">
        <f>Table2234210[[#This Row],[yest_rect]]-Table2234210[[#This Row],[REF]]</f>
        <v>-0.1676348890464201</v>
      </c>
      <c r="P105" s="57">
        <f>Table2234210[[#This Row],[dif rec]]^2</f>
        <v>2.8101456025605577E-2</v>
      </c>
      <c r="Q105" s="57">
        <f>ABS(Table2234210[[#This Row],[diff-bias]])</f>
        <v>0.43131083094668554</v>
      </c>
      <c r="R105" s="57">
        <f ca="1">CELL("row",Table2234210[[#This Row],[Position]])</f>
        <v>105</v>
      </c>
      <c r="S105" s="4">
        <f>Table2234210[[#This Row],[REF]]-D$13</f>
        <v>-1.0000250000000932E-2</v>
      </c>
      <c r="T105" s="4">
        <f>ABS(Table2234210[[#This Row],[lab-med]])</f>
        <v>1.0000250000000932E-2</v>
      </c>
      <c r="U105" s="4">
        <f>Table2234210[[#This Row],[Ypred]]-F$13</f>
        <v>-0.58410393812660111</v>
      </c>
      <c r="V105" s="4">
        <f>ABS(Table2234210[[#This Row],[anl-med]])</f>
        <v>0.58410393812660111</v>
      </c>
      <c r="W105" s="4">
        <f>Table2234210[[#This Row],[lab-med]]*Table2234210[[#This Row],[anl-med]]</f>
        <v>5.8411854072510875E-3</v>
      </c>
    </row>
    <row r="106" spans="2:23" x14ac:dyDescent="0.25">
      <c r="B106" s="46">
        <f ca="1">VALUE((Table2234210[[#This Row],[Column3]]-62))</f>
        <v>44</v>
      </c>
      <c r="C106" t="s">
        <v>112</v>
      </c>
      <c r="D106">
        <v>9.9700003000000006</v>
      </c>
      <c r="E106"/>
      <c r="F106" s="78">
        <v>10.9216237630098</v>
      </c>
      <c r="G106" s="29">
        <f>Table2234210[[#This Row],[Ypred]]-Table2234210[[#This Row],[REF]]</f>
        <v>0.95162346300979905</v>
      </c>
      <c r="H106" s="29">
        <f>Table2234210[[#This Row],[X-Y]]-E$20</f>
        <v>1.1087440121774144</v>
      </c>
      <c r="I106" s="29">
        <f>Table2234210[[#This Row],[Ypred]]-E$20</f>
        <v>11.078744312177415</v>
      </c>
      <c r="J106" s="29">
        <f>Table2234210[[#This Row],[Ypred]]*E$21+E$22</f>
        <v>11.10221764728521</v>
      </c>
      <c r="K106" s="56">
        <f>Table2234210[[#This Row],[Yest]]-Table2234210[[#This Row],[REF]]</f>
        <v>1.1322173472852093</v>
      </c>
      <c r="L106" s="56">
        <f>ABS(Table2234210[[#This Row],[RESyx]])</f>
        <v>1.1322173472852093</v>
      </c>
      <c r="M106" s="29">
        <f>Table2234210[[#This Row],[Ypred]]*E$25+E$26</f>
        <v>11.093739444518976</v>
      </c>
      <c r="N106" s="29">
        <f>Table2234210[[#This Row],[X-Y]]^2</f>
        <v>0.90558721535076236</v>
      </c>
      <c r="O106" s="57">
        <f>Table2234210[[#This Row],[yest_rect]]-Table2234210[[#This Row],[REF]]</f>
        <v>1.1237391445189751</v>
      </c>
      <c r="P106" s="57">
        <f>Table2234210[[#This Row],[dif rec]]^2</f>
        <v>1.2627896649242378</v>
      </c>
      <c r="Q106" s="57">
        <f>ABS(Table2234210[[#This Row],[diff-bias]])</f>
        <v>1.1087440121774144</v>
      </c>
      <c r="R106" s="57">
        <f ca="1">CELL("row",Table2234210[[#This Row],[Position]])</f>
        <v>106</v>
      </c>
      <c r="S106" s="4">
        <f>Table2234210[[#This Row],[REF]]-D$13</f>
        <v>-1.0399999500000003</v>
      </c>
      <c r="T106" s="4">
        <f>ABS(Table2234210[[#This Row],[lab-med]])</f>
        <v>1.0399999500000003</v>
      </c>
      <c r="U106" s="4">
        <f>Table2234210[[#This Row],[Ypred]]-F$13</f>
        <v>-7.4048795002500611E-2</v>
      </c>
      <c r="V106" s="4">
        <f>ABS(Table2234210[[#This Row],[anl-med]])</f>
        <v>7.4048795002500611E-2</v>
      </c>
      <c r="W106" s="4">
        <f>Table2234210[[#This Row],[lab-med]]*Table2234210[[#This Row],[anl-med]]</f>
        <v>7.7010743100160914E-2</v>
      </c>
    </row>
    <row r="107" spans="2:23" x14ac:dyDescent="0.25">
      <c r="B107" s="46">
        <f ca="1">VALUE((Table2234210[[#This Row],[Column3]]-62))</f>
        <v>45</v>
      </c>
      <c r="C107" t="s">
        <v>113</v>
      </c>
      <c r="D107">
        <v>12.899999599999999</v>
      </c>
      <c r="E107"/>
      <c r="F107" s="78">
        <v>10.4032654042385</v>
      </c>
      <c r="G107" s="29">
        <f>Table2234210[[#This Row],[Ypred]]-Table2234210[[#This Row],[REF]]</f>
        <v>-2.4967341957614995</v>
      </c>
      <c r="H107" s="29">
        <f>Table2234210[[#This Row],[X-Y]]-E$20</f>
        <v>-2.3396136465938842</v>
      </c>
      <c r="I107" s="29">
        <f>Table2234210[[#This Row],[Ypred]]-E$20</f>
        <v>10.560385953406115</v>
      </c>
      <c r="J107" s="29">
        <f>Table2234210[[#This Row],[Ypred]]*E$21+E$22</f>
        <v>10.979480659233403</v>
      </c>
      <c r="K107" s="56">
        <f>Table2234210[[#This Row],[Yest]]-Table2234210[[#This Row],[REF]]</f>
        <v>-1.9205189407665966</v>
      </c>
      <c r="L107" s="56">
        <f>ABS(Table2234210[[#This Row],[RESyx]])</f>
        <v>1.9205189407665966</v>
      </c>
      <c r="M107" s="29">
        <f>Table2234210[[#This Row],[Ypred]]*E$25+E$26</f>
        <v>10.828110183843261</v>
      </c>
      <c r="N107" s="29">
        <f>Table2234210[[#This Row],[X-Y]]^2</f>
        <v>6.2336816442848217</v>
      </c>
      <c r="O107" s="57">
        <f>Table2234210[[#This Row],[yest_rect]]-Table2234210[[#This Row],[REF]]</f>
        <v>-2.0718894161567381</v>
      </c>
      <c r="P107" s="57">
        <f>Table2234210[[#This Row],[dif rec]]^2</f>
        <v>4.2927257527823093</v>
      </c>
      <c r="Q107" s="57">
        <f>ABS(Table2234210[[#This Row],[diff-bias]])</f>
        <v>2.3396136465938842</v>
      </c>
      <c r="R107" s="57">
        <f ca="1">CELL("row",Table2234210[[#This Row],[Position]])</f>
        <v>107</v>
      </c>
      <c r="S107" s="4">
        <f>Table2234210[[#This Row],[REF]]-D$13</f>
        <v>1.8899993499999983</v>
      </c>
      <c r="T107" s="4">
        <f>ABS(Table2234210[[#This Row],[lab-med]])</f>
        <v>1.8899993499999983</v>
      </c>
      <c r="U107" s="4">
        <f>Table2234210[[#This Row],[Ypred]]-F$13</f>
        <v>-0.59240715377380049</v>
      </c>
      <c r="V107" s="4">
        <f>ABS(Table2234210[[#This Row],[anl-med]])</f>
        <v>0.59240715377380049</v>
      </c>
      <c r="W107" s="4">
        <f>Table2234210[[#This Row],[lab-med]]*Table2234210[[#This Row],[anl-med]]</f>
        <v>-1.119649135567832</v>
      </c>
    </row>
    <row r="108" spans="2:23" x14ac:dyDescent="0.25">
      <c r="B108" s="46">
        <f ca="1">VALUE((Table2234210[[#This Row],[Column3]]-62))</f>
        <v>46</v>
      </c>
      <c r="C108" t="s">
        <v>114</v>
      </c>
      <c r="D108">
        <v>10.529999699999999</v>
      </c>
      <c r="E108"/>
      <c r="F108" s="78">
        <v>11.695142941105599</v>
      </c>
      <c r="G108" s="29">
        <f>Table2234210[[#This Row],[Ypred]]-Table2234210[[#This Row],[REF]]</f>
        <v>1.1651432411056</v>
      </c>
      <c r="H108" s="29">
        <f>Table2234210[[#This Row],[X-Y]]-E$20</f>
        <v>1.3222637902732153</v>
      </c>
      <c r="I108" s="29">
        <f>Table2234210[[#This Row],[Ypred]]-E$20</f>
        <v>11.852263490273215</v>
      </c>
      <c r="J108" s="29">
        <f>Table2234210[[#This Row],[Ypred]]*E$21+E$22</f>
        <v>11.285371661324511</v>
      </c>
      <c r="K108" s="56">
        <f>Table2234210[[#This Row],[Yest]]-Table2234210[[#This Row],[REF]]</f>
        <v>0.75537196132451179</v>
      </c>
      <c r="L108" s="56">
        <f>ABS(Table2234210[[#This Row],[RESyx]])</f>
        <v>0.75537196132451179</v>
      </c>
      <c r="M108" s="29">
        <f>Table2234210[[#This Row],[Ypred]]*E$25+E$26</f>
        <v>11.490124153898627</v>
      </c>
      <c r="N108" s="29">
        <f>Table2234210[[#This Row],[X-Y]]^2</f>
        <v>1.3575587722940623</v>
      </c>
      <c r="O108" s="57">
        <f>Table2234210[[#This Row],[yest_rect]]-Table2234210[[#This Row],[REF]]</f>
        <v>0.96012445389862755</v>
      </c>
      <c r="P108" s="57">
        <f>Table2234210[[#This Row],[dif rec]]^2</f>
        <v>0.92183896697413781</v>
      </c>
      <c r="Q108" s="57">
        <f>ABS(Table2234210[[#This Row],[diff-bias]])</f>
        <v>1.3222637902732153</v>
      </c>
      <c r="R108" s="57">
        <f ca="1">CELL("row",Table2234210[[#This Row],[Position]])</f>
        <v>108</v>
      </c>
      <c r="S108" s="4">
        <f>Table2234210[[#This Row],[REF]]-D$13</f>
        <v>-0.48000055000000152</v>
      </c>
      <c r="T108" s="4">
        <f>ABS(Table2234210[[#This Row],[lab-med]])</f>
        <v>0.48000055000000152</v>
      </c>
      <c r="U108" s="4">
        <f>Table2234210[[#This Row],[Ypred]]-F$13</f>
        <v>0.69947038309329912</v>
      </c>
      <c r="V108" s="4">
        <f>ABS(Table2234210[[#This Row],[anl-med]])</f>
        <v>0.69947038309329912</v>
      </c>
      <c r="W108" s="4">
        <f>Table2234210[[#This Row],[lab-med]]*Table2234210[[#This Row],[anl-med]]</f>
        <v>-0.33574616859349532</v>
      </c>
    </row>
    <row r="109" spans="2:23" x14ac:dyDescent="0.25">
      <c r="B109" s="46">
        <f ca="1">VALUE((Table2234210[[#This Row],[Column3]]-62))</f>
        <v>47</v>
      </c>
      <c r="C109" t="s">
        <v>115</v>
      </c>
      <c r="D109">
        <v>11.0600004</v>
      </c>
      <c r="E109"/>
      <c r="F109" s="78">
        <v>10.2875048065616</v>
      </c>
      <c r="G109" s="29">
        <f>Table2234210[[#This Row],[Ypred]]-Table2234210[[#This Row],[REF]]</f>
        <v>-0.77249559343839991</v>
      </c>
      <c r="H109" s="29">
        <f>Table2234210[[#This Row],[X-Y]]-E$20</f>
        <v>-0.6153750442707846</v>
      </c>
      <c r="I109" s="29">
        <f>Table2234210[[#This Row],[Ypred]]-E$20</f>
        <v>10.444625355729215</v>
      </c>
      <c r="J109" s="29">
        <f>Table2234210[[#This Row],[Ypred]]*E$21+E$22</f>
        <v>10.952070843507428</v>
      </c>
      <c r="K109" s="56">
        <f>Table2234210[[#This Row],[Yest]]-Table2234210[[#This Row],[REF]]</f>
        <v>-0.10792955649257152</v>
      </c>
      <c r="L109" s="56">
        <f>ABS(Table2234210[[#This Row],[RESyx]])</f>
        <v>0.10792955649257152</v>
      </c>
      <c r="M109" s="29">
        <f>Table2234210[[#This Row],[Ypred]]*E$25+E$26</f>
        <v>10.768789442784543</v>
      </c>
      <c r="N109" s="29">
        <f>Table2234210[[#This Row],[X-Y]]^2</f>
        <v>0.59674944188174561</v>
      </c>
      <c r="O109" s="57">
        <f>Table2234210[[#This Row],[yest_rect]]-Table2234210[[#This Row],[REF]]</f>
        <v>-0.29121095721545665</v>
      </c>
      <c r="P109" s="57">
        <f>Table2234210[[#This Row],[dif rec]]^2</f>
        <v>8.4803821602342525E-2</v>
      </c>
      <c r="Q109" s="57">
        <f>ABS(Table2234210[[#This Row],[diff-bias]])</f>
        <v>0.6153750442707846</v>
      </c>
      <c r="R109" s="57">
        <f ca="1">CELL("row",Table2234210[[#This Row],[Position]])</f>
        <v>109</v>
      </c>
      <c r="S109" s="4">
        <f>Table2234210[[#This Row],[REF]]-D$13</f>
        <v>5.0000149999998911E-2</v>
      </c>
      <c r="T109" s="4">
        <f>ABS(Table2234210[[#This Row],[lab-med]])</f>
        <v>5.0000149999998911E-2</v>
      </c>
      <c r="U109" s="4">
        <f>Table2234210[[#This Row],[Ypred]]-F$13</f>
        <v>-0.70816775145070032</v>
      </c>
      <c r="V109" s="4">
        <f>ABS(Table2234210[[#This Row],[anl-med]])</f>
        <v>0.70816775145070032</v>
      </c>
      <c r="W109" s="4">
        <f>Table2234210[[#This Row],[lab-med]]*Table2234210[[#This Row],[anl-med]]</f>
        <v>-3.5408493797696963E-2</v>
      </c>
    </row>
    <row r="110" spans="2:23" x14ac:dyDescent="0.25">
      <c r="B110" s="46">
        <f ca="1">VALUE((Table2234210[[#This Row],[Column3]]-62))</f>
        <v>48</v>
      </c>
      <c r="C110" t="s">
        <v>116</v>
      </c>
      <c r="D110">
        <v>9.1000004000000008</v>
      </c>
      <c r="E110"/>
      <c r="F110" s="78">
        <v>10.2053877427752</v>
      </c>
      <c r="G110" s="29">
        <f>Table2234210[[#This Row],[Ypred]]-Table2234210[[#This Row],[REF]]</f>
        <v>1.1053873427751988</v>
      </c>
      <c r="H110" s="29">
        <f>Table2234210[[#This Row],[X-Y]]-E$20</f>
        <v>1.2625078919428141</v>
      </c>
      <c r="I110" s="29">
        <f>Table2234210[[#This Row],[Ypred]]-E$20</f>
        <v>10.362508291942815</v>
      </c>
      <c r="J110" s="29">
        <f>Table2234210[[#This Row],[Ypred]]*E$21+E$22</f>
        <v>10.93262714995787</v>
      </c>
      <c r="K110" s="56">
        <f>Table2234210[[#This Row],[Yest]]-Table2234210[[#This Row],[REF]]</f>
        <v>1.8326267499578694</v>
      </c>
      <c r="L110" s="56">
        <f>ABS(Table2234210[[#This Row],[RESyx]])</f>
        <v>1.8326267499578694</v>
      </c>
      <c r="M110" s="29">
        <f>Table2234210[[#This Row],[Ypred]]*E$25+E$26</f>
        <v>10.726709104784117</v>
      </c>
      <c r="N110" s="29">
        <f>Table2234210[[#This Row],[X-Y]]^2</f>
        <v>1.2218811775676148</v>
      </c>
      <c r="O110" s="57">
        <f>Table2234210[[#This Row],[yest_rect]]-Table2234210[[#This Row],[REF]]</f>
        <v>1.6267087047841162</v>
      </c>
      <c r="P110" s="57">
        <f>Table2234210[[#This Row],[dif rec]]^2</f>
        <v>2.646181210220417</v>
      </c>
      <c r="Q110" s="57">
        <f>ABS(Table2234210[[#This Row],[diff-bias]])</f>
        <v>1.2625078919428141</v>
      </c>
      <c r="R110" s="57">
        <f ca="1">CELL("row",Table2234210[[#This Row],[Position]])</f>
        <v>110</v>
      </c>
      <c r="S110" s="4">
        <f>Table2234210[[#This Row],[REF]]-D$13</f>
        <v>-1.9099998500000002</v>
      </c>
      <c r="T110" s="4">
        <f>ABS(Table2234210[[#This Row],[lab-med]])</f>
        <v>1.9099998500000002</v>
      </c>
      <c r="U110" s="4">
        <f>Table2234210[[#This Row],[Ypred]]-F$13</f>
        <v>-0.7902848152371007</v>
      </c>
      <c r="V110" s="4">
        <f>ABS(Table2234210[[#This Row],[anl-med]])</f>
        <v>0.7902848152371007</v>
      </c>
      <c r="W110" s="4">
        <f>Table2234210[[#This Row],[lab-med]]*Table2234210[[#This Row],[anl-med]]</f>
        <v>1.5094438785601403</v>
      </c>
    </row>
    <row r="111" spans="2:23" x14ac:dyDescent="0.25">
      <c r="B111" s="46">
        <f ca="1">VALUE((Table2234210[[#This Row],[Column3]]-62))</f>
        <v>49</v>
      </c>
      <c r="C111" t="s">
        <v>117</v>
      </c>
      <c r="D111">
        <v>8.9700003000000006</v>
      </c>
      <c r="E111"/>
      <c r="F111" s="78">
        <v>11.4412210972223</v>
      </c>
      <c r="G111" s="29">
        <f>Table2234210[[#This Row],[Ypred]]-Table2234210[[#This Row],[REF]]</f>
        <v>2.4712207972222995</v>
      </c>
      <c r="H111" s="29">
        <f>Table2234210[[#This Row],[X-Y]]-E$20</f>
        <v>2.6283413463899148</v>
      </c>
      <c r="I111" s="29">
        <f>Table2234210[[#This Row],[Ypred]]-E$20</f>
        <v>11.598341646389915</v>
      </c>
      <c r="J111" s="29">
        <f>Table2234210[[#This Row],[Ypred]]*E$21+E$22</f>
        <v>11.225248000171113</v>
      </c>
      <c r="K111" s="56">
        <f>Table2234210[[#This Row],[Yest]]-Table2234210[[#This Row],[REF]]</f>
        <v>2.2552477001711129</v>
      </c>
      <c r="L111" s="56">
        <f>ABS(Table2234210[[#This Row],[RESyx]])</f>
        <v>2.2552477001711129</v>
      </c>
      <c r="M111" s="29">
        <f>Table2234210[[#This Row],[Ypred]]*E$25+E$26</f>
        <v>11.360003609841009</v>
      </c>
      <c r="N111" s="29">
        <f>Table2234210[[#This Row],[X-Y]]^2</f>
        <v>6.1069322286240171</v>
      </c>
      <c r="O111" s="57">
        <f>Table2234210[[#This Row],[yest_rect]]-Table2234210[[#This Row],[REF]]</f>
        <v>2.3900033098410081</v>
      </c>
      <c r="P111" s="57">
        <f>Table2234210[[#This Row],[dif rec]]^2</f>
        <v>5.7121158210509737</v>
      </c>
      <c r="Q111" s="57">
        <f>ABS(Table2234210[[#This Row],[diff-bias]])</f>
        <v>2.6283413463899148</v>
      </c>
      <c r="R111" s="57">
        <f ca="1">CELL("row",Table2234210[[#This Row],[Position]])</f>
        <v>111</v>
      </c>
      <c r="S111" s="4">
        <f>Table2234210[[#This Row],[REF]]-D$13</f>
        <v>-2.0399999500000003</v>
      </c>
      <c r="T111" s="4">
        <f>ABS(Table2234210[[#This Row],[lab-med]])</f>
        <v>2.0399999500000003</v>
      </c>
      <c r="U111" s="4">
        <f>Table2234210[[#This Row],[Ypred]]-F$13</f>
        <v>0.44554853920999982</v>
      </c>
      <c r="V111" s="4">
        <f>ABS(Table2234210[[#This Row],[anl-med]])</f>
        <v>0.44554853920999982</v>
      </c>
      <c r="W111" s="4">
        <f>Table2234210[[#This Row],[lab-med]]*Table2234210[[#This Row],[anl-med]]</f>
        <v>-0.90891899771097284</v>
      </c>
    </row>
    <row r="112" spans="2:23" x14ac:dyDescent="0.25">
      <c r="B112" s="46">
        <f ca="1">VALUE((Table2234210[[#This Row],[Column3]]-62))</f>
        <v>50</v>
      </c>
      <c r="C112" t="s">
        <v>118</v>
      </c>
      <c r="D112">
        <v>11.1199999</v>
      </c>
      <c r="E112"/>
      <c r="F112" s="78">
        <v>10.103579843467701</v>
      </c>
      <c r="G112" s="29">
        <f>Table2234210[[#This Row],[Ypred]]-Table2234210[[#This Row],[REF]]</f>
        <v>-1.0164200565322989</v>
      </c>
      <c r="H112" s="29">
        <f>Table2234210[[#This Row],[X-Y]]-E$20</f>
        <v>-0.85929950736468363</v>
      </c>
      <c r="I112" s="29">
        <f>Table2234210[[#This Row],[Ypred]]-E$20</f>
        <v>10.260700392635316</v>
      </c>
      <c r="J112" s="29">
        <f>Table2234210[[#This Row],[Ypred]]*E$21+E$22</f>
        <v>10.908521056732127</v>
      </c>
      <c r="K112" s="56">
        <f>Table2234210[[#This Row],[Yest]]-Table2234210[[#This Row],[REF]]</f>
        <v>-0.21147884326787292</v>
      </c>
      <c r="L112" s="56">
        <f>ABS(Table2234210[[#This Row],[RESyx]])</f>
        <v>0.21147884326787292</v>
      </c>
      <c r="M112" s="29">
        <f>Table2234210[[#This Row],[Ypred]]*E$25+E$26</f>
        <v>10.674538330325882</v>
      </c>
      <c r="N112" s="29">
        <f>Table2234210[[#This Row],[X-Y]]^2</f>
        <v>1.0331097313211217</v>
      </c>
      <c r="O112" s="57">
        <f>Table2234210[[#This Row],[yest_rect]]-Table2234210[[#This Row],[REF]]</f>
        <v>-0.44546156967411754</v>
      </c>
      <c r="P112" s="57">
        <f>Table2234210[[#This Row],[dif rec]]^2</f>
        <v>0.19843601005652867</v>
      </c>
      <c r="Q112" s="57">
        <f>ABS(Table2234210[[#This Row],[diff-bias]])</f>
        <v>0.85929950736468363</v>
      </c>
      <c r="R112" s="57">
        <f ca="1">CELL("row",Table2234210[[#This Row],[Position]])</f>
        <v>112</v>
      </c>
      <c r="S112" s="4">
        <f>Table2234210[[#This Row],[REF]]-D$13</f>
        <v>0.10999964999999889</v>
      </c>
      <c r="T112" s="4">
        <f>ABS(Table2234210[[#This Row],[lab-med]])</f>
        <v>0.10999964999999889</v>
      </c>
      <c r="U112" s="4">
        <f>Table2234210[[#This Row],[Ypred]]-F$13</f>
        <v>-0.89209271454459937</v>
      </c>
      <c r="V112" s="4">
        <f>ABS(Table2234210[[#This Row],[anl-med]])</f>
        <v>0.89209271454459937</v>
      </c>
      <c r="W112" s="4">
        <f>Table2234210[[#This Row],[lab-med]]*Table2234210[[#This Row],[anl-med]]</f>
        <v>-9.8129886367454858E-2</v>
      </c>
    </row>
    <row r="113" spans="2:23" x14ac:dyDescent="0.25">
      <c r="B113" s="46">
        <f ca="1">VALUE((Table2234210[[#This Row],[Column3]]-62))</f>
        <v>51</v>
      </c>
      <c r="C113" t="s">
        <v>119</v>
      </c>
      <c r="D113">
        <v>9.2299994999999999</v>
      </c>
      <c r="E113"/>
      <c r="F113" s="78">
        <v>9.4383977244287998</v>
      </c>
      <c r="G113" s="29">
        <f>Table2234210[[#This Row],[Ypred]]-Table2234210[[#This Row],[REF]]</f>
        <v>0.20839822442879985</v>
      </c>
      <c r="H113" s="29">
        <f>Table2234210[[#This Row],[X-Y]]-E$20</f>
        <v>0.36551877359641516</v>
      </c>
      <c r="I113" s="29">
        <f>Table2234210[[#This Row],[Ypred]]-E$20</f>
        <v>9.5955182735964151</v>
      </c>
      <c r="J113" s="29">
        <f>Table2234210[[#This Row],[Ypred]]*E$21+E$22</f>
        <v>10.751019111571495</v>
      </c>
      <c r="K113" s="56">
        <f>Table2234210[[#This Row],[Yest]]-Table2234210[[#This Row],[REF]]</f>
        <v>1.5210196115714947</v>
      </c>
      <c r="L113" s="56">
        <f>ABS(Table2234210[[#This Row],[RESyx]])</f>
        <v>1.5210196115714947</v>
      </c>
      <c r="M113" s="29">
        <f>Table2234210[[#This Row],[Ypred]]*E$25+E$26</f>
        <v>10.333670219481034</v>
      </c>
      <c r="N113" s="29">
        <f>Table2234210[[#This Row],[X-Y]]^2</f>
        <v>4.3429819945076428E-2</v>
      </c>
      <c r="O113" s="57">
        <f>Table2234210[[#This Row],[yest_rect]]-Table2234210[[#This Row],[REF]]</f>
        <v>1.103670719481034</v>
      </c>
      <c r="P113" s="57">
        <f>Table2234210[[#This Row],[dif rec]]^2</f>
        <v>1.2180890570397833</v>
      </c>
      <c r="Q113" s="57">
        <f>ABS(Table2234210[[#This Row],[diff-bias]])</f>
        <v>0.36551877359641516</v>
      </c>
      <c r="R113" s="57">
        <f ca="1">CELL("row",Table2234210[[#This Row],[Position]])</f>
        <v>113</v>
      </c>
      <c r="S113" s="4">
        <f>Table2234210[[#This Row],[REF]]-D$13</f>
        <v>-1.780000750000001</v>
      </c>
      <c r="T113" s="4">
        <f>ABS(Table2234210[[#This Row],[lab-med]])</f>
        <v>1.780000750000001</v>
      </c>
      <c r="U113" s="4">
        <f>Table2234210[[#This Row],[Ypred]]-F$13</f>
        <v>-1.5572748335835005</v>
      </c>
      <c r="V113" s="4">
        <f>ABS(Table2234210[[#This Row],[anl-med]])</f>
        <v>1.5572748335835005</v>
      </c>
      <c r="W113" s="4">
        <f>Table2234210[[#This Row],[lab-med]]*Table2234210[[#This Row],[anl-med]]</f>
        <v>2.7719503717347576</v>
      </c>
    </row>
    <row r="114" spans="2:23" x14ac:dyDescent="0.25">
      <c r="B114" s="46">
        <f ca="1">VALUE((Table2234210[[#This Row],[Column3]]-62))</f>
        <v>52</v>
      </c>
      <c r="C114" t="s">
        <v>120</v>
      </c>
      <c r="D114">
        <v>11.2299995</v>
      </c>
      <c r="E114"/>
      <c r="F114" s="78">
        <v>11.262351324789099</v>
      </c>
      <c r="G114" s="29">
        <f>Table2234210[[#This Row],[Ypred]]-Table2234210[[#This Row],[REF]]</f>
        <v>3.2351824789099481E-2</v>
      </c>
      <c r="H114" s="29">
        <f>Table2234210[[#This Row],[X-Y]]-E$20</f>
        <v>0.18947237395671479</v>
      </c>
      <c r="I114" s="29">
        <f>Table2234210[[#This Row],[Ypred]]-E$20</f>
        <v>11.419471873956715</v>
      </c>
      <c r="J114" s="29">
        <f>Table2234210[[#This Row],[Ypred]]*E$21+E$22</f>
        <v>11.182895182375328</v>
      </c>
      <c r="K114" s="56">
        <f>Table2234210[[#This Row],[Yest]]-Table2234210[[#This Row],[REF]]</f>
        <v>-4.7104317624672376E-2</v>
      </c>
      <c r="L114" s="56">
        <f>ABS(Table2234210[[#This Row],[RESyx]])</f>
        <v>4.7104317624672376E-2</v>
      </c>
      <c r="M114" s="29">
        <f>Table2234210[[#This Row],[Ypred]]*E$25+E$26</f>
        <v>11.268342995895692</v>
      </c>
      <c r="N114" s="29">
        <f>Table2234210[[#This Row],[X-Y]]^2</f>
        <v>1.0466405671845918E-3</v>
      </c>
      <c r="O114" s="57">
        <f>Table2234210[[#This Row],[yest_rect]]-Table2234210[[#This Row],[REF]]</f>
        <v>3.8343495895691859E-2</v>
      </c>
      <c r="P114" s="57">
        <f>Table2234210[[#This Row],[dif rec]]^2</f>
        <v>1.4702236775029384E-3</v>
      </c>
      <c r="Q114" s="57">
        <f>ABS(Table2234210[[#This Row],[diff-bias]])</f>
        <v>0.18947237395671479</v>
      </c>
      <c r="R114" s="57">
        <f ca="1">CELL("row",Table2234210[[#This Row],[Position]])</f>
        <v>114</v>
      </c>
      <c r="S114" s="4">
        <f>Table2234210[[#This Row],[REF]]-D$13</f>
        <v>0.21999924999999898</v>
      </c>
      <c r="T114" s="4">
        <f>ABS(Table2234210[[#This Row],[lab-med]])</f>
        <v>0.21999924999999898</v>
      </c>
      <c r="U114" s="4">
        <f>Table2234210[[#This Row],[Ypred]]-F$13</f>
        <v>0.26667876677679914</v>
      </c>
      <c r="V114" s="4">
        <f>ABS(Table2234210[[#This Row],[anl-med]])</f>
        <v>0.26667876677679914</v>
      </c>
      <c r="W114" s="4">
        <f>Table2234210[[#This Row],[lab-med]]*Table2234210[[#This Row],[anl-med]]</f>
        <v>5.8669128681820455E-2</v>
      </c>
    </row>
    <row r="115" spans="2:23" x14ac:dyDescent="0.25">
      <c r="B115" s="46">
        <f ca="1">VALUE((Table2234210[[#This Row],[Column3]]-62))</f>
        <v>53</v>
      </c>
      <c r="C115" t="s">
        <v>121</v>
      </c>
      <c r="D115">
        <v>11.2299995</v>
      </c>
      <c r="E115"/>
      <c r="F115" s="78">
        <v>10.580178185067799</v>
      </c>
      <c r="G115" s="29">
        <f>Table2234210[[#This Row],[Ypred]]-Table2234210[[#This Row],[REF]]</f>
        <v>-0.64982131493220052</v>
      </c>
      <c r="H115" s="29">
        <f>Table2234210[[#This Row],[X-Y]]-E$20</f>
        <v>-0.49270076576458521</v>
      </c>
      <c r="I115" s="29">
        <f>Table2234210[[#This Row],[Ypred]]-E$20</f>
        <v>10.737298734235415</v>
      </c>
      <c r="J115" s="29">
        <f>Table2234210[[#This Row],[Ypred]]*E$21+E$22</f>
        <v>11.021370100195302</v>
      </c>
      <c r="K115" s="56">
        <f>Table2234210[[#This Row],[Yest]]-Table2234210[[#This Row],[REF]]</f>
        <v>-0.20862939980469797</v>
      </c>
      <c r="L115" s="56">
        <f>ABS(Table2234210[[#This Row],[RESyx]])</f>
        <v>0.20862939980469797</v>
      </c>
      <c r="M115" s="29">
        <f>Table2234210[[#This Row],[Ypred]]*E$25+E$26</f>
        <v>10.91876795058047</v>
      </c>
      <c r="N115" s="29">
        <f>Table2234210[[#This Row],[X-Y]]^2</f>
        <v>0.42226774134021411</v>
      </c>
      <c r="O115" s="57">
        <f>Table2234210[[#This Row],[yest_rect]]-Table2234210[[#This Row],[REF]]</f>
        <v>-0.31123154941952968</v>
      </c>
      <c r="P115" s="57">
        <f>Table2234210[[#This Row],[dif rec]]^2</f>
        <v>9.6865077354081147E-2</v>
      </c>
      <c r="Q115" s="57">
        <f>ABS(Table2234210[[#This Row],[diff-bias]])</f>
        <v>0.49270076576458521</v>
      </c>
      <c r="R115" s="57">
        <f ca="1">CELL("row",Table2234210[[#This Row],[Position]])</f>
        <v>115</v>
      </c>
      <c r="S115" s="4">
        <f>Table2234210[[#This Row],[REF]]-D$13</f>
        <v>0.21999924999999898</v>
      </c>
      <c r="T115" s="4">
        <f>ABS(Table2234210[[#This Row],[lab-med]])</f>
        <v>0.21999924999999898</v>
      </c>
      <c r="U115" s="4">
        <f>Table2234210[[#This Row],[Ypred]]-F$13</f>
        <v>-0.41549437294450087</v>
      </c>
      <c r="V115" s="4">
        <f>ABS(Table2234210[[#This Row],[anl-med]])</f>
        <v>0.41549437294450087</v>
      </c>
      <c r="W115" s="4">
        <f>Table2234210[[#This Row],[lab-med]]*Table2234210[[#This Row],[anl-med]]</f>
        <v>-9.1408450427010055E-2</v>
      </c>
    </row>
    <row r="116" spans="2:23" x14ac:dyDescent="0.25">
      <c r="B116" s="46">
        <f ca="1">VALUE((Table2234210[[#This Row],[Column3]]-62))</f>
        <v>54</v>
      </c>
      <c r="C116" t="s">
        <v>122</v>
      </c>
      <c r="D116">
        <v>11.2399998</v>
      </c>
      <c r="E116"/>
      <c r="F116" s="78">
        <v>7.9728740773352902</v>
      </c>
      <c r="G116" s="29">
        <f>Table2234210[[#This Row],[Ypred]]-Table2234210[[#This Row],[REF]]</f>
        <v>-3.2671257226647095</v>
      </c>
      <c r="H116" s="29">
        <f>Table2234210[[#This Row],[X-Y]]-E$20</f>
        <v>-3.1100051734970942</v>
      </c>
      <c r="I116" s="29">
        <f>Table2234210[[#This Row],[Ypred]]-E$20</f>
        <v>8.1299946265029064</v>
      </c>
      <c r="J116" s="29">
        <f>Table2234210[[#This Row],[Ypred]]*E$21+E$22</f>
        <v>10.404012151387954</v>
      </c>
      <c r="K116" s="56">
        <f>Table2234210[[#This Row],[Yest]]-Table2234210[[#This Row],[REF]]</f>
        <v>-0.83598764861204522</v>
      </c>
      <c r="L116" s="56">
        <f>ABS(Table2234210[[#This Row],[RESyx]])</f>
        <v>0.83598764861204522</v>
      </c>
      <c r="M116" s="29">
        <f>Table2234210[[#This Row],[Ypred]]*E$25+E$26</f>
        <v>9.5826724661063647</v>
      </c>
      <c r="N116" s="29">
        <f>Table2234210[[#This Row],[X-Y]]^2</f>
        <v>10.6741104876974</v>
      </c>
      <c r="O116" s="57">
        <f>Table2234210[[#This Row],[yest_rect]]-Table2234210[[#This Row],[REF]]</f>
        <v>-1.657327333893635</v>
      </c>
      <c r="P116" s="57">
        <f>Table2234210[[#This Row],[dif rec]]^2</f>
        <v>2.746733891670984</v>
      </c>
      <c r="Q116" s="57">
        <f>ABS(Table2234210[[#This Row],[diff-bias]])</f>
        <v>3.1100051734970942</v>
      </c>
      <c r="R116" s="57">
        <f ca="1">CELL("row",Table2234210[[#This Row],[Position]])</f>
        <v>116</v>
      </c>
      <c r="S116" s="4">
        <f>Table2234210[[#This Row],[REF]]-D$13</f>
        <v>0.22999954999999872</v>
      </c>
      <c r="T116" s="4">
        <f>ABS(Table2234210[[#This Row],[lab-med]])</f>
        <v>0.22999954999999872</v>
      </c>
      <c r="U116" s="4">
        <f>Table2234210[[#This Row],[Ypred]]-F$13</f>
        <v>-3.0227984806770101</v>
      </c>
      <c r="V116" s="4">
        <f>ABS(Table2234210[[#This Row],[anl-med]])</f>
        <v>3.0227984806770101</v>
      </c>
      <c r="W116" s="4">
        <f>Table2234210[[#This Row],[lab-med]]*Table2234210[[#This Row],[anl-med]]</f>
        <v>-0.69524229029639217</v>
      </c>
    </row>
    <row r="117" spans="2:23" x14ac:dyDescent="0.25">
      <c r="B117" s="46">
        <f ca="1">VALUE((Table2234210[[#This Row],[Column3]]-62))</f>
        <v>55</v>
      </c>
      <c r="C117" t="s">
        <v>123</v>
      </c>
      <c r="D117">
        <v>12.5600004</v>
      </c>
      <c r="E117"/>
      <c r="F117" s="78">
        <v>12.7601200425124</v>
      </c>
      <c r="G117" s="29">
        <f>Table2234210[[#This Row],[Ypred]]-Table2234210[[#This Row],[REF]]</f>
        <v>0.20011964251239966</v>
      </c>
      <c r="H117" s="29">
        <f>Table2234210[[#This Row],[X-Y]]-E$20</f>
        <v>0.35724019168001497</v>
      </c>
      <c r="I117" s="29">
        <f>Table2234210[[#This Row],[Ypred]]-E$20</f>
        <v>12.917240591680015</v>
      </c>
      <c r="J117" s="29">
        <f>Table2234210[[#This Row],[Ypred]]*E$21+E$22</f>
        <v>11.537537136345788</v>
      </c>
      <c r="K117" s="56">
        <f>Table2234210[[#This Row],[Yest]]-Table2234210[[#This Row],[REF]]</f>
        <v>-1.0224632636542115</v>
      </c>
      <c r="L117" s="56">
        <f>ABS(Table2234210[[#This Row],[RESyx]])</f>
        <v>1.0224632636542115</v>
      </c>
      <c r="M117" s="29">
        <f>Table2234210[[#This Row],[Ypred]]*E$25+E$26</f>
        <v>12.035864519220034</v>
      </c>
      <c r="N117" s="29">
        <f>Table2234210[[#This Row],[X-Y]]^2</f>
        <v>4.0047871319290641E-2</v>
      </c>
      <c r="O117" s="57">
        <f>Table2234210[[#This Row],[yest_rect]]-Table2234210[[#This Row],[REF]]</f>
        <v>-0.52413588077996565</v>
      </c>
      <c r="P117" s="57">
        <f>Table2234210[[#This Row],[dif rec]]^2</f>
        <v>0.27471842152099035</v>
      </c>
      <c r="Q117" s="57">
        <f>ABS(Table2234210[[#This Row],[diff-bias]])</f>
        <v>0.35724019168001497</v>
      </c>
      <c r="R117" s="57">
        <f ca="1">CELL("row",Table2234210[[#This Row],[Position]])</f>
        <v>117</v>
      </c>
      <c r="S117" s="4">
        <f>Table2234210[[#This Row],[REF]]-D$13</f>
        <v>1.5500001499999989</v>
      </c>
      <c r="T117" s="4">
        <f>ABS(Table2234210[[#This Row],[lab-med]])</f>
        <v>1.5500001499999989</v>
      </c>
      <c r="U117" s="4">
        <f>Table2234210[[#This Row],[Ypred]]-F$13</f>
        <v>1.7644474845000993</v>
      </c>
      <c r="V117" s="4">
        <f>ABS(Table2234210[[#This Row],[anl-med]])</f>
        <v>1.7644474845000993</v>
      </c>
      <c r="W117" s="4">
        <f>Table2234210[[#This Row],[lab-med]]*Table2234210[[#This Row],[anl-med]]</f>
        <v>2.7348938656422748</v>
      </c>
    </row>
    <row r="118" spans="2:23" x14ac:dyDescent="0.25">
      <c r="B118" s="46">
        <f ca="1">VALUE((Table2234210[[#This Row],[Column3]]-62))</f>
        <v>56</v>
      </c>
      <c r="C118" t="s">
        <v>124</v>
      </c>
      <c r="D118">
        <v>10.0699997</v>
      </c>
      <c r="E118"/>
      <c r="F118" s="78">
        <v>6.9639795740076798</v>
      </c>
      <c r="G118" s="29">
        <f>Table2234210[[#This Row],[Ypred]]-Table2234210[[#This Row],[REF]]</f>
        <v>-3.1060201259923206</v>
      </c>
      <c r="H118" s="29">
        <f>Table2234210[[#This Row],[X-Y]]-E$20</f>
        <v>-2.9488995768247053</v>
      </c>
      <c r="I118" s="29">
        <f>Table2234210[[#This Row],[Ypred]]-E$20</f>
        <v>7.1211001231752951</v>
      </c>
      <c r="J118" s="29">
        <f>Table2234210[[#This Row],[Ypred]]*E$21+E$22</f>
        <v>10.165125924311431</v>
      </c>
      <c r="K118" s="56">
        <f>Table2234210[[#This Row],[Yest]]-Table2234210[[#This Row],[REF]]</f>
        <v>9.5126224311430363E-2</v>
      </c>
      <c r="L118" s="56">
        <f>ABS(Table2234210[[#This Row],[RESyx]])</f>
        <v>9.5126224311430363E-2</v>
      </c>
      <c r="M118" s="29">
        <f>Table2234210[[#This Row],[Ypred]]*E$25+E$26</f>
        <v>9.065671251630059</v>
      </c>
      <c r="N118" s="29">
        <f>Table2234210[[#This Row],[X-Y]]^2</f>
        <v>9.6473610230693509</v>
      </c>
      <c r="O118" s="57">
        <f>Table2234210[[#This Row],[yest_rect]]-Table2234210[[#This Row],[REF]]</f>
        <v>-1.0043284483699413</v>
      </c>
      <c r="P118" s="57">
        <f>Table2234210[[#This Row],[dif rec]]^2</f>
        <v>1.0086756322051738</v>
      </c>
      <c r="Q118" s="57">
        <f>ABS(Table2234210[[#This Row],[diff-bias]])</f>
        <v>2.9488995768247053</v>
      </c>
      <c r="R118" s="57">
        <f ca="1">CELL("row",Table2234210[[#This Row],[Position]])</f>
        <v>118</v>
      </c>
      <c r="S118" s="4">
        <f>Table2234210[[#This Row],[REF]]-D$13</f>
        <v>-0.9400005500000006</v>
      </c>
      <c r="T118" s="4">
        <f>ABS(Table2234210[[#This Row],[lab-med]])</f>
        <v>0.9400005500000006</v>
      </c>
      <c r="U118" s="4">
        <f>Table2234210[[#This Row],[Ypred]]-F$13</f>
        <v>-4.0316929840046205</v>
      </c>
      <c r="V118" s="4">
        <f>ABS(Table2234210[[#This Row],[anl-med]])</f>
        <v>4.0316929840046205</v>
      </c>
      <c r="W118" s="4">
        <f>Table2234210[[#This Row],[lab-med]]*Table2234210[[#This Row],[anl-med]]</f>
        <v>3.7897936223954871</v>
      </c>
    </row>
    <row r="119" spans="2:23" x14ac:dyDescent="0.25">
      <c r="B119" s="46">
        <f ca="1">VALUE((Table2234210[[#This Row],[Column3]]-62))</f>
        <v>57</v>
      </c>
      <c r="C119" t="s">
        <v>125</v>
      </c>
      <c r="D119">
        <v>9.9399996000000002</v>
      </c>
      <c r="E119"/>
      <c r="F119" s="78">
        <v>7.1132997761014902</v>
      </c>
      <c r="G119" s="29">
        <f>Table2234210[[#This Row],[Ypred]]-Table2234210[[#This Row],[REF]]</f>
        <v>-2.8266998238985099</v>
      </c>
      <c r="H119" s="29">
        <f>Table2234210[[#This Row],[X-Y]]-E$20</f>
        <v>-2.6695792747308946</v>
      </c>
      <c r="I119" s="29">
        <f>Table2234210[[#This Row],[Ypred]]-E$20</f>
        <v>7.2704203252691055</v>
      </c>
      <c r="J119" s="29">
        <f>Table2234210[[#This Row],[Ypred]]*E$21+E$22</f>
        <v>10.200481989377543</v>
      </c>
      <c r="K119" s="56">
        <f>Table2234210[[#This Row],[Yest]]-Table2234210[[#This Row],[REF]]</f>
        <v>0.2604823893775432</v>
      </c>
      <c r="L119" s="56">
        <f>ABS(Table2234210[[#This Row],[RESyx]])</f>
        <v>0.2604823893775432</v>
      </c>
      <c r="M119" s="29">
        <f>Table2234210[[#This Row],[Ypred]]*E$25+E$26</f>
        <v>9.1421893866518325</v>
      </c>
      <c r="N119" s="29">
        <f>Table2234210[[#This Row],[X-Y]]^2</f>
        <v>7.9902318944278674</v>
      </c>
      <c r="O119" s="57">
        <f>Table2234210[[#This Row],[yest_rect]]-Table2234210[[#This Row],[REF]]</f>
        <v>-0.79781021334816771</v>
      </c>
      <c r="P119" s="57">
        <f>Table2234210[[#This Row],[dif rec]]^2</f>
        <v>0.63650113652264884</v>
      </c>
      <c r="Q119" s="57">
        <f>ABS(Table2234210[[#This Row],[diff-bias]])</f>
        <v>2.6695792747308946</v>
      </c>
      <c r="R119" s="57">
        <f ca="1">CELL("row",Table2234210[[#This Row],[Position]])</f>
        <v>119</v>
      </c>
      <c r="S119" s="4">
        <f>Table2234210[[#This Row],[REF]]-D$13</f>
        <v>-1.0700006500000008</v>
      </c>
      <c r="T119" s="4">
        <f>ABS(Table2234210[[#This Row],[lab-med]])</f>
        <v>1.0700006500000008</v>
      </c>
      <c r="U119" s="4">
        <f>Table2234210[[#This Row],[Ypred]]-F$13</f>
        <v>-3.88237278191081</v>
      </c>
      <c r="V119" s="4">
        <f>ABS(Table2234210[[#This Row],[anl-med]])</f>
        <v>3.88237278191081</v>
      </c>
      <c r="W119" s="4">
        <f>Table2234210[[#This Row],[lab-med]]*Table2234210[[#This Row],[anl-med]]</f>
        <v>4.1541414001868784</v>
      </c>
    </row>
    <row r="120" spans="2:23" x14ac:dyDescent="0.25">
      <c r="B120" s="46">
        <f ca="1">VALUE((Table2234210[[#This Row],[Column3]]-62))</f>
        <v>58</v>
      </c>
      <c r="C120" t="s">
        <v>126</v>
      </c>
      <c r="D120">
        <v>10.2399998</v>
      </c>
      <c r="E120"/>
      <c r="F120" s="78">
        <v>7.5418922266617301</v>
      </c>
      <c r="G120" s="29">
        <f>Table2234210[[#This Row],[Ypred]]-Table2234210[[#This Row],[REF]]</f>
        <v>-2.6981075733382696</v>
      </c>
      <c r="H120" s="29">
        <f>Table2234210[[#This Row],[X-Y]]-E$20</f>
        <v>-2.5409870241706543</v>
      </c>
      <c r="I120" s="29">
        <f>Table2234210[[#This Row],[Ypred]]-E$20</f>
        <v>7.6990127758293454</v>
      </c>
      <c r="J120" s="29">
        <f>Table2234210[[#This Row],[Ypred]]*E$21+E$22</f>
        <v>10.301964189082394</v>
      </c>
      <c r="K120" s="56">
        <f>Table2234210[[#This Row],[Yest]]-Table2234210[[#This Row],[REF]]</f>
        <v>6.1964389082394433E-2</v>
      </c>
      <c r="L120" s="56">
        <f>ABS(Table2234210[[#This Row],[RESyx]])</f>
        <v>6.1964389082394433E-2</v>
      </c>
      <c r="M120" s="29">
        <f>Table2234210[[#This Row],[Ypred]]*E$25+E$26</f>
        <v>9.3618187103563226</v>
      </c>
      <c r="N120" s="29">
        <f>Table2234210[[#This Row],[X-Y]]^2</f>
        <v>7.2797844773053253</v>
      </c>
      <c r="O120" s="57">
        <f>Table2234210[[#This Row],[yest_rect]]-Table2234210[[#This Row],[REF]]</f>
        <v>-0.87818108964367703</v>
      </c>
      <c r="P120" s="57">
        <f>Table2234210[[#This Row],[dif rec]]^2</f>
        <v>0.77120202620775591</v>
      </c>
      <c r="Q120" s="57">
        <f>ABS(Table2234210[[#This Row],[diff-bias]])</f>
        <v>2.5409870241706543</v>
      </c>
      <c r="R120" s="57">
        <f ca="1">CELL("row",Table2234210[[#This Row],[Position]])</f>
        <v>120</v>
      </c>
      <c r="S120" s="4">
        <f>Table2234210[[#This Row],[REF]]-D$13</f>
        <v>-0.77000045000000128</v>
      </c>
      <c r="T120" s="4">
        <f>ABS(Table2234210[[#This Row],[lab-med]])</f>
        <v>0.77000045000000128</v>
      </c>
      <c r="U120" s="4">
        <f>Table2234210[[#This Row],[Ypred]]-F$13</f>
        <v>-3.4537803313505702</v>
      </c>
      <c r="V120" s="4">
        <f>ABS(Table2234210[[#This Row],[anl-med]])</f>
        <v>3.4537803313505702</v>
      </c>
      <c r="W120" s="4">
        <f>Table2234210[[#This Row],[lab-med]]*Table2234210[[#This Row],[anl-med]]</f>
        <v>2.6594124093410927</v>
      </c>
    </row>
    <row r="121" spans="2:23" x14ac:dyDescent="0.25">
      <c r="B121" s="46">
        <f ca="1">VALUE((Table2234210[[#This Row],[Column3]]-62))</f>
        <v>59</v>
      </c>
      <c r="C121" t="s">
        <v>127</v>
      </c>
      <c r="D121">
        <v>11.420000099999999</v>
      </c>
      <c r="E121"/>
      <c r="F121" s="78">
        <v>13.406678982668399</v>
      </c>
      <c r="G121" s="29">
        <f>Table2234210[[#This Row],[Ypred]]-Table2234210[[#This Row],[REF]]</f>
        <v>1.9866788826684001</v>
      </c>
      <c r="H121" s="29">
        <f>Table2234210[[#This Row],[X-Y]]-E$20</f>
        <v>2.1437994318360154</v>
      </c>
      <c r="I121" s="29">
        <f>Table2234210[[#This Row],[Ypred]]-E$20</f>
        <v>13.563799531836015</v>
      </c>
      <c r="J121" s="29">
        <f>Table2234210[[#This Row],[Ypred]]*E$21+E$22</f>
        <v>11.690629481766475</v>
      </c>
      <c r="K121" s="56">
        <f>Table2234210[[#This Row],[Yest]]-Table2234210[[#This Row],[REF]]</f>
        <v>0.27062938176647577</v>
      </c>
      <c r="L121" s="56">
        <f>ABS(Table2234210[[#This Row],[RESyx]])</f>
        <v>0.27062938176647577</v>
      </c>
      <c r="M121" s="29">
        <f>Table2234210[[#This Row],[Ypred]]*E$25+E$26</f>
        <v>12.367189307083033</v>
      </c>
      <c r="N121" s="29">
        <f>Table2234210[[#This Row],[X-Y]]^2</f>
        <v>3.9468929828405628</v>
      </c>
      <c r="O121" s="57">
        <f>Table2234210[[#This Row],[yest_rect]]-Table2234210[[#This Row],[REF]]</f>
        <v>0.94718920708303322</v>
      </c>
      <c r="P121" s="57">
        <f>Table2234210[[#This Row],[dif rec]]^2</f>
        <v>0.89716739401458523</v>
      </c>
      <c r="Q121" s="57">
        <f>ABS(Table2234210[[#This Row],[diff-bias]])</f>
        <v>2.1437994318360154</v>
      </c>
      <c r="R121" s="57">
        <f ca="1">CELL("row",Table2234210[[#This Row],[Position]])</f>
        <v>121</v>
      </c>
      <c r="S121" s="4">
        <f>Table2234210[[#This Row],[REF]]-D$13</f>
        <v>0.40999984999999839</v>
      </c>
      <c r="T121" s="4">
        <f>ABS(Table2234210[[#This Row],[lab-med]])</f>
        <v>0.40999984999999839</v>
      </c>
      <c r="U121" s="4">
        <f>Table2234210[[#This Row],[Ypred]]-F$13</f>
        <v>2.4110064246560992</v>
      </c>
      <c r="V121" s="4">
        <f>ABS(Table2234210[[#This Row],[anl-med]])</f>
        <v>2.4110064246560992</v>
      </c>
      <c r="W121" s="4">
        <f>Table2234210[[#This Row],[lab-med]]*Table2234210[[#This Row],[anl-med]]</f>
        <v>0.98851227245803308</v>
      </c>
    </row>
    <row r="122" spans="2:23" x14ac:dyDescent="0.25">
      <c r="B122" s="46">
        <f ca="1">VALUE((Table2234210[[#This Row],[Column3]]-62))</f>
        <v>60</v>
      </c>
      <c r="C122" t="s">
        <v>128</v>
      </c>
      <c r="D122">
        <v>10.5</v>
      </c>
      <c r="E122"/>
      <c r="F122" s="78">
        <v>8.0736562351448793</v>
      </c>
      <c r="G122" s="29">
        <f>Table2234210[[#This Row],[Ypred]]-Table2234210[[#This Row],[REF]]</f>
        <v>-2.4263437648551207</v>
      </c>
      <c r="H122" s="29">
        <f>Table2234210[[#This Row],[X-Y]]-E$20</f>
        <v>-2.2692232156875054</v>
      </c>
      <c r="I122" s="29">
        <f>Table2234210[[#This Row],[Ypred]]-E$20</f>
        <v>8.2307767843124946</v>
      </c>
      <c r="J122" s="29">
        <f>Table2234210[[#This Row],[Ypred]]*E$21+E$22</f>
        <v>10.42787536935213</v>
      </c>
      <c r="K122" s="56">
        <f>Table2234210[[#This Row],[Yest]]-Table2234210[[#This Row],[REF]]</f>
        <v>-7.2124630647870447E-2</v>
      </c>
      <c r="L122" s="56">
        <f>ABS(Table2234210[[#This Row],[RESyx]])</f>
        <v>7.2124630647870447E-2</v>
      </c>
      <c r="M122" s="29">
        <f>Table2234210[[#This Row],[Ypred]]*E$25+E$26</f>
        <v>9.6343176062208613</v>
      </c>
      <c r="N122" s="29">
        <f>Table2234210[[#This Row],[X-Y]]^2</f>
        <v>5.8871440652513209</v>
      </c>
      <c r="O122" s="57">
        <f>Table2234210[[#This Row],[yest_rect]]-Table2234210[[#This Row],[REF]]</f>
        <v>-0.86568239377913869</v>
      </c>
      <c r="P122" s="57">
        <f>Table2234210[[#This Row],[dif rec]]^2</f>
        <v>0.7494060068991798</v>
      </c>
      <c r="Q122" s="57">
        <f>ABS(Table2234210[[#This Row],[diff-bias]])</f>
        <v>2.2692232156875054</v>
      </c>
      <c r="R122" s="57">
        <f ca="1">CELL("row",Table2234210[[#This Row],[Position]])</f>
        <v>122</v>
      </c>
      <c r="S122" s="4">
        <f>Table2234210[[#This Row],[REF]]-D$13</f>
        <v>-0.51000025000000093</v>
      </c>
      <c r="T122" s="4">
        <f>ABS(Table2234210[[#This Row],[lab-med]])</f>
        <v>0.51000025000000093</v>
      </c>
      <c r="U122" s="4">
        <f>Table2234210[[#This Row],[Ypred]]-F$13</f>
        <v>-2.922016322867421</v>
      </c>
      <c r="V122" s="4">
        <f>ABS(Table2234210[[#This Row],[anl-med]])</f>
        <v>2.922016322867421</v>
      </c>
      <c r="W122" s="4">
        <f>Table2234210[[#This Row],[lab-med]]*Table2234210[[#This Row],[anl-med]]</f>
        <v>1.4902290551664681</v>
      </c>
    </row>
    <row r="123" spans="2:23" x14ac:dyDescent="0.25">
      <c r="B123" s="46">
        <f ca="1">VALUE((Table2234210[[#This Row],[Column3]]-62))</f>
        <v>61</v>
      </c>
      <c r="C123" t="s">
        <v>129</v>
      </c>
      <c r="D123">
        <v>13.140000300000001</v>
      </c>
      <c r="E123"/>
      <c r="F123" s="78">
        <v>12.8553459724862</v>
      </c>
      <c r="G123" s="29">
        <f>Table2234210[[#This Row],[Ypred]]-Table2234210[[#This Row],[REF]]</f>
        <v>-0.28465432751380071</v>
      </c>
      <c r="H123" s="29">
        <f>Table2234210[[#This Row],[X-Y]]-E$20</f>
        <v>-0.1275337783461854</v>
      </c>
      <c r="I123" s="29">
        <f>Table2234210[[#This Row],[Ypred]]-E$20</f>
        <v>13.012466521653815</v>
      </c>
      <c r="J123" s="29">
        <f>Table2234210[[#This Row],[Ypred]]*E$21+E$22</f>
        <v>11.56008474965547</v>
      </c>
      <c r="K123" s="56">
        <f>Table2234210[[#This Row],[Yest]]-Table2234210[[#This Row],[REF]]</f>
        <v>-1.5799155503445306</v>
      </c>
      <c r="L123" s="56">
        <f>ABS(Table2234210[[#This Row],[RESyx]])</f>
        <v>1.5799155503445306</v>
      </c>
      <c r="M123" s="29">
        <f>Table2234210[[#This Row],[Ypred]]*E$25+E$26</f>
        <v>12.084662407684796</v>
      </c>
      <c r="N123" s="29">
        <f>Table2234210[[#This Row],[X-Y]]^2</f>
        <v>8.1028086172334118E-2</v>
      </c>
      <c r="O123" s="57">
        <f>Table2234210[[#This Row],[yest_rect]]-Table2234210[[#This Row],[REF]]</f>
        <v>-1.0553378923152046</v>
      </c>
      <c r="P123" s="57">
        <f>Table2234210[[#This Row],[dif rec]]^2</f>
        <v>1.1137380669562984</v>
      </c>
      <c r="Q123" s="57">
        <f>ABS(Table2234210[[#This Row],[diff-bias]])</f>
        <v>0.1275337783461854</v>
      </c>
      <c r="R123" s="57">
        <f ca="1">CELL("row",Table2234210[[#This Row],[Position]])</f>
        <v>123</v>
      </c>
      <c r="S123" s="4">
        <f>Table2234210[[#This Row],[REF]]-D$13</f>
        <v>2.1300000499999996</v>
      </c>
      <c r="T123" s="4">
        <f>ABS(Table2234210[[#This Row],[lab-med]])</f>
        <v>2.1300000499999996</v>
      </c>
      <c r="U123" s="4">
        <f>Table2234210[[#This Row],[Ypred]]-F$13</f>
        <v>1.8596734144738996</v>
      </c>
      <c r="V123" s="4">
        <f>ABS(Table2234210[[#This Row],[anl-med]])</f>
        <v>1.8596734144738996</v>
      </c>
      <c r="W123" s="4">
        <f>Table2234210[[#This Row],[lab-med]]*Table2234210[[#This Row],[anl-med]]</f>
        <v>3.9611044658130758</v>
      </c>
    </row>
    <row r="124" spans="2:23" x14ac:dyDescent="0.25">
      <c r="B124" s="46">
        <f ca="1">VALUE((Table2234210[[#This Row],[Column3]]-62))</f>
        <v>62</v>
      </c>
      <c r="C124" t="s">
        <v>130</v>
      </c>
      <c r="D124">
        <v>11.699999800000001</v>
      </c>
      <c r="E124"/>
      <c r="F124" s="78">
        <v>8.3754403014754608</v>
      </c>
      <c r="G124" s="29">
        <f>Table2234210[[#This Row],[Ypred]]-Table2234210[[#This Row],[REF]]</f>
        <v>-3.3245594985245397</v>
      </c>
      <c r="H124" s="29">
        <f>Table2234210[[#This Row],[X-Y]]-E$20</f>
        <v>-3.1674389493569244</v>
      </c>
      <c r="I124" s="29">
        <f>Table2234210[[#This Row],[Ypred]]-E$20</f>
        <v>8.5325608506430761</v>
      </c>
      <c r="J124" s="29">
        <f>Table2234210[[#This Row],[Ypred]]*E$21+E$22</f>
        <v>10.499331856387933</v>
      </c>
      <c r="K124" s="56">
        <f>Table2234210[[#This Row],[Yest]]-Table2234210[[#This Row],[REF]]</f>
        <v>-1.2006679436120677</v>
      </c>
      <c r="L124" s="56">
        <f>ABS(Table2234210[[#This Row],[RESyx]])</f>
        <v>1.2006679436120677</v>
      </c>
      <c r="M124" s="29">
        <f>Table2234210[[#This Row],[Ypred]]*E$25+E$26</f>
        <v>9.7889648248229086</v>
      </c>
      <c r="N124" s="29">
        <f>Table2234210[[#This Row],[X-Y]]^2</f>
        <v>11.052695859229738</v>
      </c>
      <c r="O124" s="57">
        <f>Table2234210[[#This Row],[yest_rect]]-Table2234210[[#This Row],[REF]]</f>
        <v>-1.9110349751770919</v>
      </c>
      <c r="P124" s="57">
        <f>Table2234210[[#This Row],[dif rec]]^2</f>
        <v>3.6520546763501081</v>
      </c>
      <c r="Q124" s="57">
        <f>ABS(Table2234210[[#This Row],[diff-bias]])</f>
        <v>3.1674389493569244</v>
      </c>
      <c r="R124" s="57">
        <f ca="1">CELL("row",Table2234210[[#This Row],[Position]])</f>
        <v>124</v>
      </c>
      <c r="S124" s="4">
        <f>Table2234210[[#This Row],[REF]]-D$13</f>
        <v>0.68999954999999957</v>
      </c>
      <c r="T124" s="4">
        <f>ABS(Table2234210[[#This Row],[lab-med]])</f>
        <v>0.68999954999999957</v>
      </c>
      <c r="U124" s="4">
        <f>Table2234210[[#This Row],[Ypred]]-F$13</f>
        <v>-2.6202322565368394</v>
      </c>
      <c r="V124" s="4">
        <f>ABS(Table2234210[[#This Row],[anl-med]])</f>
        <v>2.6202322565368394</v>
      </c>
      <c r="W124" s="4">
        <f>Table2234210[[#This Row],[lab-med]]*Table2234210[[#This Row],[anl-med]]</f>
        <v>-1.8079590779059027</v>
      </c>
    </row>
    <row r="125" spans="2:23" x14ac:dyDescent="0.25">
      <c r="B125" s="46">
        <f ca="1">VALUE((Table2234210[[#This Row],[Column3]]-62))</f>
        <v>63</v>
      </c>
      <c r="C125" t="s">
        <v>131</v>
      </c>
      <c r="D125">
        <v>10.3800001</v>
      </c>
      <c r="E125"/>
      <c r="F125" s="78">
        <v>11.845249619946101</v>
      </c>
      <c r="G125" s="29">
        <f>Table2234210[[#This Row],[Ypred]]-Table2234210[[#This Row],[REF]]</f>
        <v>1.4652495199461004</v>
      </c>
      <c r="H125" s="29">
        <f>Table2234210[[#This Row],[X-Y]]-E$20</f>
        <v>1.6223700691137157</v>
      </c>
      <c r="I125" s="29">
        <f>Table2234210[[#This Row],[Ypred]]-E$20</f>
        <v>12.002370169113716</v>
      </c>
      <c r="J125" s="29">
        <f>Table2234210[[#This Row],[Ypred]]*E$21+E$22</f>
        <v>11.320913948500152</v>
      </c>
      <c r="K125" s="56">
        <f>Table2234210[[#This Row],[Yest]]-Table2234210[[#This Row],[REF]]</f>
        <v>0.94091384850015203</v>
      </c>
      <c r="L125" s="56">
        <f>ABS(Table2234210[[#This Row],[RESyx]])</f>
        <v>0.94091384850015203</v>
      </c>
      <c r="M125" s="29">
        <f>Table2234210[[#This Row],[Ypred]]*E$25+E$26</f>
        <v>11.567045313648809</v>
      </c>
      <c r="N125" s="29">
        <f>Table2234210[[#This Row],[X-Y]]^2</f>
        <v>2.1469561557022776</v>
      </c>
      <c r="O125" s="57">
        <f>Table2234210[[#This Row],[yest_rect]]-Table2234210[[#This Row],[REF]]</f>
        <v>1.1870452136488083</v>
      </c>
      <c r="P125" s="57">
        <f>Table2234210[[#This Row],[dif rec]]^2</f>
        <v>1.4090763392465451</v>
      </c>
      <c r="Q125" s="57">
        <f>ABS(Table2234210[[#This Row],[diff-bias]])</f>
        <v>1.6223700691137157</v>
      </c>
      <c r="R125" s="57">
        <f ca="1">CELL("row",Table2234210[[#This Row],[Position]])</f>
        <v>125</v>
      </c>
      <c r="S125" s="4">
        <f>Table2234210[[#This Row],[REF]]-D$13</f>
        <v>-0.63000015000000076</v>
      </c>
      <c r="T125" s="4">
        <f>ABS(Table2234210[[#This Row],[lab-med]])</f>
        <v>0.63000015000000076</v>
      </c>
      <c r="U125" s="4">
        <f>Table2234210[[#This Row],[Ypred]]-F$13</f>
        <v>0.84957706193380034</v>
      </c>
      <c r="V125" s="4">
        <f>ABS(Table2234210[[#This Row],[anl-med]])</f>
        <v>0.84957706193380034</v>
      </c>
      <c r="W125" s="4">
        <f>Table2234210[[#This Row],[lab-med]]*Table2234210[[#This Row],[anl-med]]</f>
        <v>-0.5352336764548542</v>
      </c>
    </row>
    <row r="126" spans="2:23" x14ac:dyDescent="0.25">
      <c r="B126" s="46">
        <f ca="1">VALUE((Table2234210[[#This Row],[Column3]]-62))</f>
        <v>64</v>
      </c>
      <c r="C126" t="s">
        <v>132</v>
      </c>
      <c r="D126">
        <v>13.350000400000001</v>
      </c>
      <c r="E126"/>
      <c r="F126" s="78">
        <v>10.9727358181699</v>
      </c>
      <c r="G126" s="29">
        <f>Table2234210[[#This Row],[Ypred]]-Table2234210[[#This Row],[REF]]</f>
        <v>-2.3772645818301008</v>
      </c>
      <c r="H126" s="29">
        <f>Table2234210[[#This Row],[X-Y]]-E$20</f>
        <v>-2.2201440326624855</v>
      </c>
      <c r="I126" s="29">
        <f>Table2234210[[#This Row],[Ypred]]-E$20</f>
        <v>11.129856367337515</v>
      </c>
      <c r="J126" s="29">
        <f>Table2234210[[#This Row],[Ypred]]*E$21+E$22</f>
        <v>11.114319969158361</v>
      </c>
      <c r="K126" s="56">
        <f>Table2234210[[#This Row],[Yest]]-Table2234210[[#This Row],[REF]]</f>
        <v>-2.23568043084164</v>
      </c>
      <c r="L126" s="56">
        <f>ABS(Table2234210[[#This Row],[RESyx]])</f>
        <v>2.23568043084164</v>
      </c>
      <c r="M126" s="29">
        <f>Table2234210[[#This Row],[Ypred]]*E$25+E$26</f>
        <v>11.119931474017594</v>
      </c>
      <c r="N126" s="29">
        <f>Table2234210[[#This Row],[X-Y]]^2</f>
        <v>5.6513868920238437</v>
      </c>
      <c r="O126" s="57">
        <f>Table2234210[[#This Row],[yest_rect]]-Table2234210[[#This Row],[REF]]</f>
        <v>-2.2300689259824065</v>
      </c>
      <c r="P126" s="57">
        <f>Table2234210[[#This Row],[dif rec]]^2</f>
        <v>4.9732074146323235</v>
      </c>
      <c r="Q126" s="57">
        <f>ABS(Table2234210[[#This Row],[diff-bias]])</f>
        <v>2.2201440326624855</v>
      </c>
      <c r="R126" s="57">
        <f ca="1">CELL("row",Table2234210[[#This Row],[Position]])</f>
        <v>126</v>
      </c>
      <c r="S126" s="4">
        <f>Table2234210[[#This Row],[REF]]-D$13</f>
        <v>2.3400001499999998</v>
      </c>
      <c r="T126" s="4">
        <f>ABS(Table2234210[[#This Row],[lab-med]])</f>
        <v>2.3400001499999998</v>
      </c>
      <c r="U126" s="4">
        <f>Table2234210[[#This Row],[Ypred]]-F$13</f>
        <v>-2.29367398424003E-2</v>
      </c>
      <c r="V126" s="4">
        <f>ABS(Table2234210[[#This Row],[anl-med]])</f>
        <v>2.29367398424003E-2</v>
      </c>
      <c r="W126" s="4">
        <f>Table2234210[[#This Row],[lab-med]]*Table2234210[[#This Row],[anl-med]]</f>
        <v>-5.3671974671727678E-2</v>
      </c>
    </row>
    <row r="127" spans="2:23" x14ac:dyDescent="0.25">
      <c r="B127" s="46">
        <f ca="1">VALUE((Table2234210[[#This Row],[Column3]]-62))</f>
        <v>65</v>
      </c>
      <c r="C127" t="s">
        <v>133</v>
      </c>
      <c r="D127">
        <v>12.6599998</v>
      </c>
      <c r="E127"/>
      <c r="F127" s="78">
        <v>15.262935384904299</v>
      </c>
      <c r="G127" s="29">
        <f>Table2234210[[#This Row],[Ypred]]-Table2234210[[#This Row],[REF]]</f>
        <v>2.6029355849042997</v>
      </c>
      <c r="H127" s="29">
        <f>Table2234210[[#This Row],[X-Y]]-E$20</f>
        <v>2.760056134071915</v>
      </c>
      <c r="I127" s="29">
        <f>Table2234210[[#This Row],[Ypred]]-E$20</f>
        <v>15.420055934071915</v>
      </c>
      <c r="J127" s="29">
        <f>Table2234210[[#This Row],[Ypred]]*E$21+E$22</f>
        <v>12.13015421597229</v>
      </c>
      <c r="K127" s="56">
        <f>Table2234210[[#This Row],[Yest]]-Table2234210[[#This Row],[REF]]</f>
        <v>-0.52984558402770965</v>
      </c>
      <c r="L127" s="56">
        <f>ABS(Table2234210[[#This Row],[RESyx]])</f>
        <v>0.52984558402770965</v>
      </c>
      <c r="M127" s="29">
        <f>Table2234210[[#This Row],[Ypred]]*E$25+E$26</f>
        <v>13.31841543743667</v>
      </c>
      <c r="N127" s="29">
        <f>Table2234210[[#This Row],[X-Y]]^2</f>
        <v>6.7752736591610887</v>
      </c>
      <c r="O127" s="57">
        <f>Table2234210[[#This Row],[yest_rect]]-Table2234210[[#This Row],[REF]]</f>
        <v>0.65841563743667031</v>
      </c>
      <c r="P127" s="57">
        <f>Table2234210[[#This Row],[dif rec]]^2</f>
        <v>0.4335111516211369</v>
      </c>
      <c r="Q127" s="57">
        <f>ABS(Table2234210[[#This Row],[diff-bias]])</f>
        <v>2.760056134071915</v>
      </c>
      <c r="R127" s="57">
        <f ca="1">CELL("row",Table2234210[[#This Row],[Position]])</f>
        <v>127</v>
      </c>
      <c r="S127" s="4">
        <f>Table2234210[[#This Row],[REF]]-D$13</f>
        <v>1.6499995499999986</v>
      </c>
      <c r="T127" s="4">
        <f>ABS(Table2234210[[#This Row],[lab-med]])</f>
        <v>1.6499995499999986</v>
      </c>
      <c r="U127" s="4">
        <f>Table2234210[[#This Row],[Ypred]]-F$13</f>
        <v>4.267262826891999</v>
      </c>
      <c r="V127" s="4">
        <f>ABS(Table2234210[[#This Row],[anl-med]])</f>
        <v>4.267262826891999</v>
      </c>
      <c r="W127" s="4">
        <f>Table2234210[[#This Row],[lab-med]]*Table2234210[[#This Row],[anl-med]]</f>
        <v>7.0409817441035205</v>
      </c>
    </row>
    <row r="128" spans="2:23" x14ac:dyDescent="0.25">
      <c r="B128" s="46">
        <f ca="1">VALUE((Table2234210[[#This Row],[Column3]]-62))</f>
        <v>66</v>
      </c>
      <c r="C128" t="s">
        <v>134</v>
      </c>
      <c r="D128">
        <v>11.9899998</v>
      </c>
      <c r="E128"/>
      <c r="F128" s="78">
        <v>13.263479653011</v>
      </c>
      <c r="G128" s="29">
        <f>Table2234210[[#This Row],[Ypred]]-Table2234210[[#This Row],[REF]]</f>
        <v>1.2734798530110005</v>
      </c>
      <c r="H128" s="29">
        <f>Table2234210[[#This Row],[X-Y]]-E$20</f>
        <v>1.4306004021786158</v>
      </c>
      <c r="I128" s="29">
        <f>Table2234210[[#This Row],[Ypred]]-E$20</f>
        <v>13.420600202178615</v>
      </c>
      <c r="J128" s="29">
        <f>Table2234210[[#This Row],[Ypred]]*E$21+E$22</f>
        <v>11.656722718007812</v>
      </c>
      <c r="K128" s="56">
        <f>Table2234210[[#This Row],[Yest]]-Table2234210[[#This Row],[REF]]</f>
        <v>-0.33327708199218797</v>
      </c>
      <c r="L128" s="56">
        <f>ABS(Table2234210[[#This Row],[RESyx]])</f>
        <v>0.33327708199218797</v>
      </c>
      <c r="M128" s="29">
        <f>Table2234210[[#This Row],[Ypred]]*E$25+E$26</f>
        <v>12.29380777204554</v>
      </c>
      <c r="N128" s="29">
        <f>Table2234210[[#This Row],[X-Y]]^2</f>
        <v>1.6217509360249196</v>
      </c>
      <c r="O128" s="57">
        <f>Table2234210[[#This Row],[yest_rect]]-Table2234210[[#This Row],[REF]]</f>
        <v>0.30380797204554</v>
      </c>
      <c r="P128" s="57">
        <f>Table2234210[[#This Row],[dif rec]]^2</f>
        <v>9.2299283878423607E-2</v>
      </c>
      <c r="Q128" s="57">
        <f>ABS(Table2234210[[#This Row],[diff-bias]])</f>
        <v>1.4306004021786158</v>
      </c>
      <c r="R128" s="57">
        <f ca="1">CELL("row",Table2234210[[#This Row],[Position]])</f>
        <v>128</v>
      </c>
      <c r="S128" s="4">
        <f>Table2234210[[#This Row],[REF]]-D$13</f>
        <v>0.97999954999999872</v>
      </c>
      <c r="T128" s="4">
        <f>ABS(Table2234210[[#This Row],[lab-med]])</f>
        <v>0.97999954999999872</v>
      </c>
      <c r="U128" s="4">
        <f>Table2234210[[#This Row],[Ypred]]-F$13</f>
        <v>2.2678070949986999</v>
      </c>
      <c r="V128" s="4">
        <f>ABS(Table2234210[[#This Row],[anl-med]])</f>
        <v>2.2678070949986999</v>
      </c>
      <c r="W128" s="4">
        <f>Table2234210[[#This Row],[lab-med]]*Table2234210[[#This Row],[anl-med]]</f>
        <v>2.2224499325855303</v>
      </c>
    </row>
    <row r="129" spans="2:23" x14ac:dyDescent="0.25">
      <c r="B129" s="46">
        <f ca="1">VALUE((Table2234210[[#This Row],[Column3]]-62))</f>
        <v>67</v>
      </c>
      <c r="C129" t="s">
        <v>135</v>
      </c>
      <c r="D129">
        <v>12</v>
      </c>
      <c r="E129"/>
      <c r="F129" s="78">
        <v>13.4553926026783</v>
      </c>
      <c r="G129" s="29">
        <f>Table2234210[[#This Row],[Ypred]]-Table2234210[[#This Row],[REF]]</f>
        <v>1.4553926026783</v>
      </c>
      <c r="H129" s="29">
        <f>Table2234210[[#This Row],[X-Y]]-E$20</f>
        <v>1.6125131518459153</v>
      </c>
      <c r="I129" s="29">
        <f>Table2234210[[#This Row],[Ypred]]-E$20</f>
        <v>13.612513151845915</v>
      </c>
      <c r="J129" s="29">
        <f>Table2234210[[#This Row],[Ypred]]*E$21+E$22</f>
        <v>11.70216390172121</v>
      </c>
      <c r="K129" s="56">
        <f>Table2234210[[#This Row],[Yest]]-Table2234210[[#This Row],[REF]]</f>
        <v>-0.29783609827878976</v>
      </c>
      <c r="L129" s="56">
        <f>ABS(Table2234210[[#This Row],[RESyx]])</f>
        <v>0.29783609827878976</v>
      </c>
      <c r="M129" s="29">
        <f>Table2234210[[#This Row],[Ypred]]*E$25+E$26</f>
        <v>12.392152274592112</v>
      </c>
      <c r="N129" s="29">
        <f>Table2234210[[#This Row],[X-Y]]^2</f>
        <v>2.118167627930716</v>
      </c>
      <c r="O129" s="57">
        <f>Table2234210[[#This Row],[yest_rect]]-Table2234210[[#This Row],[REF]]</f>
        <v>0.39215227459211199</v>
      </c>
      <c r="P129" s="57">
        <f>Table2234210[[#This Row],[dif rec]]^2</f>
        <v>0.1537834064677672</v>
      </c>
      <c r="Q129" s="57">
        <f>ABS(Table2234210[[#This Row],[diff-bias]])</f>
        <v>1.6125131518459153</v>
      </c>
      <c r="R129" s="57">
        <f ca="1">CELL("row",Table2234210[[#This Row],[Position]])</f>
        <v>129</v>
      </c>
      <c r="S129" s="4">
        <f>Table2234210[[#This Row],[REF]]-D$13</f>
        <v>0.98999974999999907</v>
      </c>
      <c r="T129" s="4">
        <f>ABS(Table2234210[[#This Row],[lab-med]])</f>
        <v>0.98999974999999907</v>
      </c>
      <c r="U129" s="4">
        <f>Table2234210[[#This Row],[Ypred]]-F$13</f>
        <v>2.4597200446659997</v>
      </c>
      <c r="V129" s="4">
        <f>ABS(Table2234210[[#This Row],[anl-med]])</f>
        <v>2.4597200446659997</v>
      </c>
      <c r="W129" s="4">
        <f>Table2234210[[#This Row],[lab-med]]*Table2234210[[#This Row],[anl-med]]</f>
        <v>2.4351222292893264</v>
      </c>
    </row>
    <row r="130" spans="2:23" x14ac:dyDescent="0.25">
      <c r="B130" s="46">
        <f ca="1">VALUE((Table2234210[[#This Row],[Column3]]-62))</f>
        <v>68</v>
      </c>
      <c r="C130" t="s">
        <v>136</v>
      </c>
      <c r="D130">
        <v>12</v>
      </c>
      <c r="E130"/>
      <c r="F130" s="78">
        <v>11.0954957906579</v>
      </c>
      <c r="G130" s="29">
        <f>Table2234210[[#This Row],[Ypred]]-Table2234210[[#This Row],[REF]]</f>
        <v>-0.9045042093421003</v>
      </c>
      <c r="H130" s="29">
        <f>Table2234210[[#This Row],[X-Y]]-E$20</f>
        <v>-0.74738366017448499</v>
      </c>
      <c r="I130" s="29">
        <f>Table2234210[[#This Row],[Ypred]]-E$20</f>
        <v>11.252616339825515</v>
      </c>
      <c r="J130" s="29">
        <f>Table2234210[[#This Row],[Ypred]]*E$21+E$22</f>
        <v>11.143387098146528</v>
      </c>
      <c r="K130" s="56">
        <f>Table2234210[[#This Row],[Yest]]-Table2234210[[#This Row],[REF]]</f>
        <v>-0.85661290185347205</v>
      </c>
      <c r="L130" s="56">
        <f>ABS(Table2234210[[#This Row],[RESyx]])</f>
        <v>0.85661290185347205</v>
      </c>
      <c r="M130" s="29">
        <f>Table2234210[[#This Row],[Ypred]]*E$25+E$26</f>
        <v>11.182838997704206</v>
      </c>
      <c r="N130" s="29">
        <f>Table2234210[[#This Row],[X-Y]]^2</f>
        <v>0.81812786471757803</v>
      </c>
      <c r="O130" s="57">
        <f>Table2234210[[#This Row],[yest_rect]]-Table2234210[[#This Row],[REF]]</f>
        <v>-0.81716100229579425</v>
      </c>
      <c r="P130" s="57">
        <f>Table2234210[[#This Row],[dif rec]]^2</f>
        <v>0.66775210367306703</v>
      </c>
      <c r="Q130" s="57">
        <f>ABS(Table2234210[[#This Row],[diff-bias]])</f>
        <v>0.74738366017448499</v>
      </c>
      <c r="R130" s="57">
        <f ca="1">CELL("row",Table2234210[[#This Row],[Position]])</f>
        <v>130</v>
      </c>
      <c r="S130" s="4">
        <f>Table2234210[[#This Row],[REF]]-D$13</f>
        <v>0.98999974999999907</v>
      </c>
      <c r="T130" s="4">
        <f>ABS(Table2234210[[#This Row],[lab-med]])</f>
        <v>0.98999974999999907</v>
      </c>
      <c r="U130" s="4">
        <f>Table2234210[[#This Row],[Ypred]]-F$13</f>
        <v>9.9823232645599447E-2</v>
      </c>
      <c r="V130" s="4">
        <f>ABS(Table2234210[[#This Row],[anl-med]])</f>
        <v>9.9823232645599447E-2</v>
      </c>
      <c r="W130" s="4">
        <f>Table2234210[[#This Row],[lab-med]]*Table2234210[[#This Row],[anl-med]]</f>
        <v>9.8824975363335205E-2</v>
      </c>
    </row>
    <row r="131" spans="2:23" x14ac:dyDescent="0.25">
      <c r="B131" s="46">
        <f ca="1">VALUE((Table2234210[[#This Row],[Column3]]-62))</f>
        <v>69</v>
      </c>
      <c r="C131" t="s">
        <v>137</v>
      </c>
      <c r="D131">
        <v>13.1599998</v>
      </c>
      <c r="E131"/>
      <c r="F131" s="78">
        <v>11.5945638371632</v>
      </c>
      <c r="G131" s="29">
        <f>Table2234210[[#This Row],[Ypred]]-Table2234210[[#This Row],[REF]]</f>
        <v>-1.5654359628367995</v>
      </c>
      <c r="H131" s="29">
        <f>Table2234210[[#This Row],[X-Y]]-E$20</f>
        <v>-1.4083154136691842</v>
      </c>
      <c r="I131" s="29">
        <f>Table2234210[[#This Row],[Ypred]]-E$20</f>
        <v>11.751684386330815</v>
      </c>
      <c r="J131" s="29">
        <f>Table2234210[[#This Row],[Ypred]]*E$21+E$22</f>
        <v>11.261556522492562</v>
      </c>
      <c r="K131" s="56">
        <f>Table2234210[[#This Row],[Yest]]-Table2234210[[#This Row],[REF]]</f>
        <v>-1.8984432775074378</v>
      </c>
      <c r="L131" s="56">
        <f>ABS(Table2234210[[#This Row],[RESyx]])</f>
        <v>1.8984432775074378</v>
      </c>
      <c r="M131" s="29">
        <f>Table2234210[[#This Row],[Ypred]]*E$25+E$26</f>
        <v>11.43858306737506</v>
      </c>
      <c r="N131" s="29">
        <f>Table2234210[[#This Row],[X-Y]]^2</f>
        <v>2.4505897537427774</v>
      </c>
      <c r="O131" s="57">
        <f>Table2234210[[#This Row],[yest_rect]]-Table2234210[[#This Row],[REF]]</f>
        <v>-1.7214167326249399</v>
      </c>
      <c r="P131" s="57">
        <f>Table2234210[[#This Row],[dif rec]]^2</f>
        <v>2.9632755673611237</v>
      </c>
      <c r="Q131" s="57">
        <f>ABS(Table2234210[[#This Row],[diff-bias]])</f>
        <v>1.4083154136691842</v>
      </c>
      <c r="R131" s="57">
        <f ca="1">CELL("row",Table2234210[[#This Row],[Position]])</f>
        <v>131</v>
      </c>
      <c r="S131" s="4">
        <f>Table2234210[[#This Row],[REF]]-D$13</f>
        <v>2.1499995499999986</v>
      </c>
      <c r="T131" s="4">
        <f>ABS(Table2234210[[#This Row],[lab-med]])</f>
        <v>2.1499995499999986</v>
      </c>
      <c r="U131" s="4">
        <f>Table2234210[[#This Row],[Ypred]]-F$13</f>
        <v>0.59889127915089979</v>
      </c>
      <c r="V131" s="4">
        <f>ABS(Table2234210[[#This Row],[anl-med]])</f>
        <v>0.59889127915089979</v>
      </c>
      <c r="W131" s="4">
        <f>Table2234210[[#This Row],[lab-med]]*Table2234210[[#This Row],[anl-med]]</f>
        <v>1.287615980673358</v>
      </c>
    </row>
    <row r="132" spans="2:23" x14ac:dyDescent="0.25">
      <c r="B132" s="46">
        <f ca="1">VALUE((Table2234210[[#This Row],[Column3]]-62))</f>
        <v>70</v>
      </c>
      <c r="C132" t="s">
        <v>138</v>
      </c>
      <c r="D132">
        <v>12.170000099999999</v>
      </c>
      <c r="E132"/>
      <c r="F132" s="78">
        <v>9.6210224932874606</v>
      </c>
      <c r="G132" s="29">
        <f>Table2234210[[#This Row],[Ypred]]-Table2234210[[#This Row],[REF]]</f>
        <v>-2.5489776067125387</v>
      </c>
      <c r="H132" s="29">
        <f>Table2234210[[#This Row],[X-Y]]-E$20</f>
        <v>-2.3918570575449234</v>
      </c>
      <c r="I132" s="29">
        <f>Table2234210[[#This Row],[Ypred]]-E$20</f>
        <v>9.7781430424550759</v>
      </c>
      <c r="J132" s="29">
        <f>Table2234210[[#This Row],[Ypred]]*E$21+E$22</f>
        <v>10.794261038115325</v>
      </c>
      <c r="K132" s="56">
        <f>Table2234210[[#This Row],[Yest]]-Table2234210[[#This Row],[REF]]</f>
        <v>-1.3757390618846745</v>
      </c>
      <c r="L132" s="56">
        <f>ABS(Table2234210[[#This Row],[RESyx]])</f>
        <v>1.3757390618846745</v>
      </c>
      <c r="M132" s="29">
        <f>Table2234210[[#This Row],[Ypred]]*E$25+E$26</f>
        <v>10.427255056133397</v>
      </c>
      <c r="N132" s="29">
        <f>Table2234210[[#This Row],[X-Y]]^2</f>
        <v>6.4972868395219816</v>
      </c>
      <c r="O132" s="57">
        <f>Table2234210[[#This Row],[yest_rect]]-Table2234210[[#This Row],[REF]]</f>
        <v>-1.7427450438666021</v>
      </c>
      <c r="P132" s="57">
        <f>Table2234210[[#This Row],[dif rec]]^2</f>
        <v>3.0371602879216049</v>
      </c>
      <c r="Q132" s="57">
        <f>ABS(Table2234210[[#This Row],[diff-bias]])</f>
        <v>2.3918570575449234</v>
      </c>
      <c r="R132" s="57">
        <f ca="1">CELL("row",Table2234210[[#This Row],[Position]])</f>
        <v>132</v>
      </c>
      <c r="S132" s="4">
        <f>Table2234210[[#This Row],[REF]]-D$13</f>
        <v>1.1599998499999984</v>
      </c>
      <c r="T132" s="4">
        <f>ABS(Table2234210[[#This Row],[lab-med]])</f>
        <v>1.1599998499999984</v>
      </c>
      <c r="U132" s="4">
        <f>Table2234210[[#This Row],[Ypred]]-F$13</f>
        <v>-1.3746500647248396</v>
      </c>
      <c r="V132" s="4">
        <f>ABS(Table2234210[[#This Row],[anl-med]])</f>
        <v>1.3746500647248396</v>
      </c>
      <c r="W132" s="4">
        <f>Table2234210[[#This Row],[lab-med]]*Table2234210[[#This Row],[anl-med]]</f>
        <v>-1.5945938688833021</v>
      </c>
    </row>
    <row r="133" spans="2:23" x14ac:dyDescent="0.25">
      <c r="B133" s="46">
        <f ca="1">VALUE((Table2234210[[#This Row],[Column3]]-62))</f>
        <v>71</v>
      </c>
      <c r="C133" t="s">
        <v>139</v>
      </c>
      <c r="D133">
        <v>10.970000300000001</v>
      </c>
      <c r="E133"/>
      <c r="F133" s="78">
        <v>12.473494146128401</v>
      </c>
      <c r="G133" s="29">
        <f>Table2234210[[#This Row],[Ypred]]-Table2234210[[#This Row],[REF]]</f>
        <v>1.5034938461284</v>
      </c>
      <c r="H133" s="29">
        <f>Table2234210[[#This Row],[X-Y]]-E$20</f>
        <v>1.6606143952960153</v>
      </c>
      <c r="I133" s="29">
        <f>Table2234210[[#This Row],[Ypred]]-E$20</f>
        <v>12.630614695296016</v>
      </c>
      <c r="J133" s="29">
        <f>Table2234210[[#This Row],[Ypred]]*E$21+E$22</f>
        <v>11.469669803593192</v>
      </c>
      <c r="K133" s="56">
        <f>Table2234210[[#This Row],[Yest]]-Table2234210[[#This Row],[REF]]</f>
        <v>0.49966950359319107</v>
      </c>
      <c r="L133" s="56">
        <f>ABS(Table2234210[[#This Row],[RESyx]])</f>
        <v>0.49966950359319107</v>
      </c>
      <c r="M133" s="29">
        <f>Table2234210[[#This Row],[Ypred]]*E$25+E$26</f>
        <v>11.888985003034616</v>
      </c>
      <c r="N133" s="29">
        <f>Table2234210[[#This Row],[X-Y]]^2</f>
        <v>2.2604937453459688</v>
      </c>
      <c r="O133" s="57">
        <f>Table2234210[[#This Row],[yest_rect]]-Table2234210[[#This Row],[REF]]</f>
        <v>0.91898470303461544</v>
      </c>
      <c r="P133" s="57">
        <f>Table2234210[[#This Row],[dif rec]]^2</f>
        <v>0.84453288441162033</v>
      </c>
      <c r="Q133" s="57">
        <f>ABS(Table2234210[[#This Row],[diff-bias]])</f>
        <v>1.6606143952960153</v>
      </c>
      <c r="R133" s="57">
        <f ca="1">CELL("row",Table2234210[[#This Row],[Position]])</f>
        <v>133</v>
      </c>
      <c r="S133" s="4">
        <f>Table2234210[[#This Row],[REF]]-D$13</f>
        <v>-3.9999950000000339E-2</v>
      </c>
      <c r="T133" s="4">
        <f>ABS(Table2234210[[#This Row],[lab-med]])</f>
        <v>3.9999950000000339E-2</v>
      </c>
      <c r="U133" s="4">
        <f>Table2234210[[#This Row],[Ypred]]-F$13</f>
        <v>1.4778215881161003</v>
      </c>
      <c r="V133" s="4">
        <f>ABS(Table2234210[[#This Row],[anl-med]])</f>
        <v>1.4778215881161003</v>
      </c>
      <c r="W133" s="4">
        <f>Table2234210[[#This Row],[lab-med]]*Table2234210[[#This Row],[anl-med]]</f>
        <v>-5.9112789633565109E-2</v>
      </c>
    </row>
    <row r="134" spans="2:23" x14ac:dyDescent="0.25">
      <c r="B134" s="46">
        <f ca="1">VALUE((Table2234210[[#This Row],[Column3]]-62))</f>
        <v>72</v>
      </c>
      <c r="C134" t="s">
        <v>140</v>
      </c>
      <c r="D134">
        <v>12.2600002</v>
      </c>
      <c r="E134"/>
      <c r="F134" s="78">
        <v>13.031940093133001</v>
      </c>
      <c r="G134" s="29">
        <f>Table2234210[[#This Row],[Ypred]]-Table2234210[[#This Row],[REF]]</f>
        <v>0.77193989313300015</v>
      </c>
      <c r="H134" s="29">
        <f>Table2234210[[#This Row],[X-Y]]-E$20</f>
        <v>0.92906044230061546</v>
      </c>
      <c r="I134" s="29">
        <f>Table2234210[[#This Row],[Ypred]]-E$20</f>
        <v>13.189060642300616</v>
      </c>
      <c r="J134" s="29">
        <f>Table2234210[[#This Row],[Ypred]]*E$21+E$22</f>
        <v>11.601898738200427</v>
      </c>
      <c r="K134" s="56">
        <f>Table2234210[[#This Row],[Yest]]-Table2234210[[#This Row],[REF]]</f>
        <v>-0.65810146179957307</v>
      </c>
      <c r="L134" s="56">
        <f>ABS(Table2234210[[#This Row],[RESyx]])</f>
        <v>0.65810146179957307</v>
      </c>
      <c r="M134" s="29">
        <f>Table2234210[[#This Row],[Ypred]]*E$25+E$26</f>
        <v>12.175156879150979</v>
      </c>
      <c r="N134" s="29">
        <f>Table2234210[[#This Row],[X-Y]]^2</f>
        <v>0.59589119861018769</v>
      </c>
      <c r="O134" s="57">
        <f>Table2234210[[#This Row],[yest_rect]]-Table2234210[[#This Row],[REF]]</f>
        <v>-8.4843320849021353E-2</v>
      </c>
      <c r="P134" s="57">
        <f>Table2234210[[#This Row],[dif rec]]^2</f>
        <v>7.198389092689981E-3</v>
      </c>
      <c r="Q134" s="57">
        <f>ABS(Table2234210[[#This Row],[diff-bias]])</f>
        <v>0.92906044230061546</v>
      </c>
      <c r="R134" s="57">
        <f ca="1">CELL("row",Table2234210[[#This Row],[Position]])</f>
        <v>134</v>
      </c>
      <c r="S134" s="4">
        <f>Table2234210[[#This Row],[REF]]-D$13</f>
        <v>1.2499999499999994</v>
      </c>
      <c r="T134" s="4">
        <f>ABS(Table2234210[[#This Row],[lab-med]])</f>
        <v>1.2499999499999994</v>
      </c>
      <c r="U134" s="4">
        <f>Table2234210[[#This Row],[Ypred]]-F$13</f>
        <v>2.0362675351207002</v>
      </c>
      <c r="V134" s="4">
        <f>ABS(Table2234210[[#This Row],[anl-med]])</f>
        <v>2.0362675351207002</v>
      </c>
      <c r="W134" s="4">
        <f>Table2234210[[#This Row],[lab-med]]*Table2234210[[#This Row],[anl-med]]</f>
        <v>2.5453343170874976</v>
      </c>
    </row>
    <row r="135" spans="2:23" x14ac:dyDescent="0.25">
      <c r="B135" s="46">
        <f ca="1">VALUE((Table2234210[[#This Row],[Column3]]-62))</f>
        <v>73</v>
      </c>
      <c r="C135" t="s">
        <v>141</v>
      </c>
      <c r="D135">
        <v>13.029999699999999</v>
      </c>
      <c r="E135"/>
      <c r="F135" s="78">
        <v>10.590213604227801</v>
      </c>
      <c r="G135" s="29">
        <f>Table2234210[[#This Row],[Ypred]]-Table2234210[[#This Row],[REF]]</f>
        <v>-2.4397860957721988</v>
      </c>
      <c r="H135" s="29">
        <f>Table2234210[[#This Row],[X-Y]]-E$20</f>
        <v>-2.2826655466045835</v>
      </c>
      <c r="I135" s="29">
        <f>Table2234210[[#This Row],[Ypred]]-E$20</f>
        <v>10.747334153395416</v>
      </c>
      <c r="J135" s="29">
        <f>Table2234210[[#This Row],[Ypred]]*E$21+E$22</f>
        <v>11.023746288599895</v>
      </c>
      <c r="K135" s="56">
        <f>Table2234210[[#This Row],[Yest]]-Table2234210[[#This Row],[REF]]</f>
        <v>-2.0062534114001043</v>
      </c>
      <c r="L135" s="56">
        <f>ABS(Table2234210[[#This Row],[RESyx]])</f>
        <v>2.0062534114001043</v>
      </c>
      <c r="M135" s="29">
        <f>Table2234210[[#This Row],[Ypred]]*E$25+E$26</f>
        <v>10.923910533750849</v>
      </c>
      <c r="N135" s="29">
        <f>Table2234210[[#This Row],[X-Y]]^2</f>
        <v>5.9525561931233488</v>
      </c>
      <c r="O135" s="57">
        <f>Table2234210[[#This Row],[yest_rect]]-Table2234210[[#This Row],[REF]]</f>
        <v>-2.1060891662491503</v>
      </c>
      <c r="P135" s="57">
        <f>Table2234210[[#This Row],[dif rec]]^2</f>
        <v>4.4356115761920414</v>
      </c>
      <c r="Q135" s="57">
        <f>ABS(Table2234210[[#This Row],[diff-bias]])</f>
        <v>2.2826655466045835</v>
      </c>
      <c r="R135" s="57">
        <f ca="1">CELL("row",Table2234210[[#This Row],[Position]])</f>
        <v>135</v>
      </c>
      <c r="S135" s="4">
        <f>Table2234210[[#This Row],[REF]]-D$13</f>
        <v>2.0199994499999985</v>
      </c>
      <c r="T135" s="4">
        <f>ABS(Table2234210[[#This Row],[lab-med]])</f>
        <v>2.0199994499999985</v>
      </c>
      <c r="U135" s="4">
        <f>Table2234210[[#This Row],[Ypred]]-F$13</f>
        <v>-0.4054589537844997</v>
      </c>
      <c r="V135" s="4">
        <f>ABS(Table2234210[[#This Row],[anl-med]])</f>
        <v>0.4054589537844997</v>
      </c>
      <c r="W135" s="4">
        <f>Table2234210[[#This Row],[lab-med]]*Table2234210[[#This Row],[anl-med]]</f>
        <v>-0.81902686364226418</v>
      </c>
    </row>
    <row r="136" spans="2:23" x14ac:dyDescent="0.25">
      <c r="B136" s="46">
        <f ca="1">VALUE((Table2234210[[#This Row],[Column3]]-62))</f>
        <v>74</v>
      </c>
      <c r="C136" t="s">
        <v>142</v>
      </c>
      <c r="D136">
        <v>12.359999699999999</v>
      </c>
      <c r="E136"/>
      <c r="F136" s="78">
        <v>13.878591535620201</v>
      </c>
      <c r="G136" s="29">
        <f>Table2234210[[#This Row],[Ypred]]-Table2234210[[#This Row],[REF]]</f>
        <v>1.5185918356202013</v>
      </c>
      <c r="H136" s="29">
        <f>Table2234210[[#This Row],[X-Y]]-E$20</f>
        <v>1.6757123847878166</v>
      </c>
      <c r="I136" s="29">
        <f>Table2234210[[#This Row],[Ypred]]-E$20</f>
        <v>14.035712084787816</v>
      </c>
      <c r="J136" s="29">
        <f>Table2234210[[#This Row],[Ypred]]*E$21+E$22</f>
        <v>11.802369023326946</v>
      </c>
      <c r="K136" s="56">
        <f>Table2234210[[#This Row],[Yest]]-Table2234210[[#This Row],[REF]]</f>
        <v>-0.55763067667305322</v>
      </c>
      <c r="L136" s="56">
        <f>ABS(Table2234210[[#This Row],[RESyx]])</f>
        <v>0.55763067667305322</v>
      </c>
      <c r="M136" s="29">
        <f>Table2234210[[#This Row],[Ypred]]*E$25+E$26</f>
        <v>12.609017726405355</v>
      </c>
      <c r="N136" s="29">
        <f>Table2234210[[#This Row],[X-Y]]^2</f>
        <v>2.3061211632123326</v>
      </c>
      <c r="O136" s="57">
        <f>Table2234210[[#This Row],[yest_rect]]-Table2234210[[#This Row],[REF]]</f>
        <v>0.24901802640535564</v>
      </c>
      <c r="P136" s="57">
        <f>Table2234210[[#This Row],[dif rec]]^2</f>
        <v>6.2009977474818401E-2</v>
      </c>
      <c r="Q136" s="57">
        <f>ABS(Table2234210[[#This Row],[diff-bias]])</f>
        <v>1.6757123847878166</v>
      </c>
      <c r="R136" s="57">
        <f ca="1">CELL("row",Table2234210[[#This Row],[Position]])</f>
        <v>136</v>
      </c>
      <c r="S136" s="4">
        <f>Table2234210[[#This Row],[REF]]-D$13</f>
        <v>1.3499994499999985</v>
      </c>
      <c r="T136" s="4">
        <f>ABS(Table2234210[[#This Row],[lab-med]])</f>
        <v>1.3499994499999985</v>
      </c>
      <c r="U136" s="4">
        <f>Table2234210[[#This Row],[Ypred]]-F$13</f>
        <v>2.8829189776079005</v>
      </c>
      <c r="V136" s="4">
        <f>ABS(Table2234210[[#This Row],[anl-med]])</f>
        <v>2.8829189776079005</v>
      </c>
      <c r="W136" s="4">
        <f>Table2234210[[#This Row],[lab-med]]*Table2234210[[#This Row],[anl-med]]</f>
        <v>3.8919390341652238</v>
      </c>
    </row>
    <row r="137" spans="2:23" x14ac:dyDescent="0.25">
      <c r="B137" s="46">
        <f ca="1">VALUE((Table2234210[[#This Row],[Column3]]-62))</f>
        <v>75</v>
      </c>
      <c r="C137" t="s">
        <v>143</v>
      </c>
      <c r="D137">
        <v>12.399999599999999</v>
      </c>
      <c r="E137"/>
      <c r="F137" s="78">
        <v>14.717162441658701</v>
      </c>
      <c r="G137" s="29">
        <f>Table2234210[[#This Row],[Ypred]]-Table2234210[[#This Row],[REF]]</f>
        <v>2.3171628416587016</v>
      </c>
      <c r="H137" s="29">
        <f>Table2234210[[#This Row],[X-Y]]-E$20</f>
        <v>2.4742833908263169</v>
      </c>
      <c r="I137" s="29">
        <f>Table2234210[[#This Row],[Ypred]]-E$20</f>
        <v>14.874282990826316</v>
      </c>
      <c r="J137" s="29">
        <f>Table2234210[[#This Row],[Ypred]]*E$21+E$22</f>
        <v>12.000925997538777</v>
      </c>
      <c r="K137" s="56">
        <f>Table2234210[[#This Row],[Yest]]-Table2234210[[#This Row],[REF]]</f>
        <v>-0.39907360246122181</v>
      </c>
      <c r="L137" s="56">
        <f>ABS(Table2234210[[#This Row],[RESyx]])</f>
        <v>0.39907360246122181</v>
      </c>
      <c r="M137" s="29">
        <f>Table2234210[[#This Row],[Ypred]]*E$25+E$26</f>
        <v>13.038737757009605</v>
      </c>
      <c r="N137" s="29">
        <f>Table2234210[[#This Row],[X-Y]]^2</f>
        <v>5.369243634763829</v>
      </c>
      <c r="O137" s="57">
        <f>Table2234210[[#This Row],[yest_rect]]-Table2234210[[#This Row],[REF]]</f>
        <v>0.63873815700960535</v>
      </c>
      <c r="P137" s="57">
        <f>Table2234210[[#This Row],[dif rec]]^2</f>
        <v>0.40798643322002726</v>
      </c>
      <c r="Q137" s="57">
        <f>ABS(Table2234210[[#This Row],[diff-bias]])</f>
        <v>2.4742833908263169</v>
      </c>
      <c r="R137" s="57">
        <f ca="1">CELL("row",Table2234210[[#This Row],[Position]])</f>
        <v>137</v>
      </c>
      <c r="S137" s="4">
        <f>Table2234210[[#This Row],[REF]]-D$13</f>
        <v>1.3899993499999983</v>
      </c>
      <c r="T137" s="4">
        <f>ABS(Table2234210[[#This Row],[lab-med]])</f>
        <v>1.3899993499999983</v>
      </c>
      <c r="U137" s="4">
        <f>Table2234210[[#This Row],[Ypred]]-F$13</f>
        <v>3.7214898836464005</v>
      </c>
      <c r="V137" s="4">
        <f>ABS(Table2234210[[#This Row],[anl-med]])</f>
        <v>3.7214898836464005</v>
      </c>
      <c r="W137" s="4">
        <f>Table2234210[[#This Row],[lab-med]]*Table2234210[[#This Row],[anl-med]]</f>
        <v>5.1728685193000663</v>
      </c>
    </row>
    <row r="138" spans="2:23" x14ac:dyDescent="0.25">
      <c r="B138" s="46">
        <f ca="1">VALUE((Table2234210[[#This Row],[Column3]]-62))</f>
        <v>76</v>
      </c>
      <c r="C138" t="s">
        <v>144</v>
      </c>
      <c r="D138">
        <v>12.5</v>
      </c>
      <c r="E138"/>
      <c r="F138" s="78">
        <v>9.9986948058503895</v>
      </c>
      <c r="G138" s="29">
        <f>Table2234210[[#This Row],[Ypred]]-Table2234210[[#This Row],[REF]]</f>
        <v>-2.5013051941496105</v>
      </c>
      <c r="H138" s="29">
        <f>Table2234210[[#This Row],[X-Y]]-E$20</f>
        <v>-2.3441846449819952</v>
      </c>
      <c r="I138" s="29">
        <f>Table2234210[[#This Row],[Ypred]]-E$20</f>
        <v>10.155815355018005</v>
      </c>
      <c r="J138" s="29">
        <f>Table2234210[[#This Row],[Ypred]]*E$21+E$22</f>
        <v>10.883686358128321</v>
      </c>
      <c r="K138" s="56">
        <f>Table2234210[[#This Row],[Yest]]-Table2234210[[#This Row],[REF]]</f>
        <v>-1.6163136418716793</v>
      </c>
      <c r="L138" s="56">
        <f>ABS(Table2234210[[#This Row],[RESyx]])</f>
        <v>1.6163136418716793</v>
      </c>
      <c r="M138" s="29">
        <f>Table2234210[[#This Row],[Ypred]]*E$25+E$26</f>
        <v>10.6207906970008</v>
      </c>
      <c r="N138" s="29">
        <f>Table2234210[[#This Row],[X-Y]]^2</f>
        <v>6.2565276742798206</v>
      </c>
      <c r="O138" s="57">
        <f>Table2234210[[#This Row],[yest_rect]]-Table2234210[[#This Row],[REF]]</f>
        <v>-1.8792093029992003</v>
      </c>
      <c r="P138" s="57">
        <f>Table2234210[[#This Row],[dif rec]]^2</f>
        <v>3.5314276044787403</v>
      </c>
      <c r="Q138" s="57">
        <f>ABS(Table2234210[[#This Row],[diff-bias]])</f>
        <v>2.3441846449819952</v>
      </c>
      <c r="R138" s="57">
        <f ca="1">CELL("row",Table2234210[[#This Row],[Position]])</f>
        <v>138</v>
      </c>
      <c r="S138" s="4">
        <f>Table2234210[[#This Row],[REF]]-D$13</f>
        <v>1.4899997499999991</v>
      </c>
      <c r="T138" s="4">
        <f>ABS(Table2234210[[#This Row],[lab-med]])</f>
        <v>1.4899997499999991</v>
      </c>
      <c r="U138" s="4">
        <f>Table2234210[[#This Row],[Ypred]]-F$13</f>
        <v>-0.99697775216191076</v>
      </c>
      <c r="V138" s="4">
        <f>ABS(Table2234210[[#This Row],[anl-med]])</f>
        <v>0.99697775216191076</v>
      </c>
      <c r="W138" s="4">
        <f>Table2234210[[#This Row],[lab-med]]*Table2234210[[#This Row],[anl-med]]</f>
        <v>-1.4854966014768081</v>
      </c>
    </row>
    <row r="139" spans="2:23" x14ac:dyDescent="0.25">
      <c r="B139" s="46">
        <f ca="1">VALUE((Table2234210[[#This Row],[Column3]]-62))</f>
        <v>77</v>
      </c>
      <c r="C139" t="s">
        <v>145</v>
      </c>
      <c r="D139">
        <v>12.600000400000001</v>
      </c>
      <c r="E139"/>
      <c r="F139" s="78">
        <v>10.2238382877331</v>
      </c>
      <c r="G139" s="29">
        <f>Table2234210[[#This Row],[Ypred]]-Table2234210[[#This Row],[REF]]</f>
        <v>-2.3761621122669006</v>
      </c>
      <c r="H139" s="29">
        <f>Table2234210[[#This Row],[X-Y]]-E$20</f>
        <v>-2.2190415630992852</v>
      </c>
      <c r="I139" s="29">
        <f>Table2234210[[#This Row],[Ypred]]-E$20</f>
        <v>10.380958836900716</v>
      </c>
      <c r="J139" s="29">
        <f>Table2234210[[#This Row],[Ypred]]*E$21+E$22</f>
        <v>10.936995873405131</v>
      </c>
      <c r="K139" s="56">
        <f>Table2234210[[#This Row],[Yest]]-Table2234210[[#This Row],[REF]]</f>
        <v>-1.6630045265948699</v>
      </c>
      <c r="L139" s="56">
        <f>ABS(Table2234210[[#This Row],[RESyx]])</f>
        <v>1.6630045265948699</v>
      </c>
      <c r="M139" s="29">
        <f>Table2234210[[#This Row],[Ypred]]*E$25+E$26</f>
        <v>10.736163962670172</v>
      </c>
      <c r="N139" s="29">
        <f>Table2234210[[#This Row],[X-Y]]^2</f>
        <v>5.6461463837726988</v>
      </c>
      <c r="O139" s="57">
        <f>Table2234210[[#This Row],[yest_rect]]-Table2234210[[#This Row],[REF]]</f>
        <v>-1.8638364373298284</v>
      </c>
      <c r="P139" s="57">
        <f>Table2234210[[#This Row],[dif rec]]^2</f>
        <v>3.4738862651183475</v>
      </c>
      <c r="Q139" s="57">
        <f>ABS(Table2234210[[#This Row],[diff-bias]])</f>
        <v>2.2190415630992852</v>
      </c>
      <c r="R139" s="57">
        <f ca="1">CELL("row",Table2234210[[#This Row],[Position]])</f>
        <v>139</v>
      </c>
      <c r="S139" s="4">
        <f>Table2234210[[#This Row],[REF]]-D$13</f>
        <v>1.5900001499999998</v>
      </c>
      <c r="T139" s="4">
        <f>ABS(Table2234210[[#This Row],[lab-med]])</f>
        <v>1.5900001499999998</v>
      </c>
      <c r="U139" s="4">
        <f>Table2234210[[#This Row],[Ypred]]-F$13</f>
        <v>-0.77183427027920004</v>
      </c>
      <c r="V139" s="4">
        <f>ABS(Table2234210[[#This Row],[anl-med]])</f>
        <v>0.77183427027920004</v>
      </c>
      <c r="W139" s="4">
        <f>Table2234210[[#This Row],[lab-med]]*Table2234210[[#This Row],[anl-med]]</f>
        <v>-1.2272166055190685</v>
      </c>
    </row>
    <row r="140" spans="2:23" x14ac:dyDescent="0.25">
      <c r="B140" s="46">
        <f ca="1">VALUE((Table2234210[[#This Row],[Column3]]-62))</f>
        <v>78</v>
      </c>
      <c r="C140" t="s">
        <v>146</v>
      </c>
      <c r="D140">
        <v>12.670000099999999</v>
      </c>
      <c r="E140"/>
      <c r="F140" s="78">
        <v>14.911892150528701</v>
      </c>
      <c r="G140" s="29">
        <f>Table2234210[[#This Row],[Ypred]]-Table2234210[[#This Row],[REF]]</f>
        <v>2.2418920505287012</v>
      </c>
      <c r="H140" s="29">
        <f>Table2234210[[#This Row],[X-Y]]-E$20</f>
        <v>2.3990125996963165</v>
      </c>
      <c r="I140" s="29">
        <f>Table2234210[[#This Row],[Ypred]]-E$20</f>
        <v>15.069012699696316</v>
      </c>
      <c r="J140" s="29">
        <f>Table2234210[[#This Row],[Ypred]]*E$21+E$22</f>
        <v>12.047034134017105</v>
      </c>
      <c r="K140" s="56">
        <f>Table2234210[[#This Row],[Yest]]-Table2234210[[#This Row],[REF]]</f>
        <v>-0.62296596598289433</v>
      </c>
      <c r="L140" s="56">
        <f>ABS(Table2234210[[#This Row],[RESyx]])</f>
        <v>0.62296596598289433</v>
      </c>
      <c r="M140" s="29">
        <f>Table2234210[[#This Row],[Ypred]]*E$25+E$26</f>
        <v>13.138525688897776</v>
      </c>
      <c r="N140" s="29">
        <f>Table2234210[[#This Row],[X-Y]]^2</f>
        <v>5.0260799662237847</v>
      </c>
      <c r="O140" s="57">
        <f>Table2234210[[#This Row],[yest_rect]]-Table2234210[[#This Row],[REF]]</f>
        <v>0.4685255888977764</v>
      </c>
      <c r="P140" s="57">
        <f>Table2234210[[#This Row],[dif rec]]^2</f>
        <v>0.21951622745200819</v>
      </c>
      <c r="Q140" s="57">
        <f>ABS(Table2234210[[#This Row],[diff-bias]])</f>
        <v>2.3990125996963165</v>
      </c>
      <c r="R140" s="57">
        <f ca="1">CELL("row",Table2234210[[#This Row],[Position]])</f>
        <v>140</v>
      </c>
      <c r="S140" s="4">
        <f>Table2234210[[#This Row],[REF]]-D$13</f>
        <v>1.6599998499999984</v>
      </c>
      <c r="T140" s="4">
        <f>ABS(Table2234210[[#This Row],[lab-med]])</f>
        <v>1.6599998499999984</v>
      </c>
      <c r="U140" s="4">
        <f>Table2234210[[#This Row],[Ypred]]-F$13</f>
        <v>3.9162195925164003</v>
      </c>
      <c r="V140" s="4">
        <f>ABS(Table2234210[[#This Row],[anl-med]])</f>
        <v>3.9162195925164003</v>
      </c>
      <c r="W140" s="4">
        <f>Table2234210[[#This Row],[lab-med]]*Table2234210[[#This Row],[anl-med]]</f>
        <v>6.5009239361442797</v>
      </c>
    </row>
    <row r="141" spans="2:23" x14ac:dyDescent="0.25">
      <c r="B141" s="46">
        <f ca="1">VALUE((Table2234210[[#This Row],[Column3]]-62))</f>
        <v>79</v>
      </c>
      <c r="C141" t="s">
        <v>147</v>
      </c>
      <c r="D141">
        <v>12.699999800000001</v>
      </c>
      <c r="E141"/>
      <c r="F141" s="78">
        <v>13.4302967174954</v>
      </c>
      <c r="G141" s="29">
        <f>Table2234210[[#This Row],[Ypred]]-Table2234210[[#This Row],[REF]]</f>
        <v>0.73029691749539971</v>
      </c>
      <c r="H141" s="29">
        <f>Table2234210[[#This Row],[X-Y]]-E$20</f>
        <v>0.88741746666301502</v>
      </c>
      <c r="I141" s="29">
        <f>Table2234210[[#This Row],[Ypred]]-E$20</f>
        <v>13.587417266663016</v>
      </c>
      <c r="J141" s="29">
        <f>Table2234210[[#This Row],[Ypred]]*E$21+E$22</f>
        <v>11.696221693386528</v>
      </c>
      <c r="K141" s="56">
        <f>Table2234210[[#This Row],[Yest]]-Table2234210[[#This Row],[REF]]</f>
        <v>-1.0037781066134723</v>
      </c>
      <c r="L141" s="56">
        <f>ABS(Table2234210[[#This Row],[RESyx]])</f>
        <v>1.0037781066134723</v>
      </c>
      <c r="M141" s="29">
        <f>Table2234210[[#This Row],[Ypred]]*E$25+E$26</f>
        <v>12.379292056724809</v>
      </c>
      <c r="N141" s="29">
        <f>Table2234210[[#This Row],[X-Y]]^2</f>
        <v>0.53333358770328265</v>
      </c>
      <c r="O141" s="57">
        <f>Table2234210[[#This Row],[yest_rect]]-Table2234210[[#This Row],[REF]]</f>
        <v>-0.32070774327519125</v>
      </c>
      <c r="P141" s="57">
        <f>Table2234210[[#This Row],[dif rec]]^2</f>
        <v>0.10285345659666598</v>
      </c>
      <c r="Q141" s="57">
        <f>ABS(Table2234210[[#This Row],[diff-bias]])</f>
        <v>0.88741746666301502</v>
      </c>
      <c r="R141" s="57">
        <f ca="1">CELL("row",Table2234210[[#This Row],[Position]])</f>
        <v>141</v>
      </c>
      <c r="S141" s="4">
        <f>Table2234210[[#This Row],[REF]]-D$13</f>
        <v>1.6899995499999996</v>
      </c>
      <c r="T141" s="4">
        <f>ABS(Table2234210[[#This Row],[lab-med]])</f>
        <v>1.6899995499999996</v>
      </c>
      <c r="U141" s="4">
        <f>Table2234210[[#This Row],[Ypred]]-F$13</f>
        <v>2.4346241594831</v>
      </c>
      <c r="V141" s="4">
        <f>ABS(Table2234210[[#This Row],[anl-med]])</f>
        <v>2.4346241594831</v>
      </c>
      <c r="W141" s="4">
        <f>Table2234210[[#This Row],[lab-med]]*Table2234210[[#This Row],[anl-med]]</f>
        <v>4.1145137339455662</v>
      </c>
    </row>
    <row r="142" spans="2:23" x14ac:dyDescent="0.25">
      <c r="B142" s="46">
        <f ca="1">VALUE((Table2234210[[#This Row],[Column3]]-62))</f>
        <v>80</v>
      </c>
      <c r="C142" t="s">
        <v>148</v>
      </c>
      <c r="D142">
        <v>14.4300003</v>
      </c>
      <c r="E142"/>
      <c r="F142" s="78">
        <v>16.4427234151444</v>
      </c>
      <c r="G142" s="29">
        <f>Table2234210[[#This Row],[Ypred]]-Table2234210[[#This Row],[REF]]</f>
        <v>2.0127231151444001</v>
      </c>
      <c r="H142" s="29">
        <f>Table2234210[[#This Row],[X-Y]]-E$20</f>
        <v>2.1698436643120154</v>
      </c>
      <c r="I142" s="29">
        <f>Table2234210[[#This Row],[Ypred]]-E$20</f>
        <v>16.599843964312015</v>
      </c>
      <c r="J142" s="29">
        <f>Table2234210[[#This Row],[Ypred]]*E$21+E$22</f>
        <v>12.409504643955129</v>
      </c>
      <c r="K142" s="56">
        <f>Table2234210[[#This Row],[Yest]]-Table2234210[[#This Row],[REF]]</f>
        <v>-2.0204956560448704</v>
      </c>
      <c r="L142" s="56">
        <f>ABS(Table2234210[[#This Row],[RESyx]])</f>
        <v>2.0204956560448704</v>
      </c>
      <c r="M142" s="29">
        <f>Table2234210[[#This Row],[Ypred]]*E$25+E$26</f>
        <v>13.922989892394003</v>
      </c>
      <c r="N142" s="29">
        <f>Table2234210[[#This Row],[X-Y]]^2</f>
        <v>4.051054338236578</v>
      </c>
      <c r="O142" s="57">
        <f>Table2234210[[#This Row],[yest_rect]]-Table2234210[[#This Row],[REF]]</f>
        <v>-0.50701040760599625</v>
      </c>
      <c r="P142" s="57">
        <f>Table2234210[[#This Row],[dif rec]]^2</f>
        <v>0.25705955342079845</v>
      </c>
      <c r="Q142" s="57">
        <f>ABS(Table2234210[[#This Row],[diff-bias]])</f>
        <v>2.1698436643120154</v>
      </c>
      <c r="R142" s="57">
        <f ca="1">CELL("row",Table2234210[[#This Row],[Position]])</f>
        <v>142</v>
      </c>
      <c r="S142" s="4">
        <f>Table2234210[[#This Row],[REF]]-D$13</f>
        <v>3.4200000499999987</v>
      </c>
      <c r="T142" s="4">
        <f>ABS(Table2234210[[#This Row],[lab-med]])</f>
        <v>3.4200000499999987</v>
      </c>
      <c r="U142" s="4">
        <f>Table2234210[[#This Row],[Ypred]]-F$13</f>
        <v>5.4470508571320995</v>
      </c>
      <c r="V142" s="4">
        <f>ABS(Table2234210[[#This Row],[anl-med]])</f>
        <v>5.4470508571320995</v>
      </c>
      <c r="W142" s="4">
        <f>Table2234210[[#This Row],[lab-med]]*Table2234210[[#This Row],[anl-med]]</f>
        <v>18.628914203744316</v>
      </c>
    </row>
  </sheetData>
  <mergeCells count="1">
    <mergeCell ref="C3:K3"/>
  </mergeCells>
  <conditionalFormatting sqref="F63:F142">
    <cfRule type="expression" dxfId="348" priority="2" stopIfTrue="1">
      <formula>ABS(F63-#REF!)/#REF!&gt;3</formula>
    </cfRule>
  </conditionalFormatting>
  <conditionalFormatting sqref="D68:D72">
    <cfRule type="expression" dxfId="347" priority="1" stopIfTrue="1">
      <formula>ABS(D68-#REF!)/#REF!&gt;3</formula>
    </cfRule>
  </conditionalFormatting>
  <pageMargins left="0.75" right="0.75" top="1" bottom="1" header="0.5" footer="0.5"/>
  <pageSetup paperSize="9" scale="65" orientation="portrait" r:id="rId1"/>
  <headerFooter alignWithMargins="0">
    <oddHeader>&amp;A</oddHeader>
    <oddFooter>&amp;F</oddFooter>
  </headerFooter>
  <rowBreaks count="1" manualBreakCount="1">
    <brk id="58" max="16383" man="1"/>
  </rowBreaks>
  <drawing r:id="rId2"/>
  <legacyDrawing r:id="rId3"/>
  <tableParts count="1">
    <tablePart r:id="rId4"/>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365B1-27DE-41B0-8042-0E997BF28054}">
  <sheetPr>
    <pageSetUpPr fitToPage="1"/>
  </sheetPr>
  <dimension ref="B1:AB142"/>
  <sheetViews>
    <sheetView topLeftCell="A11" zoomScale="80" zoomScaleNormal="80" workbookViewId="0">
      <selection activeCell="C4" sqref="C4"/>
    </sheetView>
  </sheetViews>
  <sheetFormatPr defaultColWidth="8.88671875" defaultRowHeight="13.2" x14ac:dyDescent="0.25"/>
  <cols>
    <col min="1" max="1" width="3.109375" style="2" customWidth="1"/>
    <col min="2" max="2" width="9.44140625" style="2" customWidth="1"/>
    <col min="3" max="3" width="20.88671875" style="2" customWidth="1"/>
    <col min="4" max="4" width="15.44140625" style="61" customWidth="1"/>
    <col min="5" max="5" width="10.88671875" style="61" customWidth="1"/>
    <col min="6" max="6" width="13.5546875" style="61" customWidth="1"/>
    <col min="7" max="7" width="10.33203125" style="2" customWidth="1"/>
    <col min="8" max="8" width="13.33203125" style="2" customWidth="1"/>
    <col min="9" max="9" width="10.5546875" style="2" customWidth="1"/>
    <col min="10" max="10" width="15" style="2" customWidth="1"/>
    <col min="11" max="11" width="12.109375" style="3" customWidth="1"/>
    <col min="12" max="12" width="9.109375" style="3" customWidth="1"/>
    <col min="13" max="13" width="7.6640625" style="2" customWidth="1"/>
    <col min="14" max="14" width="7" style="2" customWidth="1"/>
    <col min="15" max="15" width="11.109375" style="2" customWidth="1"/>
    <col min="16" max="16" width="10.109375" style="2" customWidth="1"/>
    <col min="17" max="17" width="6.33203125" style="2" customWidth="1"/>
    <col min="18" max="20" width="8.88671875" style="2"/>
    <col min="21" max="21" width="9.33203125" style="2" customWidth="1"/>
    <col min="22" max="23" width="8.88671875" style="2"/>
    <col min="24" max="24" width="9.109375" style="2" customWidth="1"/>
    <col min="25" max="16384" width="8.88671875" style="2"/>
  </cols>
  <sheetData>
    <row r="1" spans="2:28" ht="15.6" customHeight="1" x14ac:dyDescent="0.25">
      <c r="B1" s="1"/>
      <c r="C1" s="1"/>
      <c r="D1" s="2"/>
      <c r="E1" s="1"/>
      <c r="F1" s="2"/>
      <c r="M1" s="3"/>
      <c r="N1" s="3"/>
      <c r="O1" s="3"/>
      <c r="P1" s="3"/>
      <c r="Q1" s="3"/>
      <c r="R1" s="3"/>
      <c r="S1" s="3"/>
      <c r="T1" s="3"/>
      <c r="U1" s="3"/>
      <c r="V1" s="3"/>
      <c r="W1" s="1" t="s">
        <v>53</v>
      </c>
    </row>
    <row r="2" spans="2:28" ht="6.6" customHeight="1" x14ac:dyDescent="0.3">
      <c r="D2" s="4"/>
      <c r="E2" s="4"/>
      <c r="F2" s="4"/>
      <c r="G2" s="5"/>
      <c r="H2" s="4"/>
      <c r="I2" s="4"/>
      <c r="J2" s="4"/>
      <c r="K2" s="6"/>
      <c r="L2" s="6"/>
      <c r="M2" s="6"/>
      <c r="N2" s="6"/>
      <c r="O2" s="6"/>
      <c r="P2" s="6"/>
      <c r="Q2" s="6"/>
      <c r="R2" s="6"/>
      <c r="S2" s="6"/>
      <c r="T2" s="6"/>
      <c r="U2" s="6"/>
      <c r="V2" s="6"/>
      <c r="W2" s="3"/>
    </row>
    <row r="3" spans="2:28" ht="20.399999999999999" x14ac:dyDescent="0.35">
      <c r="C3" s="98" t="s">
        <v>154</v>
      </c>
      <c r="D3" s="98"/>
      <c r="E3" s="98"/>
      <c r="F3" s="98"/>
      <c r="G3" s="98"/>
      <c r="H3" s="98"/>
      <c r="I3" s="98"/>
      <c r="J3" s="98"/>
      <c r="K3" s="98"/>
      <c r="L3" s="6"/>
      <c r="M3" s="6"/>
      <c r="N3" s="6"/>
      <c r="O3" s="6"/>
      <c r="P3" s="6"/>
      <c r="Q3" s="6"/>
      <c r="R3" s="6"/>
      <c r="S3" s="6"/>
      <c r="T3" s="6"/>
      <c r="U3" s="6"/>
      <c r="V3" s="6"/>
      <c r="W3" s="3"/>
    </row>
    <row r="4" spans="2:28" ht="7.2" customHeight="1" x14ac:dyDescent="0.25">
      <c r="D4" s="4"/>
      <c r="E4" s="4"/>
      <c r="F4" s="4"/>
      <c r="G4" s="4"/>
      <c r="H4" s="4"/>
      <c r="I4" s="4"/>
      <c r="J4" s="4"/>
      <c r="K4" s="6"/>
      <c r="L4" s="6"/>
      <c r="M4" s="6"/>
      <c r="N4" s="6"/>
      <c r="O4" s="6"/>
      <c r="P4" s="6"/>
      <c r="Q4" s="6"/>
      <c r="R4" s="6"/>
      <c r="S4" s="6"/>
      <c r="T4" s="6"/>
      <c r="U4" s="6"/>
      <c r="V4" s="6"/>
      <c r="W4" s="36"/>
      <c r="X4" s="30"/>
      <c r="Y4" s="30"/>
      <c r="Z4" s="30"/>
      <c r="AA4" s="30"/>
      <c r="AB4" s="30"/>
    </row>
    <row r="5" spans="2:28" ht="7.95" customHeight="1" thickBot="1" x14ac:dyDescent="0.3">
      <c r="D5" s="4"/>
      <c r="E5" s="4"/>
      <c r="F5" s="4"/>
      <c r="G5" s="4"/>
      <c r="H5" s="4"/>
      <c r="I5" s="4"/>
      <c r="J5" s="4"/>
      <c r="K5" s="6"/>
      <c r="L5" s="6"/>
      <c r="M5" s="6"/>
      <c r="N5" s="6"/>
      <c r="O5" s="6"/>
      <c r="P5" s="6"/>
      <c r="Q5" s="6"/>
      <c r="R5" s="6"/>
      <c r="S5" s="6"/>
      <c r="T5" s="6"/>
      <c r="U5" s="6"/>
      <c r="V5" s="6"/>
      <c r="W5" s="36"/>
      <c r="X5" s="30"/>
      <c r="Y5" s="30"/>
      <c r="Z5" s="30"/>
      <c r="AA5" s="30"/>
      <c r="AB5" s="30"/>
    </row>
    <row r="6" spans="2:28" ht="17.399999999999999" x14ac:dyDescent="0.3">
      <c r="B6" s="47"/>
      <c r="C6" s="48" t="str">
        <f>CONCATENATE(D62," = f (",F62," )")</f>
        <v>REF = f (Ypred )</v>
      </c>
      <c r="D6" s="49"/>
      <c r="E6" s="48"/>
      <c r="F6" s="48"/>
      <c r="G6" s="8"/>
      <c r="H6" s="65" t="s">
        <v>38</v>
      </c>
      <c r="I6" s="7"/>
      <c r="J6" s="8"/>
      <c r="M6" s="3"/>
      <c r="N6" s="3"/>
      <c r="O6" s="3"/>
      <c r="P6" s="3"/>
      <c r="Q6" s="3"/>
      <c r="R6" s="3"/>
      <c r="S6" s="3"/>
      <c r="T6" s="3"/>
      <c r="U6" s="3"/>
      <c r="V6" s="3"/>
      <c r="W6" s="36"/>
      <c r="X6" s="30"/>
      <c r="Y6" s="30"/>
      <c r="Z6" s="30"/>
      <c r="AA6" s="30"/>
      <c r="AB6" s="30"/>
    </row>
    <row r="7" spans="2:28" ht="17.399999999999999" x14ac:dyDescent="0.3">
      <c r="B7" s="50"/>
      <c r="C7" s="36"/>
      <c r="D7" s="45" t="str">
        <f>D62</f>
        <v>REF</v>
      </c>
      <c r="E7" s="45"/>
      <c r="F7" s="45" t="str">
        <f>F62</f>
        <v>Ypred</v>
      </c>
      <c r="G7" s="10"/>
      <c r="H7" s="66" t="s">
        <v>22</v>
      </c>
      <c r="I7" s="9">
        <v>500</v>
      </c>
      <c r="J7" s="10"/>
      <c r="M7" s="3"/>
      <c r="N7" s="3"/>
      <c r="O7" s="3"/>
      <c r="P7" s="3"/>
      <c r="Q7" s="3"/>
      <c r="R7" s="3"/>
      <c r="S7" s="3"/>
      <c r="T7" s="3"/>
      <c r="U7" s="3"/>
      <c r="V7" s="3"/>
      <c r="W7" s="36"/>
      <c r="X7" s="30" t="s">
        <v>30</v>
      </c>
      <c r="Y7" s="30"/>
      <c r="Z7" s="30"/>
      <c r="AA7" s="30"/>
      <c r="AB7" s="30"/>
    </row>
    <row r="8" spans="2:28" ht="17.399999999999999" x14ac:dyDescent="0.3">
      <c r="B8" s="50"/>
      <c r="C8" s="51" t="s">
        <v>22</v>
      </c>
      <c r="D8" s="23"/>
      <c r="E8" s="45">
        <f>COUNT(Table22342102[REF])</f>
        <v>80</v>
      </c>
      <c r="F8" s="23"/>
      <c r="G8" s="10"/>
      <c r="H8" s="66" t="s">
        <v>39</v>
      </c>
      <c r="I8" s="9">
        <v>1.2</v>
      </c>
      <c r="J8" s="10"/>
      <c r="M8" s="3"/>
      <c r="N8" s="3"/>
      <c r="O8" s="3"/>
      <c r="P8" s="3"/>
      <c r="Q8" s="3"/>
      <c r="R8" s="3"/>
      <c r="S8" s="3"/>
      <c r="T8" s="3"/>
      <c r="U8" s="3"/>
      <c r="V8" s="3"/>
      <c r="W8" s="36"/>
      <c r="X8" s="37">
        <f>62+E8</f>
        <v>142</v>
      </c>
      <c r="Y8" s="30"/>
      <c r="Z8" s="38"/>
      <c r="AA8" s="30"/>
      <c r="AB8" s="30"/>
    </row>
    <row r="9" spans="2:28" ht="16.2" thickBot="1" x14ac:dyDescent="0.35">
      <c r="B9" s="50"/>
      <c r="C9" s="51" t="s">
        <v>6</v>
      </c>
      <c r="D9" s="24">
        <f>AVERAGE(Table22342102[REF])</f>
        <v>11.109499980000002</v>
      </c>
      <c r="E9" s="24"/>
      <c r="F9" s="24">
        <f>AVERAGE(Table22342102[Ypred])</f>
        <v>11.826979425000003</v>
      </c>
      <c r="G9" s="69"/>
      <c r="H9" s="67" t="s">
        <v>43</v>
      </c>
      <c r="I9" s="13"/>
      <c r="J9" s="14">
        <v>12</v>
      </c>
      <c r="M9" s="3"/>
      <c r="N9" s="3"/>
      <c r="O9" s="3"/>
      <c r="P9" s="3"/>
      <c r="Q9" s="3"/>
      <c r="R9" s="3"/>
      <c r="S9" s="3"/>
      <c r="T9" s="3"/>
      <c r="U9" s="3"/>
      <c r="V9" s="3"/>
      <c r="W9" s="56"/>
      <c r="X9" s="30"/>
      <c r="Y9" s="30"/>
      <c r="Z9" s="30"/>
      <c r="AA9" s="30"/>
      <c r="AB9" s="30"/>
    </row>
    <row r="10" spans="2:28" ht="16.2" thickBot="1" x14ac:dyDescent="0.35">
      <c r="B10" s="50"/>
      <c r="C10" s="51" t="s">
        <v>7</v>
      </c>
      <c r="D10" s="24">
        <f>MIN(Table22342102[REF])</f>
        <v>8.9700003000000006</v>
      </c>
      <c r="E10" s="24">
        <f>ROUNDDOWN(MIN(D10,F10),0)</f>
        <v>8</v>
      </c>
      <c r="F10" s="24">
        <f>MIN(Table22342102[Ypred])</f>
        <v>9.0439179999999997</v>
      </c>
      <c r="G10" s="70"/>
      <c r="H10" s="68" t="s">
        <v>40</v>
      </c>
      <c r="I10" s="15">
        <v>0.05</v>
      </c>
      <c r="J10" s="16"/>
      <c r="M10" s="3"/>
      <c r="N10" s="3"/>
      <c r="O10" s="3"/>
      <c r="P10" s="3"/>
      <c r="Q10" s="3"/>
      <c r="R10" s="3"/>
      <c r="S10" s="3"/>
      <c r="T10" s="3"/>
      <c r="U10" s="3"/>
      <c r="V10" s="3"/>
      <c r="W10" s="56">
        <f>E10+E20</f>
        <v>8.7174794450000004</v>
      </c>
      <c r="X10" s="30"/>
      <c r="Y10" s="30"/>
      <c r="Z10" s="30"/>
      <c r="AA10" s="30"/>
      <c r="AB10" s="30"/>
    </row>
    <row r="11" spans="2:28" ht="15.6" x14ac:dyDescent="0.3">
      <c r="B11" s="50"/>
      <c r="C11" s="51" t="s">
        <v>8</v>
      </c>
      <c r="D11" s="24">
        <f>MAX(Table22342102[REF])</f>
        <v>14.4300003</v>
      </c>
      <c r="E11" s="24">
        <f>ROUNDUP(MAX(D11,F11),0)+1</f>
        <v>17</v>
      </c>
      <c r="F11" s="24">
        <f>MAX(Table22342102[Ypred])</f>
        <v>15.525518999999999</v>
      </c>
      <c r="G11" s="70"/>
      <c r="H11" s="28" t="s">
        <v>41</v>
      </c>
      <c r="I11" s="29">
        <f>TINV(I10,E8)</f>
        <v>1.9900634212544475</v>
      </c>
      <c r="J11" s="29"/>
      <c r="K11" s="36"/>
      <c r="M11" s="3"/>
      <c r="N11" s="3"/>
      <c r="O11" s="3"/>
      <c r="P11" s="3"/>
      <c r="Q11" s="3"/>
      <c r="R11" s="3"/>
      <c r="S11" s="3"/>
      <c r="T11" s="3"/>
      <c r="U11" s="3"/>
      <c r="V11" s="3"/>
      <c r="W11" s="56">
        <f>E11+E20</f>
        <v>17.717479445000002</v>
      </c>
      <c r="X11" s="30"/>
      <c r="Y11" s="30"/>
      <c r="Z11" s="30"/>
      <c r="AA11" s="30"/>
      <c r="AB11" s="30"/>
    </row>
    <row r="12" spans="2:28" ht="15.6" x14ac:dyDescent="0.3">
      <c r="B12" s="50"/>
      <c r="C12" s="51" t="s">
        <v>9</v>
      </c>
      <c r="D12" s="25">
        <f>STDEV(Table22342102[REF])</f>
        <v>1.1729049824811564</v>
      </c>
      <c r="E12" s="25"/>
      <c r="F12" s="24">
        <f>STDEV(Table22342102[Ypred])</f>
        <v>1.2349606885222546</v>
      </c>
      <c r="G12" s="69"/>
      <c r="H12" s="28" t="s">
        <v>42</v>
      </c>
      <c r="I12" s="29">
        <f>FINV(I10,E8-1,I7-1-J9)</f>
        <v>1.305795130911809</v>
      </c>
      <c r="J12" s="30"/>
      <c r="K12" s="36"/>
      <c r="M12" s="3"/>
      <c r="N12" s="3"/>
      <c r="O12" s="3"/>
      <c r="P12" s="3"/>
      <c r="Q12" s="3"/>
      <c r="R12" s="3"/>
      <c r="S12" s="3"/>
      <c r="T12" s="3"/>
      <c r="U12" s="3"/>
      <c r="V12" s="3"/>
      <c r="W12" s="36"/>
      <c r="X12" s="30"/>
      <c r="Y12" s="30"/>
      <c r="Z12" s="30"/>
      <c r="AA12" s="30"/>
      <c r="AB12" s="30"/>
    </row>
    <row r="13" spans="2:28" ht="15.6" x14ac:dyDescent="0.3">
      <c r="B13" s="50"/>
      <c r="C13" s="51" t="s">
        <v>56</v>
      </c>
      <c r="D13" s="24">
        <f>MEDIAN(Table22342102[REF])</f>
        <v>11.010000250000001</v>
      </c>
      <c r="E13" s="25"/>
      <c r="F13" s="24">
        <f>MEDIAN(Table22342102[Ypred])</f>
        <v>11.723969</v>
      </c>
      <c r="G13" s="69"/>
      <c r="H13" s="28"/>
      <c r="I13" s="29"/>
      <c r="J13" s="30"/>
      <c r="K13" s="36"/>
      <c r="M13" s="3"/>
      <c r="N13" s="3"/>
      <c r="O13" s="3"/>
      <c r="P13" s="3"/>
      <c r="Q13" s="3"/>
      <c r="R13" s="3"/>
      <c r="S13" s="3"/>
      <c r="T13" s="3"/>
      <c r="U13" s="3"/>
      <c r="V13" s="3"/>
      <c r="W13" s="36"/>
      <c r="X13" s="30"/>
      <c r="Y13" s="30"/>
      <c r="Z13" s="30"/>
      <c r="AA13" s="30"/>
      <c r="AB13" s="30"/>
    </row>
    <row r="14" spans="2:28" ht="15.6" x14ac:dyDescent="0.3">
      <c r="B14" s="50"/>
      <c r="C14" s="51" t="s">
        <v>57</v>
      </c>
      <c r="D14" s="25">
        <f>1.4826*(MEDIAN(Table22342102[abs(lab)]))</f>
        <v>1.4677736293499986</v>
      </c>
      <c r="E14" s="25"/>
      <c r="F14" s="24">
        <f>1.4826*MEDIAN(Table22342102[abs(anl)])</f>
        <v>1.3168319765999998</v>
      </c>
      <c r="G14" s="75"/>
      <c r="H14" s="28"/>
      <c r="I14" s="29"/>
      <c r="J14" s="30"/>
      <c r="K14" s="36"/>
      <c r="M14" s="3"/>
      <c r="N14" s="3"/>
      <c r="O14" s="3"/>
      <c r="P14" s="3"/>
      <c r="Q14" s="3"/>
      <c r="R14" s="3"/>
      <c r="S14" s="3"/>
      <c r="T14" s="3"/>
      <c r="U14" s="3"/>
      <c r="V14" s="3"/>
      <c r="W14" s="36"/>
      <c r="X14" s="30"/>
      <c r="Y14" s="30"/>
      <c r="Z14" s="30"/>
      <c r="AA14" s="30"/>
      <c r="AB14" s="30"/>
    </row>
    <row r="15" spans="2:28" ht="15.6" x14ac:dyDescent="0.3">
      <c r="B15" s="50"/>
      <c r="C15" s="51"/>
      <c r="D15" s="25"/>
      <c r="E15" s="25"/>
      <c r="F15" s="24" t="s">
        <v>63</v>
      </c>
      <c r="G15" s="69"/>
      <c r="H15" s="28"/>
      <c r="I15" s="29"/>
      <c r="J15" s="30"/>
      <c r="K15" s="36"/>
      <c r="M15" s="3"/>
      <c r="N15" s="3"/>
      <c r="O15" s="3"/>
      <c r="P15" s="3"/>
      <c r="Q15" s="3"/>
      <c r="R15" s="3"/>
      <c r="S15" s="3"/>
      <c r="T15" s="3"/>
      <c r="U15" s="3"/>
      <c r="V15" s="3"/>
      <c r="W15" s="36"/>
      <c r="X15" s="30"/>
      <c r="Y15" s="30"/>
      <c r="Z15" s="30"/>
      <c r="AA15" s="30"/>
      <c r="AB15" s="30"/>
    </row>
    <row r="16" spans="2:28" ht="17.399999999999999" x14ac:dyDescent="0.3">
      <c r="B16" s="50"/>
      <c r="C16" s="51" t="s">
        <v>10</v>
      </c>
      <c r="D16" s="25"/>
      <c r="E16" s="26">
        <f>SQRT(AVERAGE(Table22342102[dif^2]))</f>
        <v>1.0193594176195804</v>
      </c>
      <c r="F16" s="72">
        <f>SQRT(F18^2+E20^2)</f>
        <v>1.0757805468620054</v>
      </c>
      <c r="G16" s="10"/>
      <c r="H16" s="31"/>
      <c r="I16" s="30"/>
      <c r="J16" s="31"/>
      <c r="K16" s="44"/>
      <c r="M16" s="3"/>
      <c r="N16" s="3"/>
      <c r="O16" s="3"/>
      <c r="P16" s="3"/>
      <c r="Q16" s="3"/>
      <c r="R16" s="3"/>
      <c r="S16" s="3"/>
      <c r="T16" s="3"/>
      <c r="U16" s="3"/>
      <c r="V16" s="3"/>
      <c r="W16" s="36"/>
      <c r="X16" s="30"/>
      <c r="Y16" s="30"/>
      <c r="Z16" s="30"/>
      <c r="AA16" s="30"/>
      <c r="AB16" s="30"/>
    </row>
    <row r="17" spans="2:28" ht="21" x14ac:dyDescent="0.4">
      <c r="B17" s="50"/>
      <c r="C17" s="51" t="s">
        <v>55</v>
      </c>
      <c r="D17" s="3"/>
      <c r="E17" s="26"/>
      <c r="F17" s="26">
        <f>MEDIAN(Table22342102[abs_errors])</f>
        <v>0.540656845</v>
      </c>
      <c r="G17" s="10"/>
      <c r="H17" s="32"/>
      <c r="I17" s="33"/>
      <c r="J17" s="34"/>
      <c r="K17" s="54"/>
      <c r="M17" s="3"/>
      <c r="N17" s="3"/>
      <c r="O17" s="3"/>
      <c r="P17" s="3"/>
      <c r="Q17" s="3"/>
      <c r="R17" s="3"/>
      <c r="S17" s="3"/>
      <c r="T17" s="3"/>
      <c r="U17" s="3"/>
      <c r="V17" s="3"/>
      <c r="W17" s="36"/>
      <c r="X17" s="30"/>
      <c r="Y17" s="30"/>
      <c r="Z17" s="30"/>
      <c r="AA17" s="30"/>
      <c r="AB17" s="30"/>
    </row>
    <row r="18" spans="2:28" ht="21" x14ac:dyDescent="0.4">
      <c r="B18" s="50"/>
      <c r="C18" s="51" t="s">
        <v>11</v>
      </c>
      <c r="D18" s="25"/>
      <c r="E18" s="26">
        <f>STDEV(Table22342102[X-Y])</f>
        <v>0.72866576060335619</v>
      </c>
      <c r="F18" s="26">
        <f>1.4826*MEDIAN(Table22342102[abs_errors])</f>
        <v>0.80157783839699992</v>
      </c>
      <c r="G18" s="10"/>
      <c r="H18" s="32" t="s">
        <v>44</v>
      </c>
      <c r="I18" s="33">
        <f>I8*I12</f>
        <v>1.5669541570941707</v>
      </c>
      <c r="J18" s="34" t="str">
        <f>IF(E18&gt;I18,"S"," ns ")</f>
        <v xml:space="preserve"> ns </v>
      </c>
      <c r="K18" s="36"/>
      <c r="M18" s="3"/>
      <c r="N18" s="3"/>
      <c r="O18" s="3"/>
      <c r="P18" s="3"/>
      <c r="Q18" s="3"/>
      <c r="R18" s="3"/>
      <c r="S18" s="3"/>
      <c r="T18" s="3"/>
      <c r="U18" s="3"/>
      <c r="V18" s="3"/>
      <c r="W18" s="36"/>
      <c r="X18" s="30" t="s">
        <v>28</v>
      </c>
      <c r="Y18" s="30" t="s">
        <v>27</v>
      </c>
      <c r="Z18" s="30"/>
      <c r="AA18" s="30"/>
      <c r="AB18" s="30"/>
    </row>
    <row r="19" spans="2:28" ht="17.399999999999999" x14ac:dyDescent="0.3">
      <c r="B19" s="50"/>
      <c r="C19" s="51" t="s">
        <v>12</v>
      </c>
      <c r="D19" s="25"/>
      <c r="E19" s="26">
        <f>STEYX(Table22342102[REF],Table22342102[Ypred])</f>
        <v>0.67890160147454159</v>
      </c>
      <c r="F19" s="26">
        <f>1.4826*MEDIAN(Table22342102[Abs_erroryx])</f>
        <v>0.66179355778299132</v>
      </c>
      <c r="G19" s="10"/>
      <c r="H19" s="32"/>
      <c r="I19" s="33"/>
      <c r="J19" s="30"/>
      <c r="K19" s="36"/>
      <c r="M19" s="3"/>
      <c r="N19" s="3"/>
      <c r="O19" s="3"/>
      <c r="P19" s="3"/>
      <c r="Q19" s="3"/>
      <c r="R19" s="3"/>
      <c r="S19" s="3"/>
      <c r="T19" s="3"/>
      <c r="U19" s="3"/>
      <c r="V19" s="3"/>
      <c r="W19" s="36" t="s">
        <v>24</v>
      </c>
      <c r="X19" s="35">
        <f>E$26+E$25*E10</f>
        <v>7.4748229597893427</v>
      </c>
      <c r="Y19" s="30">
        <f>E10</f>
        <v>8</v>
      </c>
      <c r="Z19" s="30"/>
      <c r="AA19" s="30"/>
      <c r="AB19" s="30"/>
    </row>
    <row r="20" spans="2:28" ht="21" x14ac:dyDescent="0.4">
      <c r="B20" s="50"/>
      <c r="C20" s="51" t="s">
        <v>16</v>
      </c>
      <c r="D20" s="25"/>
      <c r="E20" s="72">
        <f>F9-D9</f>
        <v>0.71747944500000038</v>
      </c>
      <c r="F20" s="26">
        <f>F13-D13</f>
        <v>0.71396874999999937</v>
      </c>
      <c r="G20" s="10"/>
      <c r="H20" s="32" t="s">
        <v>46</v>
      </c>
      <c r="I20" s="33">
        <f>ABS(E20/(SQRT(SUM(Table22342102[dif^2])/(E8*(E8-1)))))</f>
        <v>6.2559845794916562</v>
      </c>
      <c r="J20" s="34" t="str">
        <f>IF(I20&gt;I11,"S","ns")</f>
        <v>S</v>
      </c>
      <c r="K20" s="36"/>
      <c r="M20" s="3"/>
      <c r="N20" s="3"/>
      <c r="O20" s="3"/>
      <c r="P20" s="3"/>
      <c r="Q20" s="3"/>
      <c r="R20" s="3"/>
      <c r="S20" s="3"/>
      <c r="T20" s="3"/>
      <c r="U20" s="3"/>
      <c r="V20" s="3"/>
      <c r="W20" s="36" t="s">
        <v>25</v>
      </c>
      <c r="X20" s="35">
        <f>E$26+E$25*E11</f>
        <v>16.02258074709334</v>
      </c>
      <c r="Y20" s="30">
        <f>E11</f>
        <v>17</v>
      </c>
      <c r="Z20" s="30"/>
      <c r="AA20" s="30"/>
      <c r="AB20" s="30"/>
    </row>
    <row r="21" spans="2:28" ht="21" x14ac:dyDescent="0.4">
      <c r="B21" s="50"/>
      <c r="C21" s="51" t="s">
        <v>13</v>
      </c>
      <c r="D21" s="25"/>
      <c r="E21" s="26">
        <f>SLOPE(Table22342102[REF],Table22342102[Ypred])</f>
        <v>0.7769447421548894</v>
      </c>
      <c r="F21" s="26"/>
      <c r="G21" s="10"/>
      <c r="H21" s="32" t="s">
        <v>45</v>
      </c>
      <c r="I21" s="33">
        <f>ABS(E21-1)*SQRT((E8-1)*F12^2/E19^2)</f>
        <v>3.6063868487417801</v>
      </c>
      <c r="J21" s="34" t="str">
        <f>IF(I21&gt;I11,"S"," ns  ")</f>
        <v>S</v>
      </c>
      <c r="K21" s="55"/>
      <c r="M21" s="3"/>
      <c r="N21" s="3"/>
      <c r="O21" s="3"/>
      <c r="P21" s="3"/>
      <c r="Q21" s="3"/>
      <c r="R21" s="3"/>
      <c r="S21" s="3"/>
      <c r="T21" s="3"/>
      <c r="U21" s="3"/>
      <c r="V21" s="3"/>
      <c r="W21" s="36" t="s">
        <v>26</v>
      </c>
      <c r="X21" s="30">
        <f>E$26+E$25*F9</f>
        <v>11.109499980000002</v>
      </c>
      <c r="Y21" s="29">
        <f>F9</f>
        <v>11.826979425000003</v>
      </c>
      <c r="Z21" s="30"/>
      <c r="AA21" s="30"/>
      <c r="AB21" s="30"/>
    </row>
    <row r="22" spans="2:28" ht="17.399999999999999" x14ac:dyDescent="0.3">
      <c r="B22" s="50"/>
      <c r="C22" s="51" t="s">
        <v>14</v>
      </c>
      <c r="D22" s="25"/>
      <c r="E22" s="26">
        <f>INTERCEPT(Table22342102[REF],Table22342102[Ypred])</f>
        <v>1.9205905001721923</v>
      </c>
      <c r="F22" s="26"/>
      <c r="G22" s="10"/>
      <c r="H22" s="30"/>
      <c r="I22" s="30"/>
      <c r="J22" s="30"/>
      <c r="K22" s="36"/>
      <c r="M22" s="3"/>
      <c r="N22" s="3"/>
      <c r="O22" s="3"/>
      <c r="P22" s="3"/>
      <c r="Q22" s="3"/>
      <c r="R22" s="3"/>
      <c r="S22" s="3"/>
      <c r="T22" s="3"/>
      <c r="U22" s="3"/>
      <c r="V22" s="3"/>
      <c r="W22" s="36"/>
      <c r="X22" s="30"/>
      <c r="Y22" s="30"/>
      <c r="Z22" s="30"/>
      <c r="AA22" s="30"/>
      <c r="AB22" s="30"/>
    </row>
    <row r="23" spans="2:28" ht="22.8" x14ac:dyDescent="0.4">
      <c r="B23" s="50"/>
      <c r="C23" s="51" t="s">
        <v>15</v>
      </c>
      <c r="D23" s="25"/>
      <c r="E23" s="80">
        <f>RSQ(Table22342102[REF],Table22342102[Ypred])</f>
        <v>0.66920760583962791</v>
      </c>
      <c r="F23" s="26">
        <f>(D12^2-F19^2)/D12^2</f>
        <v>0.68163933140780897</v>
      </c>
      <c r="G23" s="10"/>
      <c r="H23" s="32"/>
      <c r="I23" s="33"/>
      <c r="J23" s="30"/>
      <c r="K23" s="36"/>
      <c r="M23" s="3"/>
      <c r="N23" s="3"/>
      <c r="O23" s="3"/>
      <c r="P23" s="3"/>
      <c r="Q23" s="3"/>
      <c r="R23" s="3"/>
      <c r="S23" s="3"/>
      <c r="T23" s="3"/>
      <c r="U23" s="3"/>
      <c r="V23" s="3"/>
      <c r="W23" s="36"/>
      <c r="X23" s="30"/>
      <c r="Y23" s="30"/>
      <c r="Z23" s="30"/>
      <c r="AA23" s="30"/>
      <c r="AB23" s="30"/>
    </row>
    <row r="24" spans="2:28" ht="17.399999999999999" x14ac:dyDescent="0.3">
      <c r="B24" s="50"/>
      <c r="C24" s="51" t="s">
        <v>29</v>
      </c>
      <c r="D24" s="23"/>
      <c r="E24" s="26">
        <f>1/SQRT(1-E23)</f>
        <v>1.7386903443769783</v>
      </c>
      <c r="F24" s="26">
        <f>1/SQRT(1-F23)</f>
        <v>1.772312481267404</v>
      </c>
      <c r="G24" s="10"/>
      <c r="H24" s="76" t="s">
        <v>64</v>
      </c>
      <c r="I24" s="77">
        <f>D12/E19</f>
        <v>1.7276509289912754</v>
      </c>
      <c r="J24" s="30"/>
      <c r="K24" s="36"/>
      <c r="M24" s="3"/>
      <c r="N24" s="3"/>
      <c r="O24" s="3"/>
      <c r="P24" s="3"/>
      <c r="Q24" s="3"/>
      <c r="R24" s="3"/>
      <c r="S24" s="3"/>
      <c r="T24" s="3"/>
      <c r="U24" s="3"/>
      <c r="V24" s="3"/>
      <c r="W24" s="36"/>
      <c r="X24" s="30"/>
      <c r="Y24" s="30"/>
      <c r="Z24" s="30"/>
      <c r="AA24" s="30"/>
      <c r="AB24" s="30"/>
    </row>
    <row r="25" spans="2:28" ht="17.399999999999999" x14ac:dyDescent="0.3">
      <c r="B25" s="50"/>
      <c r="C25" s="51" t="s">
        <v>17</v>
      </c>
      <c r="D25" s="23"/>
      <c r="E25" s="26">
        <f>(D12/F12)</f>
        <v>0.94975086525599961</v>
      </c>
      <c r="F25" s="45"/>
      <c r="G25" s="10"/>
      <c r="H25" s="32" t="s">
        <v>47</v>
      </c>
      <c r="I25" s="62">
        <f>QUARTILE(Table22342102[abs_errors],3)</f>
        <v>0.88844832999999968</v>
      </c>
      <c r="J25" s="30"/>
      <c r="K25" s="36"/>
      <c r="M25" s="3"/>
      <c r="N25" s="3"/>
      <c r="O25" s="3"/>
      <c r="P25" s="3"/>
      <c r="Q25" s="3"/>
      <c r="R25" s="3"/>
      <c r="S25" s="3"/>
      <c r="T25" s="3"/>
      <c r="U25" s="3"/>
      <c r="V25" s="3"/>
      <c r="W25" s="36" t="s">
        <v>19</v>
      </c>
      <c r="X25" s="30">
        <f>COVAR(Table22342102[REF],Table22342102[Ypred])</f>
        <v>1.1701283534154447</v>
      </c>
      <c r="Y25" s="30"/>
      <c r="Z25" s="30"/>
      <c r="AA25" s="30"/>
      <c r="AB25" s="30"/>
    </row>
    <row r="26" spans="2:28" ht="17.399999999999999" x14ac:dyDescent="0.3">
      <c r="B26" s="50"/>
      <c r="C26" s="51" t="s">
        <v>18</v>
      </c>
      <c r="D26" s="23"/>
      <c r="E26" s="26">
        <f>D9-E25*F9</f>
        <v>-0.12318396225865413</v>
      </c>
      <c r="F26" s="45"/>
      <c r="G26" s="10"/>
      <c r="M26" s="3"/>
      <c r="N26" s="3"/>
      <c r="O26" s="3"/>
      <c r="P26" s="3"/>
      <c r="Q26" s="3"/>
      <c r="R26" s="3"/>
      <c r="S26" s="3"/>
      <c r="T26" s="3"/>
      <c r="U26" s="3"/>
      <c r="V26" s="3"/>
      <c r="W26" s="36" t="s">
        <v>20</v>
      </c>
      <c r="X26" s="30">
        <f>SIGN(X25)</f>
        <v>1</v>
      </c>
      <c r="Y26" s="30"/>
      <c r="Z26" s="30"/>
      <c r="AA26" s="30"/>
      <c r="AB26" s="30"/>
    </row>
    <row r="27" spans="2:28" ht="18" thickBot="1" x14ac:dyDescent="0.35">
      <c r="B27" s="52"/>
      <c r="C27" s="53" t="s">
        <v>21</v>
      </c>
      <c r="D27" s="27"/>
      <c r="E27" s="73">
        <f>SQRT(AVERAGE(Table22342102[dif_rec^2]))</f>
        <v>0.70310647214799171</v>
      </c>
      <c r="F27" s="74"/>
      <c r="G27" s="71"/>
      <c r="M27" s="3"/>
      <c r="N27" s="3"/>
      <c r="O27" s="3"/>
      <c r="P27" s="3"/>
      <c r="Q27" s="3"/>
      <c r="R27" s="3"/>
      <c r="S27" s="3"/>
      <c r="T27" s="3"/>
      <c r="U27" s="3"/>
      <c r="V27" s="3"/>
      <c r="W27" s="36"/>
      <c r="X27" s="30"/>
      <c r="Y27" s="30"/>
      <c r="Z27" s="30"/>
      <c r="AA27" s="30"/>
      <c r="AB27" s="30"/>
    </row>
    <row r="28" spans="2:28" ht="15.6" x14ac:dyDescent="0.3">
      <c r="B28" s="3"/>
      <c r="C28" s="11"/>
      <c r="D28" s="12"/>
      <c r="E28" s="18"/>
      <c r="F28" s="12"/>
      <c r="M28" s="3"/>
      <c r="N28" s="3"/>
      <c r="O28" s="3"/>
      <c r="P28" s="3"/>
      <c r="Q28" s="3"/>
      <c r="R28" s="3"/>
      <c r="S28" s="3"/>
      <c r="T28" s="3"/>
      <c r="U28" s="3"/>
      <c r="V28" s="3"/>
      <c r="W28" s="36"/>
      <c r="X28" s="30"/>
      <c r="Y28" s="30"/>
      <c r="Z28" s="30"/>
      <c r="AA28" s="30"/>
      <c r="AB28" s="30"/>
    </row>
    <row r="29" spans="2:28" ht="17.399999999999999" x14ac:dyDescent="0.3">
      <c r="C29" s="19"/>
      <c r="D29" s="3"/>
      <c r="E29" s="17"/>
      <c r="F29" s="3"/>
      <c r="M29" s="3"/>
      <c r="N29" s="3"/>
      <c r="O29" s="3"/>
      <c r="P29" s="3"/>
      <c r="Q29" s="3"/>
      <c r="R29" s="3"/>
      <c r="S29" s="3"/>
      <c r="T29" s="3"/>
      <c r="U29" s="3"/>
      <c r="V29" s="3"/>
      <c r="W29" s="44" t="s">
        <v>54</v>
      </c>
      <c r="X29" s="37">
        <f>MIN(Table22342102[X-Y])</f>
        <v>-1.0720790999999998</v>
      </c>
      <c r="Y29" s="30">
        <f>X29</f>
        <v>-1.0720790999999998</v>
      </c>
      <c r="Z29" s="30"/>
      <c r="AA29" s="30"/>
      <c r="AB29" s="30"/>
    </row>
    <row r="30" spans="2:28" ht="17.399999999999999" x14ac:dyDescent="0.3">
      <c r="C30" s="19"/>
      <c r="D30" s="3"/>
      <c r="E30" s="17"/>
      <c r="F30" s="3"/>
      <c r="M30" s="3"/>
      <c r="N30" s="3"/>
      <c r="O30" s="3"/>
      <c r="P30" s="3"/>
      <c r="Q30" s="3"/>
      <c r="R30" s="3"/>
      <c r="S30" s="3"/>
      <c r="T30" s="3"/>
      <c r="U30" s="3"/>
      <c r="V30" s="3"/>
      <c r="W30" s="39" t="s">
        <v>37</v>
      </c>
      <c r="X30" s="63">
        <f>MAX(Table22342102[X-Y])</f>
        <v>2.0450409000000001</v>
      </c>
      <c r="Y30" s="30">
        <f>X30</f>
        <v>2.0450409000000001</v>
      </c>
      <c r="Z30" s="30"/>
      <c r="AA30" s="30"/>
      <c r="AB30" s="30"/>
    </row>
    <row r="31" spans="2:28" ht="15.6" x14ac:dyDescent="0.3">
      <c r="C31" s="19"/>
      <c r="D31" s="3"/>
      <c r="E31" s="17"/>
      <c r="F31" s="3"/>
      <c r="M31" s="3"/>
      <c r="N31" s="3"/>
      <c r="O31" s="3"/>
      <c r="P31" s="3"/>
      <c r="Q31" s="3"/>
      <c r="R31" s="3"/>
      <c r="S31" s="3"/>
      <c r="T31" s="3"/>
      <c r="U31" s="3"/>
      <c r="V31" s="3"/>
      <c r="W31" s="36"/>
      <c r="X31" s="30"/>
      <c r="Y31" s="30"/>
      <c r="Z31" s="40"/>
      <c r="AA31" s="30"/>
      <c r="AB31" s="30"/>
    </row>
    <row r="32" spans="2:28" x14ac:dyDescent="0.25">
      <c r="C32" s="19"/>
      <c r="D32" s="3"/>
      <c r="E32" s="17"/>
      <c r="F32" s="3"/>
      <c r="M32" s="3"/>
      <c r="N32" s="3"/>
      <c r="O32" s="3"/>
      <c r="P32" s="3"/>
      <c r="Q32" s="3"/>
      <c r="R32" s="3"/>
      <c r="S32" s="3"/>
      <c r="T32" s="3"/>
      <c r="U32" s="3"/>
      <c r="V32" s="3"/>
      <c r="W32" s="36"/>
      <c r="X32" s="30"/>
      <c r="Y32" s="30"/>
      <c r="Z32" s="30"/>
      <c r="AA32" s="30"/>
      <c r="AB32" s="30"/>
    </row>
    <row r="33" spans="3:28" x14ac:dyDescent="0.25">
      <c r="C33" s="19"/>
      <c r="D33" s="3"/>
      <c r="E33" s="17"/>
      <c r="F33" s="3"/>
      <c r="M33" s="3"/>
      <c r="N33" s="3"/>
      <c r="O33" s="3"/>
      <c r="P33" s="3"/>
      <c r="Q33" s="3"/>
      <c r="R33" s="3"/>
      <c r="S33" s="3"/>
      <c r="T33" s="3"/>
      <c r="U33" s="3"/>
      <c r="V33" s="3"/>
      <c r="W33" s="36"/>
      <c r="X33" s="30"/>
      <c r="Y33" s="30"/>
      <c r="Z33" s="30"/>
      <c r="AA33" s="30"/>
      <c r="AB33" s="30"/>
    </row>
    <row r="34" spans="3:28" x14ac:dyDescent="0.25">
      <c r="C34" s="19"/>
      <c r="D34" s="3"/>
      <c r="E34" s="17"/>
      <c r="F34" s="3"/>
      <c r="M34" s="3"/>
      <c r="N34" s="3"/>
      <c r="O34" s="3"/>
      <c r="P34" s="3"/>
      <c r="Q34" s="3"/>
      <c r="R34" s="3"/>
      <c r="S34" s="3"/>
      <c r="T34" s="3"/>
      <c r="U34" s="3"/>
      <c r="V34" s="3"/>
      <c r="W34" s="36"/>
      <c r="X34" s="30"/>
      <c r="Y34" s="30"/>
      <c r="Z34" s="30"/>
      <c r="AA34" s="30"/>
      <c r="AB34" s="30"/>
    </row>
    <row r="35" spans="3:28" x14ac:dyDescent="0.25">
      <c r="C35" s="19"/>
      <c r="D35" s="3"/>
      <c r="E35" s="17"/>
      <c r="F35" s="3"/>
      <c r="M35" s="3"/>
      <c r="N35" s="3"/>
      <c r="O35" s="3"/>
      <c r="P35" s="3"/>
      <c r="Q35" s="3"/>
      <c r="R35" s="3"/>
      <c r="S35" s="3"/>
      <c r="T35" s="3"/>
      <c r="U35" s="3"/>
      <c r="V35" s="3"/>
      <c r="W35" s="36"/>
      <c r="X35" s="30"/>
      <c r="Y35" s="30"/>
      <c r="Z35" s="30"/>
      <c r="AA35" s="30"/>
      <c r="AB35" s="30"/>
    </row>
    <row r="36" spans="3:28" x14ac:dyDescent="0.25">
      <c r="C36" s="19"/>
      <c r="D36" s="3"/>
      <c r="E36" s="17"/>
      <c r="F36" s="3"/>
      <c r="M36" s="3"/>
      <c r="N36" s="3"/>
      <c r="O36" s="3"/>
      <c r="P36" s="3"/>
      <c r="Q36" s="3"/>
      <c r="R36" s="3"/>
      <c r="S36" s="3"/>
      <c r="T36" s="3"/>
      <c r="U36" s="3"/>
      <c r="V36" s="3"/>
      <c r="W36" s="36"/>
      <c r="X36" s="30"/>
      <c r="Y36" s="30"/>
      <c r="Z36" s="30"/>
      <c r="AA36" s="30"/>
      <c r="AB36" s="30"/>
    </row>
    <row r="37" spans="3:28" x14ac:dyDescent="0.25">
      <c r="C37" s="19"/>
      <c r="D37" s="3"/>
      <c r="E37" s="17"/>
      <c r="F37" s="3"/>
      <c r="M37" s="3"/>
      <c r="N37" s="3"/>
      <c r="O37" s="3"/>
      <c r="P37" s="3"/>
      <c r="Q37" s="3"/>
      <c r="R37" s="3"/>
      <c r="S37" s="3"/>
      <c r="T37" s="3"/>
      <c r="U37" s="3"/>
      <c r="V37" s="3"/>
      <c r="W37" s="36"/>
      <c r="X37" s="30"/>
      <c r="Y37" s="30"/>
      <c r="Z37" s="30"/>
      <c r="AA37" s="30"/>
      <c r="AB37" s="30"/>
    </row>
    <row r="38" spans="3:28" x14ac:dyDescent="0.25">
      <c r="C38" s="19"/>
      <c r="D38" s="3"/>
      <c r="E38" s="17"/>
      <c r="F38" s="3"/>
      <c r="M38" s="3"/>
      <c r="N38" s="3"/>
      <c r="O38" s="3"/>
      <c r="P38" s="3"/>
      <c r="Q38" s="3"/>
      <c r="R38" s="3"/>
      <c r="S38" s="3"/>
      <c r="T38" s="3"/>
      <c r="U38" s="3"/>
      <c r="V38" s="3"/>
      <c r="W38" s="36"/>
      <c r="X38" s="30" t="s">
        <v>30</v>
      </c>
      <c r="Y38" s="30"/>
      <c r="Z38" s="30"/>
      <c r="AA38" s="30"/>
      <c r="AB38" s="30"/>
    </row>
    <row r="39" spans="3:28" ht="17.399999999999999" x14ac:dyDescent="0.3">
      <c r="C39" s="19"/>
      <c r="D39" s="3"/>
      <c r="E39" s="17"/>
      <c r="F39" s="3"/>
      <c r="M39" s="3"/>
      <c r="N39" s="3"/>
      <c r="O39" s="3"/>
      <c r="P39" s="3"/>
      <c r="Q39" s="3"/>
      <c r="R39" s="3"/>
      <c r="S39" s="3"/>
      <c r="T39" s="3"/>
      <c r="U39" s="3"/>
      <c r="V39" s="3"/>
      <c r="W39" s="36"/>
      <c r="X39" s="37">
        <f>X8</f>
        <v>142</v>
      </c>
      <c r="Y39" s="41" t="s">
        <v>34</v>
      </c>
      <c r="Z39" s="30"/>
      <c r="AA39" s="30"/>
      <c r="AB39" s="30"/>
    </row>
    <row r="40" spans="3:28" x14ac:dyDescent="0.25">
      <c r="C40" s="19"/>
      <c r="D40" s="3"/>
      <c r="E40" s="17"/>
      <c r="F40" s="3"/>
      <c r="M40" s="3"/>
      <c r="N40" s="3"/>
      <c r="O40" s="3"/>
      <c r="P40" s="3"/>
      <c r="Q40" s="3"/>
      <c r="R40" s="3"/>
      <c r="S40" s="3"/>
      <c r="T40" s="3"/>
      <c r="U40" s="3"/>
      <c r="V40" s="3"/>
      <c r="W40" s="36"/>
      <c r="X40" s="30"/>
      <c r="Y40" s="30" t="s">
        <v>35</v>
      </c>
      <c r="Z40" s="30"/>
      <c r="AA40" s="30"/>
      <c r="AB40" s="30"/>
    </row>
    <row r="41" spans="3:28" x14ac:dyDescent="0.25">
      <c r="C41" s="19"/>
      <c r="D41" s="3"/>
      <c r="E41" s="17"/>
      <c r="F41" s="3"/>
      <c r="M41" s="3"/>
      <c r="N41" s="3"/>
      <c r="O41" s="3"/>
      <c r="P41" s="3"/>
      <c r="Q41" s="3"/>
      <c r="R41" s="3"/>
      <c r="S41" s="3"/>
      <c r="T41" s="3"/>
      <c r="U41" s="3"/>
      <c r="V41" s="3"/>
      <c r="W41" s="36"/>
      <c r="X41" s="30"/>
      <c r="Y41" s="30" t="s">
        <v>36</v>
      </c>
      <c r="Z41" s="30"/>
      <c r="AA41" s="30"/>
      <c r="AB41" s="30"/>
    </row>
    <row r="42" spans="3:28" x14ac:dyDescent="0.25">
      <c r="C42" s="19"/>
      <c r="D42" s="3"/>
      <c r="E42" s="17"/>
      <c r="F42" s="3"/>
      <c r="M42" s="3"/>
      <c r="N42" s="3"/>
      <c r="O42" s="3"/>
      <c r="P42" s="3"/>
      <c r="Q42" s="3"/>
      <c r="R42" s="3"/>
      <c r="S42" s="3"/>
      <c r="T42" s="3"/>
      <c r="U42" s="3"/>
      <c r="V42" s="3"/>
      <c r="W42" s="36"/>
      <c r="X42" s="30"/>
      <c r="Y42" s="30"/>
      <c r="Z42" s="30"/>
      <c r="AA42" s="30"/>
      <c r="AB42" s="30"/>
    </row>
    <row r="43" spans="3:28" x14ac:dyDescent="0.25">
      <c r="C43" s="19"/>
      <c r="D43" s="3"/>
      <c r="E43" s="17"/>
      <c r="F43" s="3"/>
      <c r="M43" s="3"/>
      <c r="N43" s="3"/>
      <c r="O43" s="3"/>
      <c r="P43" s="3"/>
      <c r="Q43" s="3"/>
      <c r="R43" s="3"/>
      <c r="S43" s="3"/>
      <c r="T43" s="3"/>
      <c r="U43" s="3"/>
      <c r="V43" s="3"/>
      <c r="W43" s="36"/>
      <c r="X43" s="30"/>
      <c r="Y43" s="30"/>
      <c r="Z43" s="30"/>
      <c r="AA43" s="30"/>
      <c r="AB43" s="30"/>
    </row>
    <row r="44" spans="3:28" x14ac:dyDescent="0.25">
      <c r="C44" s="19"/>
      <c r="D44" s="3"/>
      <c r="E44" s="17"/>
      <c r="F44" s="3"/>
      <c r="M44" s="3"/>
      <c r="N44" s="3"/>
      <c r="O44" s="3"/>
      <c r="P44" s="3"/>
      <c r="Q44" s="3"/>
      <c r="R44" s="3"/>
      <c r="S44" s="3"/>
      <c r="T44" s="3"/>
      <c r="U44" s="3"/>
      <c r="V44" s="3"/>
      <c r="W44" s="36"/>
      <c r="X44" s="30"/>
      <c r="Y44" s="30"/>
      <c r="Z44" s="30"/>
      <c r="AA44" s="30"/>
      <c r="AB44" s="30"/>
    </row>
    <row r="45" spans="3:28" ht="15" x14ac:dyDescent="0.25">
      <c r="C45" s="19"/>
      <c r="D45" s="3"/>
      <c r="E45" s="17"/>
      <c r="F45" s="3"/>
      <c r="M45" s="3"/>
      <c r="N45" s="3"/>
      <c r="O45" s="3"/>
      <c r="P45" s="3"/>
      <c r="Q45" s="3"/>
      <c r="R45" s="3"/>
      <c r="S45" s="3"/>
      <c r="T45" s="3"/>
      <c r="U45" s="3"/>
      <c r="V45" s="3"/>
      <c r="W45" s="36"/>
      <c r="X45" s="58"/>
      <c r="Y45" s="30"/>
      <c r="Z45" s="30"/>
      <c r="AA45" s="30"/>
      <c r="AB45" s="30"/>
    </row>
    <row r="46" spans="3:28" x14ac:dyDescent="0.25">
      <c r="C46" s="19"/>
      <c r="D46" s="3"/>
      <c r="E46" s="17"/>
      <c r="F46" s="3"/>
      <c r="M46" s="3"/>
      <c r="N46" s="3"/>
      <c r="O46" s="3"/>
      <c r="P46" s="3"/>
      <c r="Q46" s="3"/>
      <c r="R46" s="3"/>
      <c r="S46" s="3"/>
      <c r="T46" s="3"/>
      <c r="U46" s="3"/>
      <c r="V46" s="3"/>
      <c r="W46" s="36"/>
      <c r="X46" s="30"/>
      <c r="Y46" s="30"/>
      <c r="Z46" s="30"/>
      <c r="AA46" s="30"/>
      <c r="AB46" s="30"/>
    </row>
    <row r="47" spans="3:28" x14ac:dyDescent="0.25">
      <c r="C47" s="19"/>
      <c r="D47" s="3"/>
      <c r="E47" s="17"/>
      <c r="F47" s="3"/>
      <c r="M47" s="3"/>
      <c r="N47" s="3"/>
      <c r="O47" s="3"/>
      <c r="P47" s="3"/>
      <c r="Q47" s="3"/>
      <c r="R47" s="3"/>
      <c r="S47" s="3"/>
      <c r="T47" s="3"/>
      <c r="U47" s="3"/>
      <c r="V47" s="3"/>
      <c r="W47" s="36"/>
      <c r="X47" s="30"/>
      <c r="Y47" s="30"/>
      <c r="Z47" s="30"/>
      <c r="AA47" s="30"/>
      <c r="AB47" s="30"/>
    </row>
    <row r="48" spans="3:28" x14ac:dyDescent="0.25">
      <c r="C48" s="19"/>
      <c r="D48" s="3"/>
      <c r="E48" s="17"/>
      <c r="F48" s="3"/>
      <c r="M48" s="3"/>
      <c r="N48" s="3"/>
      <c r="O48" s="3"/>
      <c r="P48" s="3"/>
      <c r="Q48" s="3"/>
      <c r="R48" s="3"/>
      <c r="S48" s="3"/>
      <c r="T48" s="3"/>
      <c r="U48" s="3"/>
      <c r="V48" s="3"/>
      <c r="W48" s="36"/>
      <c r="X48" s="30"/>
      <c r="Y48" s="30"/>
      <c r="Z48" s="30"/>
      <c r="AA48" s="30"/>
      <c r="AB48" s="30"/>
    </row>
    <row r="49" spans="2:28" x14ac:dyDescent="0.25">
      <c r="C49" s="19"/>
      <c r="D49" s="3"/>
      <c r="E49" s="17"/>
      <c r="F49" s="3"/>
      <c r="M49" s="3"/>
      <c r="N49" s="3"/>
      <c r="O49" s="3"/>
      <c r="P49" s="3"/>
      <c r="Q49" s="3"/>
      <c r="R49" s="3"/>
      <c r="S49" s="3"/>
      <c r="T49" s="3"/>
      <c r="U49" s="3"/>
      <c r="V49" s="3"/>
      <c r="W49" s="36"/>
      <c r="X49" s="30"/>
      <c r="Y49" s="30"/>
      <c r="Z49" s="30"/>
      <c r="AA49" s="30"/>
      <c r="AB49" s="30"/>
    </row>
    <row r="50" spans="2:28" x14ac:dyDescent="0.25">
      <c r="C50" s="19"/>
      <c r="D50" s="3"/>
      <c r="E50" s="17"/>
      <c r="F50" s="3"/>
      <c r="M50" s="3"/>
      <c r="N50" s="3"/>
      <c r="O50" s="3"/>
      <c r="P50" s="3"/>
      <c r="Q50" s="3"/>
      <c r="R50" s="3"/>
      <c r="S50" s="3"/>
      <c r="T50" s="3"/>
      <c r="U50" s="3"/>
      <c r="V50" s="3"/>
      <c r="W50" s="36"/>
      <c r="X50" s="30"/>
      <c r="Y50" s="30"/>
      <c r="Z50" s="30"/>
      <c r="AA50" s="30"/>
      <c r="AB50" s="30"/>
    </row>
    <row r="51" spans="2:28" x14ac:dyDescent="0.25">
      <c r="C51" s="19"/>
      <c r="D51" s="3"/>
      <c r="E51" s="17"/>
      <c r="F51" s="3"/>
      <c r="M51" s="3"/>
      <c r="N51" s="3"/>
      <c r="O51" s="3"/>
      <c r="P51" s="3"/>
      <c r="Q51" s="3"/>
      <c r="R51" s="3"/>
      <c r="S51" s="3"/>
      <c r="T51" s="3"/>
      <c r="U51" s="3"/>
      <c r="V51" s="3"/>
      <c r="W51" s="36"/>
      <c r="X51" s="30"/>
      <c r="Y51" s="30"/>
      <c r="Z51" s="30"/>
      <c r="AA51" s="30"/>
      <c r="AB51" s="30"/>
    </row>
    <row r="52" spans="2:28" x14ac:dyDescent="0.25">
      <c r="C52" s="19"/>
      <c r="D52" s="3"/>
      <c r="E52" s="17"/>
      <c r="F52" s="3"/>
      <c r="M52" s="3"/>
      <c r="N52" s="3"/>
      <c r="O52" s="3"/>
      <c r="P52" s="3"/>
      <c r="Q52" s="3"/>
      <c r="R52" s="3"/>
      <c r="S52" s="3"/>
      <c r="T52" s="3"/>
      <c r="U52" s="3"/>
      <c r="V52" s="3"/>
      <c r="W52" s="36"/>
      <c r="X52" s="30"/>
      <c r="Y52" s="30"/>
      <c r="Z52" s="30"/>
      <c r="AA52" s="30"/>
      <c r="AB52" s="30"/>
    </row>
    <row r="53" spans="2:28" x14ac:dyDescent="0.25">
      <c r="C53" s="19"/>
      <c r="D53" s="3"/>
      <c r="E53" s="17"/>
      <c r="F53" s="3"/>
      <c r="M53" s="3"/>
      <c r="N53" s="3"/>
      <c r="O53" s="3"/>
      <c r="P53" s="3"/>
      <c r="Q53" s="3"/>
      <c r="R53" s="3"/>
      <c r="S53" s="3"/>
      <c r="T53" s="3"/>
      <c r="U53" s="3"/>
      <c r="V53" s="3"/>
      <c r="W53" s="36"/>
      <c r="X53" s="30"/>
      <c r="Y53" s="30"/>
      <c r="Z53" s="30"/>
      <c r="AA53" s="30"/>
      <c r="AB53" s="30"/>
    </row>
    <row r="54" spans="2:28" x14ac:dyDescent="0.25">
      <c r="C54" s="19"/>
      <c r="D54" s="3"/>
      <c r="E54" s="17"/>
      <c r="F54" s="3"/>
      <c r="M54" s="3"/>
      <c r="N54" s="3"/>
      <c r="O54" s="3"/>
      <c r="P54" s="3"/>
      <c r="Q54" s="3"/>
      <c r="R54" s="3"/>
      <c r="S54" s="3"/>
      <c r="T54" s="3"/>
      <c r="U54" s="3"/>
      <c r="V54" s="3"/>
      <c r="W54" s="36"/>
      <c r="X54" s="30"/>
      <c r="Y54" s="30"/>
      <c r="Z54" s="30"/>
      <c r="AA54" s="30"/>
      <c r="AB54" s="30"/>
    </row>
    <row r="55" spans="2:28" ht="15.75" customHeight="1" x14ac:dyDescent="0.3">
      <c r="C55" s="19"/>
      <c r="D55" s="3"/>
      <c r="E55" s="17"/>
      <c r="F55" s="3"/>
      <c r="M55" s="3"/>
      <c r="N55" s="3"/>
      <c r="O55" s="3"/>
      <c r="P55" s="3"/>
      <c r="Q55" s="3"/>
      <c r="R55" s="3"/>
      <c r="S55" s="3"/>
      <c r="T55" s="3"/>
      <c r="U55" s="3"/>
      <c r="V55" s="3"/>
      <c r="W55" s="36"/>
      <c r="X55" s="30"/>
      <c r="Y55" s="30"/>
      <c r="Z55" s="40"/>
      <c r="AA55" s="30"/>
      <c r="AB55" s="30"/>
    </row>
    <row r="56" spans="2:28" ht="15.75" customHeight="1" x14ac:dyDescent="0.3">
      <c r="C56" s="19"/>
      <c r="D56" s="3"/>
      <c r="E56" s="17"/>
      <c r="F56" s="3"/>
      <c r="M56" s="3"/>
      <c r="N56" s="3"/>
      <c r="O56" s="3"/>
      <c r="P56" s="3"/>
      <c r="Q56" s="3"/>
      <c r="R56" s="3"/>
      <c r="S56" s="3"/>
      <c r="T56" s="3"/>
      <c r="U56" s="3"/>
      <c r="V56" s="3"/>
      <c r="W56" s="36"/>
      <c r="X56" s="30"/>
      <c r="Y56" s="30"/>
      <c r="Z56" s="59"/>
      <c r="AA56" s="30"/>
      <c r="AB56" s="30"/>
    </row>
    <row r="57" spans="2:28" ht="15.75" customHeight="1" x14ac:dyDescent="0.3">
      <c r="C57" s="19"/>
      <c r="D57" s="3"/>
      <c r="E57" s="17"/>
      <c r="F57" s="3"/>
      <c r="M57" s="3"/>
      <c r="N57" s="3"/>
      <c r="O57" s="3"/>
      <c r="P57" s="3"/>
      <c r="Q57" s="3"/>
      <c r="R57" s="3"/>
      <c r="S57" s="3"/>
      <c r="T57" s="3"/>
      <c r="U57" s="3"/>
      <c r="V57" s="3"/>
      <c r="W57" s="36"/>
      <c r="X57" s="30"/>
      <c r="Y57" s="30"/>
      <c r="Z57" s="59"/>
      <c r="AA57" s="30"/>
      <c r="AB57" s="30"/>
    </row>
    <row r="58" spans="2:28" ht="15.75" customHeight="1" x14ac:dyDescent="0.3">
      <c r="C58" s="19"/>
      <c r="D58" s="3"/>
      <c r="E58" s="17"/>
      <c r="F58" s="3"/>
      <c r="M58" s="3"/>
      <c r="N58" s="3"/>
      <c r="O58" s="3"/>
      <c r="P58" s="3"/>
      <c r="Q58" s="3"/>
      <c r="R58" s="3"/>
      <c r="S58" s="3"/>
      <c r="T58" s="3"/>
      <c r="U58" s="3"/>
      <c r="V58" s="3"/>
      <c r="W58" s="36"/>
      <c r="X58" s="30" t="s">
        <v>30</v>
      </c>
      <c r="Y58" s="30"/>
      <c r="Z58" s="60"/>
      <c r="AA58" s="30"/>
      <c r="AB58" s="30"/>
    </row>
    <row r="59" spans="2:28" ht="17.399999999999999" x14ac:dyDescent="0.3">
      <c r="C59" s="19"/>
      <c r="D59" s="3"/>
      <c r="E59" s="17"/>
      <c r="F59" s="3"/>
      <c r="M59" s="3"/>
      <c r="N59" s="3"/>
      <c r="O59" s="3"/>
      <c r="P59" s="3"/>
      <c r="Q59" s="3"/>
      <c r="R59" s="3"/>
      <c r="S59" s="3"/>
      <c r="T59" s="3"/>
      <c r="U59" s="3"/>
      <c r="V59" s="3"/>
      <c r="W59" s="36">
        <f>W60*E8</f>
        <v>48.662407013233974</v>
      </c>
      <c r="X59" s="37">
        <f>X39</f>
        <v>142</v>
      </c>
      <c r="Y59" s="30"/>
      <c r="Z59" s="30"/>
      <c r="AA59" s="30"/>
      <c r="AB59" s="30"/>
    </row>
    <row r="60" spans="2:28" ht="17.399999999999999" x14ac:dyDescent="0.3">
      <c r="C60" s="19"/>
      <c r="D60" s="3"/>
      <c r="E60" s="17"/>
      <c r="F60" s="3"/>
      <c r="M60" s="3"/>
      <c r="N60" s="42"/>
      <c r="O60" s="3"/>
      <c r="P60" s="3"/>
      <c r="Q60" s="3"/>
      <c r="R60" s="3"/>
      <c r="S60" s="3"/>
      <c r="T60" s="3">
        <f>MEDIAN(Table22342102[abs(lab)])</f>
        <v>0.98999974999999907</v>
      </c>
      <c r="U60" s="3"/>
      <c r="V60" s="3">
        <f>MEDIAN(Table22342102[abs(anl)])</f>
        <v>0.88819099999999995</v>
      </c>
      <c r="W60" s="2">
        <f>MEDIAN(Table22342102[Produits Lab x Anl])</f>
        <v>0.60828008766542463</v>
      </c>
      <c r="X60" s="37"/>
      <c r="Z60" s="60"/>
      <c r="AA60" s="30"/>
      <c r="AB60" s="30"/>
    </row>
    <row r="61" spans="2:28" ht="13.8" x14ac:dyDescent="0.25">
      <c r="D61" s="43" t="s">
        <v>1</v>
      </c>
      <c r="E61" s="1"/>
      <c r="F61" s="43" t="s">
        <v>2</v>
      </c>
      <c r="G61" s="4"/>
      <c r="M61" s="3"/>
      <c r="W61" s="22"/>
      <c r="Y61" s="22"/>
    </row>
    <row r="62" spans="2:28" s="22" customFormat="1" ht="41.4" x14ac:dyDescent="0.25">
      <c r="B62" s="20" t="s">
        <v>0</v>
      </c>
      <c r="C62" t="s">
        <v>67</v>
      </c>
      <c r="D62" t="s">
        <v>65</v>
      </c>
      <c r="E62" t="s">
        <v>66</v>
      </c>
      <c r="F62" s="78" t="s">
        <v>68</v>
      </c>
      <c r="G62" s="20" t="s">
        <v>48</v>
      </c>
      <c r="H62" s="20" t="s">
        <v>3</v>
      </c>
      <c r="I62" s="20" t="s">
        <v>23</v>
      </c>
      <c r="J62" s="20" t="s">
        <v>4</v>
      </c>
      <c r="K62" s="20" t="s">
        <v>51</v>
      </c>
      <c r="L62" s="20" t="s">
        <v>52</v>
      </c>
      <c r="M62" s="21" t="s">
        <v>5</v>
      </c>
      <c r="N62" s="21" t="s">
        <v>32</v>
      </c>
      <c r="O62" s="21" t="s">
        <v>31</v>
      </c>
      <c r="P62" s="21" t="s">
        <v>33</v>
      </c>
      <c r="Q62" s="21" t="s">
        <v>50</v>
      </c>
      <c r="R62" s="21" t="s">
        <v>49</v>
      </c>
      <c r="S62" s="21" t="s">
        <v>58</v>
      </c>
      <c r="T62" s="21" t="s">
        <v>60</v>
      </c>
      <c r="U62" s="64" t="s">
        <v>59</v>
      </c>
      <c r="V62" s="64" t="s">
        <v>61</v>
      </c>
      <c r="W62" s="21" t="s">
        <v>62</v>
      </c>
      <c r="X62" s="22" t="str">
        <f>D62</f>
        <v>REF</v>
      </c>
      <c r="Z62" s="2"/>
      <c r="AA62" s="22" t="str">
        <f>F62</f>
        <v>Ypred</v>
      </c>
      <c r="AB62" s="2"/>
    </row>
    <row r="63" spans="2:28" ht="14.4" x14ac:dyDescent="0.3">
      <c r="B63" s="46">
        <f ca="1">VALUE((Table22342102[[#This Row],[Column3]]-62))</f>
        <v>1</v>
      </c>
      <c r="C63" t="s">
        <v>69</v>
      </c>
      <c r="D63">
        <v>9.9399996000000002</v>
      </c>
      <c r="E63"/>
      <c r="F63" s="81">
        <v>10.118334000000001</v>
      </c>
      <c r="G63" s="29">
        <f>Table22342102[[#This Row],[Ypred]]-Table22342102[[#This Row],[REF]]</f>
        <v>0.17833440000000067</v>
      </c>
      <c r="H63" s="29">
        <f>Table22342102[[#This Row],[X-Y]]-E$20</f>
        <v>-0.53914504499999971</v>
      </c>
      <c r="I63" s="29">
        <f>Table22342102[[#This Row],[Ypred]]-E$20</f>
        <v>9.4008545550000004</v>
      </c>
      <c r="J63" s="29">
        <f>Table22342102[[#This Row],[Ypred]]*E$21+E$22</f>
        <v>9.7819769008392434</v>
      </c>
      <c r="K63" s="56">
        <f>Table22342102[[#This Row],[Yest]]-Table22342102[[#This Row],[REF]]</f>
        <v>-0.15802269916075673</v>
      </c>
      <c r="L63" s="56">
        <f>ABS(Table22342102[[#This Row],[RESyx]])</f>
        <v>0.15802269916075673</v>
      </c>
      <c r="M63" s="29">
        <f>Table22342102[[#This Row],[Ypred]]*E$25+E$26</f>
        <v>9.4867125091905464</v>
      </c>
      <c r="N63" s="29">
        <f>Table22342102[[#This Row],[X-Y]]^2</f>
        <v>3.1803158223360238E-2</v>
      </c>
      <c r="O63" s="57">
        <f>Table22342102[[#This Row],[yest_rect]]-Table22342102[[#This Row],[REF]]</f>
        <v>-0.45328709080945373</v>
      </c>
      <c r="P63" s="57">
        <f>Table22342102[[#This Row],[dif rec]]^2</f>
        <v>0.20546918669449796</v>
      </c>
      <c r="Q63" s="57">
        <f>ABS(Table22342102[[#This Row],[diff-bias]])</f>
        <v>0.53914504499999971</v>
      </c>
      <c r="R63" s="57">
        <f ca="1">CELL("row",Table22342102[[#This Row],[Position]])</f>
        <v>63</v>
      </c>
      <c r="S63" s="4">
        <f>Table22342102[[#This Row],[REF]]-D$13</f>
        <v>-1.0700006500000008</v>
      </c>
      <c r="T63" s="4">
        <f>ABS(Table22342102[[#This Row],[lab-med]])</f>
        <v>1.0700006500000008</v>
      </c>
      <c r="U63" s="4">
        <f>Table22342102[[#This Row],[Ypred]]-F$13</f>
        <v>-1.6056349999999995</v>
      </c>
      <c r="V63" s="4">
        <f>ABS(Table22342102[[#This Row],[anl-med]])</f>
        <v>1.6056349999999995</v>
      </c>
      <c r="W63" s="4">
        <f>Table22342102[[#This Row],[lab-med]]*Table22342102[[#This Row],[anl-med]]</f>
        <v>1.7180304936627506</v>
      </c>
    </row>
    <row r="64" spans="2:28" ht="14.4" x14ac:dyDescent="0.3">
      <c r="B64" s="46">
        <f ca="1">VALUE((Table22342102[[#This Row],[Column3]]-62))</f>
        <v>2</v>
      </c>
      <c r="C64" t="s">
        <v>70</v>
      </c>
      <c r="D64">
        <v>10.0200005</v>
      </c>
      <c r="E64"/>
      <c r="F64" s="81">
        <v>10.84305</v>
      </c>
      <c r="G64" s="29">
        <f>Table22342102[[#This Row],[Ypred]]-Table22342102[[#This Row],[REF]]</f>
        <v>0.82304949999999977</v>
      </c>
      <c r="H64" s="29">
        <f>Table22342102[[#This Row],[X-Y]]-E$20</f>
        <v>0.10557005499999939</v>
      </c>
      <c r="I64" s="29">
        <f>Table22342102[[#This Row],[Ypred]]-E$20</f>
        <v>10.125570554999999</v>
      </c>
      <c r="J64" s="29">
        <f>Table22342102[[#This Row],[Ypred]]*E$21+E$22</f>
        <v>10.345041186594766</v>
      </c>
      <c r="K64" s="56">
        <f>Table22342102[[#This Row],[Yest]]-Table22342102[[#This Row],[REF]]</f>
        <v>0.32504068659476637</v>
      </c>
      <c r="L64" s="56">
        <f>ABS(Table22342102[[#This Row],[RESyx]])</f>
        <v>0.32504068659476637</v>
      </c>
      <c r="M64" s="29">
        <f>Table22342102[[#This Row],[Ypred]]*E$25+E$26</f>
        <v>10.175012157255413</v>
      </c>
      <c r="N64" s="29">
        <f>Table22342102[[#This Row],[X-Y]]^2</f>
        <v>0.67741047945024957</v>
      </c>
      <c r="O64" s="57">
        <f>Table22342102[[#This Row],[yest_rect]]-Table22342102[[#This Row],[REF]]</f>
        <v>0.15501165725541277</v>
      </c>
      <c r="P64" s="57">
        <f>Table22342102[[#This Row],[dif rec]]^2</f>
        <v>2.4028613885069564E-2</v>
      </c>
      <c r="Q64" s="57">
        <f>ABS(Table22342102[[#This Row],[diff-bias]])</f>
        <v>0.10557005499999939</v>
      </c>
      <c r="R64" s="57">
        <f ca="1">CELL("row",Table22342102[[#This Row],[Position]])</f>
        <v>64</v>
      </c>
      <c r="S64" s="4">
        <f>Table22342102[[#This Row],[REF]]-D$13</f>
        <v>-0.98999975000000084</v>
      </c>
      <c r="T64" s="4">
        <f>ABS(Table22342102[[#This Row],[lab-med]])</f>
        <v>0.98999975000000084</v>
      </c>
      <c r="U64" s="4">
        <f>Table22342102[[#This Row],[Ypred]]-F$13</f>
        <v>-0.88091900000000045</v>
      </c>
      <c r="V64" s="4">
        <f>ABS(Table22342102[[#This Row],[anl-med]])</f>
        <v>0.88091900000000045</v>
      </c>
      <c r="W64" s="4">
        <f>Table22342102[[#This Row],[lab-med]]*Table22342102[[#This Row],[anl-med]]</f>
        <v>0.87210958977025121</v>
      </c>
    </row>
    <row r="65" spans="2:23" ht="14.4" x14ac:dyDescent="0.3">
      <c r="B65" s="46">
        <f ca="1">VALUE((Table22342102[[#This Row],[Column3]]-62))</f>
        <v>3</v>
      </c>
      <c r="C65" t="s">
        <v>71</v>
      </c>
      <c r="D65">
        <v>10</v>
      </c>
      <c r="E65"/>
      <c r="F65" s="81">
        <v>10.022606</v>
      </c>
      <c r="G65" s="29">
        <f>Table22342102[[#This Row],[Ypred]]-Table22342102[[#This Row],[REF]]</f>
        <v>2.2605999999999682E-2</v>
      </c>
      <c r="H65" s="29">
        <f>Table22342102[[#This Row],[X-Y]]-E$20</f>
        <v>-0.6948734450000007</v>
      </c>
      <c r="I65" s="29">
        <f>Table22342102[[#This Row],[Ypred]]-E$20</f>
        <v>9.3051265549999993</v>
      </c>
      <c r="J65" s="29">
        <f>Table22342102[[#This Row],[Ypred]]*E$21+E$22</f>
        <v>9.7076015345622402</v>
      </c>
      <c r="K65" s="56">
        <f>Table22342102[[#This Row],[Yest]]-Table22342102[[#This Row],[REF]]</f>
        <v>-0.29239846543775982</v>
      </c>
      <c r="L65" s="56">
        <f>ABS(Table22342102[[#This Row],[RESyx]])</f>
        <v>0.29239846543775982</v>
      </c>
      <c r="M65" s="29">
        <f>Table22342102[[#This Row],[Ypred]]*E$25+E$26</f>
        <v>9.3957947583613191</v>
      </c>
      <c r="N65" s="29">
        <f>Table22342102[[#This Row],[X-Y]]^2</f>
        <v>5.1103123599998562E-4</v>
      </c>
      <c r="O65" s="57">
        <f>Table22342102[[#This Row],[yest_rect]]-Table22342102[[#This Row],[REF]]</f>
        <v>-0.60420524163868095</v>
      </c>
      <c r="P65" s="57">
        <f>Table22342102[[#This Row],[dif rec]]^2</f>
        <v>0.36506397402365681</v>
      </c>
      <c r="Q65" s="57">
        <f>ABS(Table22342102[[#This Row],[diff-bias]])</f>
        <v>0.6948734450000007</v>
      </c>
      <c r="R65" s="57">
        <f ca="1">CELL("row",Table22342102[[#This Row],[Position]])</f>
        <v>65</v>
      </c>
      <c r="S65" s="4">
        <f>Table22342102[[#This Row],[REF]]-D$13</f>
        <v>-1.0100002500000009</v>
      </c>
      <c r="T65" s="4">
        <f>ABS(Table22342102[[#This Row],[lab-med]])</f>
        <v>1.0100002500000009</v>
      </c>
      <c r="U65" s="4">
        <f>Table22342102[[#This Row],[Ypred]]-F$13</f>
        <v>-1.7013630000000006</v>
      </c>
      <c r="V65" s="4">
        <f>ABS(Table22342102[[#This Row],[anl-med]])</f>
        <v>1.7013630000000006</v>
      </c>
      <c r="W65" s="4">
        <f>Table22342102[[#This Row],[lab-med]]*Table22342102[[#This Row],[anl-med]]</f>
        <v>1.7183770553407522</v>
      </c>
    </row>
    <row r="66" spans="2:23" ht="14.4" x14ac:dyDescent="0.3">
      <c r="B66" s="46">
        <f ca="1">VALUE((Table22342102[[#This Row],[Column3]]-62))</f>
        <v>4</v>
      </c>
      <c r="C66" t="s">
        <v>72</v>
      </c>
      <c r="D66">
        <v>10.5</v>
      </c>
      <c r="E66"/>
      <c r="F66" s="81">
        <v>11.288049000000001</v>
      </c>
      <c r="G66" s="29">
        <f>Table22342102[[#This Row],[Ypred]]-Table22342102[[#This Row],[REF]]</f>
        <v>0.78804900000000089</v>
      </c>
      <c r="H66" s="29">
        <f>Table22342102[[#This Row],[X-Y]]-E$20</f>
        <v>7.0569555000000506E-2</v>
      </c>
      <c r="I66" s="29">
        <f>Table22342102[[#This Row],[Ypred]]-E$20</f>
        <v>10.570569555000001</v>
      </c>
      <c r="J66" s="29">
        <f>Table22342102[[#This Row],[Ypred]]*E$21+E$22</f>
        <v>10.69078081990895</v>
      </c>
      <c r="K66" s="56">
        <f>Table22342102[[#This Row],[Yest]]-Table22342102[[#This Row],[REF]]</f>
        <v>0.19078081990894979</v>
      </c>
      <c r="L66" s="56">
        <f>ABS(Table22342102[[#This Row],[RESyx]])</f>
        <v>0.19078081990894979</v>
      </c>
      <c r="M66" s="29">
        <f>Table22342102[[#This Row],[Ypred]]*E$25+E$26</f>
        <v>10.597650342543467</v>
      </c>
      <c r="N66" s="29">
        <f>Table22342102[[#This Row],[X-Y]]^2</f>
        <v>0.62102122640100144</v>
      </c>
      <c r="O66" s="57">
        <f>Table22342102[[#This Row],[yest_rect]]-Table22342102[[#This Row],[REF]]</f>
        <v>9.7650342543467161E-2</v>
      </c>
      <c r="P66" s="57">
        <f>Table22342102[[#This Row],[dif rec]]^2</f>
        <v>9.5355893988564727E-3</v>
      </c>
      <c r="Q66" s="57">
        <f>ABS(Table22342102[[#This Row],[diff-bias]])</f>
        <v>7.0569555000000506E-2</v>
      </c>
      <c r="R66" s="57">
        <f ca="1">CELL("row",Table22342102[[#This Row],[Position]])</f>
        <v>66</v>
      </c>
      <c r="S66" s="4">
        <f>Table22342102[[#This Row],[REF]]-D$13</f>
        <v>-0.51000025000000093</v>
      </c>
      <c r="T66" s="4">
        <f>ABS(Table22342102[[#This Row],[lab-med]])</f>
        <v>0.51000025000000093</v>
      </c>
      <c r="U66" s="4">
        <f>Table22342102[[#This Row],[Ypred]]-F$13</f>
        <v>-0.43591999999999942</v>
      </c>
      <c r="V66" s="4">
        <f>ABS(Table22342102[[#This Row],[anl-med]])</f>
        <v>0.43591999999999942</v>
      </c>
      <c r="W66" s="4">
        <f>Table22342102[[#This Row],[lab-med]]*Table22342102[[#This Row],[anl-med]]</f>
        <v>0.2223193089800001</v>
      </c>
    </row>
    <row r="67" spans="2:23" ht="14.4" x14ac:dyDescent="0.3">
      <c r="B67" s="46">
        <f ca="1">VALUE((Table22342102[[#This Row],[Column3]]-62))</f>
        <v>5</v>
      </c>
      <c r="C67" t="s">
        <v>73</v>
      </c>
      <c r="D67">
        <v>10.779999699999999</v>
      </c>
      <c r="E67"/>
      <c r="F67" s="81">
        <v>10.828506000000001</v>
      </c>
      <c r="G67" s="29">
        <f>Table22342102[[#This Row],[Ypred]]-Table22342102[[#This Row],[REF]]</f>
        <v>4.8506300000001445E-2</v>
      </c>
      <c r="H67" s="29">
        <f>Table22342102[[#This Row],[X-Y]]-E$20</f>
        <v>-0.66897314499999894</v>
      </c>
      <c r="I67" s="29">
        <f>Table22342102[[#This Row],[Ypred]]-E$20</f>
        <v>10.111026555</v>
      </c>
      <c r="J67" s="29">
        <f>Table22342102[[#This Row],[Ypred]]*E$21+E$22</f>
        <v>10.333741302264865</v>
      </c>
      <c r="K67" s="56">
        <f>Table22342102[[#This Row],[Yest]]-Table22342102[[#This Row],[REF]]</f>
        <v>-0.44625839773513398</v>
      </c>
      <c r="L67" s="56">
        <f>ABS(Table22342102[[#This Row],[RESyx]])</f>
        <v>0.44625839773513398</v>
      </c>
      <c r="M67" s="29">
        <f>Table22342102[[#This Row],[Ypred]]*E$25+E$26</f>
        <v>10.161198980671131</v>
      </c>
      <c r="N67" s="29">
        <f>Table22342102[[#This Row],[X-Y]]^2</f>
        <v>2.35286113969014E-3</v>
      </c>
      <c r="O67" s="57">
        <f>Table22342102[[#This Row],[yest_rect]]-Table22342102[[#This Row],[REF]]</f>
        <v>-0.61880071932886871</v>
      </c>
      <c r="P67" s="57">
        <f>Table22342102[[#This Row],[dif rec]]^2</f>
        <v>0.38291433024192534</v>
      </c>
      <c r="Q67" s="57">
        <f>ABS(Table22342102[[#This Row],[diff-bias]])</f>
        <v>0.66897314499999894</v>
      </c>
      <c r="R67" s="57">
        <f ca="1">CELL("row",Table22342102[[#This Row],[Position]])</f>
        <v>67</v>
      </c>
      <c r="S67" s="4">
        <f>Table22342102[[#This Row],[REF]]-D$13</f>
        <v>-0.23000055000000152</v>
      </c>
      <c r="T67" s="4">
        <f>ABS(Table22342102[[#This Row],[lab-med]])</f>
        <v>0.23000055000000152</v>
      </c>
      <c r="U67" s="4">
        <f>Table22342102[[#This Row],[Ypred]]-F$13</f>
        <v>-0.89546299999999945</v>
      </c>
      <c r="V67" s="4">
        <f>ABS(Table22342102[[#This Row],[anl-med]])</f>
        <v>0.89546299999999945</v>
      </c>
      <c r="W67" s="4">
        <f>Table22342102[[#This Row],[lab-med]]*Table22342102[[#This Row],[anl-med]]</f>
        <v>0.20595698250465125</v>
      </c>
    </row>
    <row r="68" spans="2:23" ht="14.4" x14ac:dyDescent="0.3">
      <c r="B68" s="46">
        <f ca="1">VALUE((Table22342102[[#This Row],[Column3]]-62))</f>
        <v>6</v>
      </c>
      <c r="C68" t="s">
        <v>74</v>
      </c>
      <c r="D68">
        <v>10.449999800000001</v>
      </c>
      <c r="E68"/>
      <c r="F68" s="81">
        <v>11.729756999999999</v>
      </c>
      <c r="G68" s="29">
        <f>Table22342102[[#This Row],[Ypred]]-Table22342102[[#This Row],[REF]]</f>
        <v>1.2797571999999988</v>
      </c>
      <c r="H68" s="29">
        <f>Table22342102[[#This Row],[X-Y]]-E$20</f>
        <v>0.56227775499999844</v>
      </c>
      <c r="I68" s="29">
        <f>Table22342102[[#This Row],[Ypred]]-E$20</f>
        <v>11.012277554999999</v>
      </c>
      <c r="J68" s="29">
        <f>Table22342102[[#This Row],[Ypred]]*E$21+E$22</f>
        <v>11.033963528076701</v>
      </c>
      <c r="K68" s="56">
        <f>Table22342102[[#This Row],[Yest]]-Table22342102[[#This Row],[REF]]</f>
        <v>0.58396372807670005</v>
      </c>
      <c r="L68" s="56">
        <f>ABS(Table22342102[[#This Row],[RESyx]])</f>
        <v>0.58396372807670005</v>
      </c>
      <c r="M68" s="29">
        <f>Table22342102[[#This Row],[Ypred]]*E$25+E$26</f>
        <v>11.017162897733963</v>
      </c>
      <c r="N68" s="29">
        <f>Table22342102[[#This Row],[X-Y]]^2</f>
        <v>1.6377784909518369</v>
      </c>
      <c r="O68" s="57">
        <f>Table22342102[[#This Row],[yest_rect]]-Table22342102[[#This Row],[REF]]</f>
        <v>0.56716309773396212</v>
      </c>
      <c r="P68" s="57">
        <f>Table22342102[[#This Row],[dif rec]]^2</f>
        <v>0.32167397943118387</v>
      </c>
      <c r="Q68" s="57">
        <f>ABS(Table22342102[[#This Row],[diff-bias]])</f>
        <v>0.56227775499999844</v>
      </c>
      <c r="R68" s="57">
        <f ca="1">CELL("row",Table22342102[[#This Row],[Position]])</f>
        <v>68</v>
      </c>
      <c r="S68" s="4">
        <f>Table22342102[[#This Row],[REF]]-D$13</f>
        <v>-0.56000045000000043</v>
      </c>
      <c r="T68" s="4">
        <f>ABS(Table22342102[[#This Row],[lab-med]])</f>
        <v>0.56000045000000043</v>
      </c>
      <c r="U68" s="4">
        <f>Table22342102[[#This Row],[Ypred]]-F$13</f>
        <v>5.7879999999990162E-3</v>
      </c>
      <c r="V68" s="4">
        <f>ABS(Table22342102[[#This Row],[anl-med]])</f>
        <v>5.7879999999990162E-3</v>
      </c>
      <c r="W68" s="4">
        <f>Table22342102[[#This Row],[lab-med]]*Table22342102[[#This Row],[anl-med]]</f>
        <v>-3.2412826045994515E-3</v>
      </c>
    </row>
    <row r="69" spans="2:23" ht="14.4" x14ac:dyDescent="0.3">
      <c r="B69" s="46">
        <f ca="1">VALUE((Table22342102[[#This Row],[Column3]]-62))</f>
        <v>7</v>
      </c>
      <c r="C69" t="s">
        <v>75</v>
      </c>
      <c r="D69">
        <v>11.0200005</v>
      </c>
      <c r="E69"/>
      <c r="F69" s="81">
        <v>11.444082</v>
      </c>
      <c r="G69" s="29">
        <f>Table22342102[[#This Row],[Ypred]]-Table22342102[[#This Row],[REF]]</f>
        <v>0.42408149999999978</v>
      </c>
      <c r="H69" s="29">
        <f>Table22342102[[#This Row],[X-Y]]-E$20</f>
        <v>-0.2933979450000006</v>
      </c>
      <c r="I69" s="29">
        <f>Table22342102[[#This Row],[Ypred]]-E$20</f>
        <v>10.726602554999999</v>
      </c>
      <c r="J69" s="29">
        <f>Table22342102[[#This Row],[Ypred]]*E$21+E$22</f>
        <v>10.812009838861604</v>
      </c>
      <c r="K69" s="56">
        <f>Table22342102[[#This Row],[Yest]]-Table22342102[[#This Row],[REF]]</f>
        <v>-0.20799066113839615</v>
      </c>
      <c r="L69" s="56">
        <f>ABS(Table22342102[[#This Row],[RESyx]])</f>
        <v>0.20799066113839615</v>
      </c>
      <c r="M69" s="29">
        <f>Table22342102[[#This Row],[Ypred]]*E$25+E$26</f>
        <v>10.745842819301956</v>
      </c>
      <c r="N69" s="29">
        <f>Table22342102[[#This Row],[X-Y]]^2</f>
        <v>0.17984511864224981</v>
      </c>
      <c r="O69" s="57">
        <f>Table22342102[[#This Row],[yest_rect]]-Table22342102[[#This Row],[REF]]</f>
        <v>-0.27415768069804436</v>
      </c>
      <c r="P69" s="57">
        <f>Table22342102[[#This Row],[dif rec]]^2</f>
        <v>7.516243388573085E-2</v>
      </c>
      <c r="Q69" s="57">
        <f>ABS(Table22342102[[#This Row],[diff-bias]])</f>
        <v>0.2933979450000006</v>
      </c>
      <c r="R69" s="57">
        <f ca="1">CELL("row",Table22342102[[#This Row],[Position]])</f>
        <v>69</v>
      </c>
      <c r="S69" s="4">
        <f>Table22342102[[#This Row],[REF]]-D$13</f>
        <v>1.0000249999999156E-2</v>
      </c>
      <c r="T69" s="4">
        <f>ABS(Table22342102[[#This Row],[lab-med]])</f>
        <v>1.0000249999999156E-2</v>
      </c>
      <c r="U69" s="4">
        <f>Table22342102[[#This Row],[Ypred]]-F$13</f>
        <v>-0.27988700000000044</v>
      </c>
      <c r="V69" s="4">
        <f>ABS(Table22342102[[#This Row],[anl-med]])</f>
        <v>0.27988700000000044</v>
      </c>
      <c r="W69" s="4">
        <f>Table22342102[[#This Row],[lab-med]]*Table22342102[[#This Row],[anl-med]]</f>
        <v>-2.7989399717497682E-3</v>
      </c>
    </row>
    <row r="70" spans="2:23" ht="14.4" x14ac:dyDescent="0.3">
      <c r="B70" s="46">
        <f ca="1">VALUE((Table22342102[[#This Row],[Column3]]-62))</f>
        <v>8</v>
      </c>
      <c r="C70" t="s">
        <v>76</v>
      </c>
      <c r="D70">
        <v>10.800000199999999</v>
      </c>
      <c r="E70"/>
      <c r="F70" s="81">
        <v>11.774803</v>
      </c>
      <c r="G70" s="29">
        <f>Table22342102[[#This Row],[Ypred]]-Table22342102[[#This Row],[REF]]</f>
        <v>0.97480280000000086</v>
      </c>
      <c r="H70" s="29">
        <f>Table22342102[[#This Row],[X-Y]]-E$20</f>
        <v>0.25732335500000048</v>
      </c>
      <c r="I70" s="29">
        <f>Table22342102[[#This Row],[Ypred]]-E$20</f>
        <v>11.057323555</v>
      </c>
      <c r="J70" s="29">
        <f>Table22342102[[#This Row],[Ypred]]*E$21+E$22</f>
        <v>11.068961780931811</v>
      </c>
      <c r="K70" s="56">
        <f>Table22342102[[#This Row],[Yest]]-Table22342102[[#This Row],[REF]]</f>
        <v>0.26896158093181199</v>
      </c>
      <c r="L70" s="56">
        <f>ABS(Table22342102[[#This Row],[RESyx]])</f>
        <v>0.26896158093181199</v>
      </c>
      <c r="M70" s="29">
        <f>Table22342102[[#This Row],[Ypred]]*E$25+E$26</f>
        <v>11.059945375210287</v>
      </c>
      <c r="N70" s="29">
        <f>Table22342102[[#This Row],[X-Y]]^2</f>
        <v>0.95024049888784168</v>
      </c>
      <c r="O70" s="57">
        <f>Table22342102[[#This Row],[yest_rect]]-Table22342102[[#This Row],[REF]]</f>
        <v>0.25994517521028726</v>
      </c>
      <c r="P70" s="57">
        <f>Table22342102[[#This Row],[dif rec]]^2</f>
        <v>6.7571494115106948E-2</v>
      </c>
      <c r="Q70" s="57">
        <f>ABS(Table22342102[[#This Row],[diff-bias]])</f>
        <v>0.25732335500000048</v>
      </c>
      <c r="R70" s="57">
        <f ca="1">CELL("row",Table22342102[[#This Row],[Position]])</f>
        <v>70</v>
      </c>
      <c r="S70" s="4">
        <f>Table22342102[[#This Row],[REF]]-D$13</f>
        <v>-0.21000005000000144</v>
      </c>
      <c r="T70" s="4">
        <f>ABS(Table22342102[[#This Row],[lab-med]])</f>
        <v>0.21000005000000144</v>
      </c>
      <c r="U70" s="4">
        <f>Table22342102[[#This Row],[Ypred]]-F$13</f>
        <v>5.0834000000000046E-2</v>
      </c>
      <c r="V70" s="4">
        <f>ABS(Table22342102[[#This Row],[anl-med]])</f>
        <v>5.0834000000000046E-2</v>
      </c>
      <c r="W70" s="4">
        <f>Table22342102[[#This Row],[lab-med]]*Table22342102[[#This Row],[anl-med]]</f>
        <v>-1.0675142541700083E-2</v>
      </c>
    </row>
    <row r="71" spans="2:23" ht="14.4" x14ac:dyDescent="0.3">
      <c r="B71" s="46">
        <f ca="1">VALUE((Table22342102[[#This Row],[Column3]]-62))</f>
        <v>9</v>
      </c>
      <c r="C71" t="s">
        <v>77</v>
      </c>
      <c r="D71">
        <v>10.8800001</v>
      </c>
      <c r="E71"/>
      <c r="F71" s="81">
        <v>11.93661</v>
      </c>
      <c r="G71" s="29">
        <f>Table22342102[[#This Row],[Ypred]]-Table22342102[[#This Row],[REF]]</f>
        <v>1.0566098999999998</v>
      </c>
      <c r="H71" s="29">
        <f>Table22342102[[#This Row],[X-Y]]-E$20</f>
        <v>0.33913045499999939</v>
      </c>
      <c r="I71" s="29">
        <f>Table22342102[[#This Row],[Ypred]]-E$20</f>
        <v>11.219130555</v>
      </c>
      <c r="J71" s="29">
        <f>Table22342102[[#This Row],[Ypred]]*E$21+E$22</f>
        <v>11.194676878825666</v>
      </c>
      <c r="K71" s="56">
        <f>Table22342102[[#This Row],[Yest]]-Table22342102[[#This Row],[REF]]</f>
        <v>0.31467677882566569</v>
      </c>
      <c r="L71" s="56">
        <f>ABS(Table22342102[[#This Row],[RESyx]])</f>
        <v>0.31467677882566569</v>
      </c>
      <c r="M71" s="29">
        <f>Table22342102[[#This Row],[Ypred]]*E$25+E$26</f>
        <v>11.213621713464763</v>
      </c>
      <c r="N71" s="29">
        <f>Table22342102[[#This Row],[X-Y]]^2</f>
        <v>1.1164244807780095</v>
      </c>
      <c r="O71" s="57">
        <f>Table22342102[[#This Row],[yest_rect]]-Table22342102[[#This Row],[REF]]</f>
        <v>0.33362161346476249</v>
      </c>
      <c r="P71" s="57">
        <f>Table22342102[[#This Row],[dif rec]]^2</f>
        <v>0.11130338097083139</v>
      </c>
      <c r="Q71" s="57">
        <f>ABS(Table22342102[[#This Row],[diff-bias]])</f>
        <v>0.33913045499999939</v>
      </c>
      <c r="R71" s="57">
        <f ca="1">CELL("row",Table22342102[[#This Row],[Position]])</f>
        <v>71</v>
      </c>
      <c r="S71" s="4">
        <f>Table22342102[[#This Row],[REF]]-D$13</f>
        <v>-0.13000015000000076</v>
      </c>
      <c r="T71" s="4">
        <f>ABS(Table22342102[[#This Row],[lab-med]])</f>
        <v>0.13000015000000076</v>
      </c>
      <c r="U71" s="4">
        <f>Table22342102[[#This Row],[Ypred]]-F$13</f>
        <v>0.21264099999999964</v>
      </c>
      <c r="V71" s="4">
        <f>ABS(Table22342102[[#This Row],[anl-med]])</f>
        <v>0.21264099999999964</v>
      </c>
      <c r="W71" s="4">
        <f>Table22342102[[#This Row],[lab-med]]*Table22342102[[#This Row],[anl-med]]</f>
        <v>-2.7643361896150114E-2</v>
      </c>
    </row>
    <row r="72" spans="2:23" ht="14.4" x14ac:dyDescent="0.3">
      <c r="B72" s="46">
        <f ca="1">VALUE((Table22342102[[#This Row],[Column3]]-62))</f>
        <v>10</v>
      </c>
      <c r="C72" t="s">
        <v>78</v>
      </c>
      <c r="D72">
        <v>11.0600004</v>
      </c>
      <c r="E72"/>
      <c r="F72" s="81">
        <v>11.47833</v>
      </c>
      <c r="G72" s="29">
        <f>Table22342102[[#This Row],[Ypred]]-Table22342102[[#This Row],[REF]]</f>
        <v>0.41832959999999986</v>
      </c>
      <c r="H72" s="29">
        <f>Table22342102[[#This Row],[X-Y]]-E$20</f>
        <v>-0.29914984500000052</v>
      </c>
      <c r="I72" s="29">
        <f>Table22342102[[#This Row],[Ypred]]-E$20</f>
        <v>10.760850554999999</v>
      </c>
      <c r="J72" s="29">
        <f>Table22342102[[#This Row],[Ypred]]*E$21+E$22</f>
        <v>10.838618642390923</v>
      </c>
      <c r="K72" s="56">
        <f>Table22342102[[#This Row],[Yest]]-Table22342102[[#This Row],[REF]]</f>
        <v>-0.22138175760907686</v>
      </c>
      <c r="L72" s="56">
        <f>ABS(Table22342102[[#This Row],[RESyx]])</f>
        <v>0.22138175760907686</v>
      </c>
      <c r="M72" s="29">
        <f>Table22342102[[#This Row],[Ypred]]*E$25+E$26</f>
        <v>10.778369886935243</v>
      </c>
      <c r="N72" s="29">
        <f>Table22342102[[#This Row],[X-Y]]^2</f>
        <v>0.17499965423615987</v>
      </c>
      <c r="O72" s="57">
        <f>Table22342102[[#This Row],[yest_rect]]-Table22342102[[#This Row],[REF]]</f>
        <v>-0.28163051306475673</v>
      </c>
      <c r="P72" s="57">
        <f>Table22342102[[#This Row],[dif rec]]^2</f>
        <v>7.9315745889118106E-2</v>
      </c>
      <c r="Q72" s="57">
        <f>ABS(Table22342102[[#This Row],[diff-bias]])</f>
        <v>0.29914984500000052</v>
      </c>
      <c r="R72" s="57">
        <f ca="1">CELL("row",Table22342102[[#This Row],[Position]])</f>
        <v>72</v>
      </c>
      <c r="S72" s="4">
        <f>Table22342102[[#This Row],[REF]]-D$13</f>
        <v>5.0000149999998911E-2</v>
      </c>
      <c r="T72" s="4">
        <f>ABS(Table22342102[[#This Row],[lab-med]])</f>
        <v>5.0000149999998911E-2</v>
      </c>
      <c r="U72" s="4">
        <f>Table22342102[[#This Row],[Ypred]]-F$13</f>
        <v>-0.24563900000000061</v>
      </c>
      <c r="V72" s="4">
        <f>ABS(Table22342102[[#This Row],[anl-med]])</f>
        <v>0.24563900000000061</v>
      </c>
      <c r="W72" s="4">
        <f>Table22342102[[#This Row],[lab-med]]*Table22342102[[#This Row],[anl-med]]</f>
        <v>-1.2281986845849763E-2</v>
      </c>
    </row>
    <row r="73" spans="2:23" ht="14.4" x14ac:dyDescent="0.3">
      <c r="B73" s="46">
        <f ca="1">VALUE((Table22342102[[#This Row],[Column3]]-62))</f>
        <v>11</v>
      </c>
      <c r="C73" t="s">
        <v>79</v>
      </c>
      <c r="D73">
        <v>11.0900002</v>
      </c>
      <c r="E73"/>
      <c r="F73" s="81">
        <v>12.968496999999999</v>
      </c>
      <c r="G73" s="29">
        <f>Table22342102[[#This Row],[Ypred]]-Table22342102[[#This Row],[REF]]</f>
        <v>1.8784967999999989</v>
      </c>
      <c r="H73" s="29">
        <f>Table22342102[[#This Row],[X-Y]]-E$20</f>
        <v>1.1610173549999985</v>
      </c>
      <c r="I73" s="29">
        <f>Table22342102[[#This Row],[Ypred]]-E$20</f>
        <v>12.251017554999999</v>
      </c>
      <c r="J73" s="29">
        <f>Table22342102[[#This Row],[Ypred]]*E$21+E$22</f>
        <v>11.996396057973648</v>
      </c>
      <c r="K73" s="56">
        <f>Table22342102[[#This Row],[Yest]]-Table22342102[[#This Row],[REF]]</f>
        <v>0.90639585797364752</v>
      </c>
      <c r="L73" s="56">
        <f>ABS(Table22342102[[#This Row],[RESyx]])</f>
        <v>0.90639585797364752</v>
      </c>
      <c r="M73" s="29">
        <f>Table22342102[[#This Row],[Ypred]]*E$25+E$26</f>
        <v>12.19365728456118</v>
      </c>
      <c r="N73" s="29">
        <f>Table22342102[[#This Row],[X-Y]]^2</f>
        <v>3.5287502276102356</v>
      </c>
      <c r="O73" s="57">
        <f>Table22342102[[#This Row],[yest_rect]]-Table22342102[[#This Row],[REF]]</f>
        <v>1.1036570845611795</v>
      </c>
      <c r="P73" s="57">
        <f>Table22342102[[#This Row],[dif rec]]^2</f>
        <v>1.2180589603020826</v>
      </c>
      <c r="Q73" s="57">
        <f>ABS(Table22342102[[#This Row],[diff-bias]])</f>
        <v>1.1610173549999985</v>
      </c>
      <c r="R73" s="57">
        <f ca="1">CELL("row",Table22342102[[#This Row],[Position]])</f>
        <v>73</v>
      </c>
      <c r="S73" s="4">
        <f>Table22342102[[#This Row],[REF]]-D$13</f>
        <v>7.9999949999999487E-2</v>
      </c>
      <c r="T73" s="4">
        <f>ABS(Table22342102[[#This Row],[lab-med]])</f>
        <v>7.9999949999999487E-2</v>
      </c>
      <c r="U73" s="4">
        <f>Table22342102[[#This Row],[Ypred]]-F$13</f>
        <v>1.244527999999999</v>
      </c>
      <c r="V73" s="4">
        <f>ABS(Table22342102[[#This Row],[anl-med]])</f>
        <v>1.244527999999999</v>
      </c>
      <c r="W73" s="4">
        <f>Table22342102[[#This Row],[lab-med]]*Table22342102[[#This Row],[anl-med]]</f>
        <v>9.9562177773599284E-2</v>
      </c>
    </row>
    <row r="74" spans="2:23" ht="14.4" x14ac:dyDescent="0.3">
      <c r="B74" s="46">
        <f ca="1">VALUE((Table22342102[[#This Row],[Column3]]-62))</f>
        <v>12</v>
      </c>
      <c r="C74" t="s">
        <v>80</v>
      </c>
      <c r="D74">
        <v>11.6199999</v>
      </c>
      <c r="E74"/>
      <c r="F74" s="81">
        <v>11.811070000000001</v>
      </c>
      <c r="G74" s="29">
        <f>Table22342102[[#This Row],[Ypred]]-Table22342102[[#This Row],[REF]]</f>
        <v>0.19107010000000102</v>
      </c>
      <c r="H74" s="29">
        <f>Table22342102[[#This Row],[X-Y]]-E$20</f>
        <v>-0.52640934499999936</v>
      </c>
      <c r="I74" s="29">
        <f>Table22342102[[#This Row],[Ypred]]-E$20</f>
        <v>11.093590555</v>
      </c>
      <c r="J74" s="29">
        <f>Table22342102[[#This Row],[Ypred]]*E$21+E$22</f>
        <v>11.097139235895543</v>
      </c>
      <c r="K74" s="56">
        <f>Table22342102[[#This Row],[Yest]]-Table22342102[[#This Row],[REF]]</f>
        <v>-0.52286066410445642</v>
      </c>
      <c r="L74" s="56">
        <f>ABS(Table22342102[[#This Row],[RESyx]])</f>
        <v>0.52286066410445642</v>
      </c>
      <c r="M74" s="29">
        <f>Table22342102[[#This Row],[Ypred]]*E$25+E$26</f>
        <v>11.094389989840526</v>
      </c>
      <c r="N74" s="29">
        <f>Table22342102[[#This Row],[X-Y]]^2</f>
        <v>3.6507783114010386E-2</v>
      </c>
      <c r="O74" s="57">
        <f>Table22342102[[#This Row],[yest_rect]]-Table22342102[[#This Row],[REF]]</f>
        <v>-0.52560991015947423</v>
      </c>
      <c r="P74" s="57">
        <f>Table22342102[[#This Row],[dif rec]]^2</f>
        <v>0.27626577765785054</v>
      </c>
      <c r="Q74" s="57">
        <f>ABS(Table22342102[[#This Row],[diff-bias]])</f>
        <v>0.52640934499999936</v>
      </c>
      <c r="R74" s="57">
        <f ca="1">CELL("row",Table22342102[[#This Row],[Position]])</f>
        <v>74</v>
      </c>
      <c r="S74" s="4">
        <f>Table22342102[[#This Row],[REF]]-D$13</f>
        <v>0.60999964999999889</v>
      </c>
      <c r="T74" s="4">
        <f>ABS(Table22342102[[#This Row],[lab-med]])</f>
        <v>0.60999964999999889</v>
      </c>
      <c r="U74" s="4">
        <f>Table22342102[[#This Row],[Ypred]]-F$13</f>
        <v>8.7101000000000539E-2</v>
      </c>
      <c r="V74" s="4">
        <f>ABS(Table22342102[[#This Row],[anl-med]])</f>
        <v>8.7101000000000539E-2</v>
      </c>
      <c r="W74" s="4">
        <f>Table22342102[[#This Row],[lab-med]]*Table22342102[[#This Row],[anl-med]]</f>
        <v>5.313157951465023E-2</v>
      </c>
    </row>
    <row r="75" spans="2:23" ht="14.4" x14ac:dyDescent="0.3">
      <c r="B75" s="46">
        <f ca="1">VALUE((Table22342102[[#This Row],[Column3]]-62))</f>
        <v>13</v>
      </c>
      <c r="C75" t="s">
        <v>81</v>
      </c>
      <c r="D75">
        <v>9.9600000000000009</v>
      </c>
      <c r="E75"/>
      <c r="F75" s="81">
        <v>10.886571</v>
      </c>
      <c r="G75" s="29">
        <f>Table22342102[[#This Row],[Ypred]]-Table22342102[[#This Row],[REF]]</f>
        <v>0.92657099999999915</v>
      </c>
      <c r="H75" s="29">
        <f>Table22342102[[#This Row],[X-Y]]-E$20</f>
        <v>0.20909155499999876</v>
      </c>
      <c r="I75" s="29">
        <f>Table22342102[[#This Row],[Ypred]]-E$20</f>
        <v>10.169091555</v>
      </c>
      <c r="J75" s="29">
        <f>Table22342102[[#This Row],[Ypred]]*E$21+E$22</f>
        <v>10.378854598718089</v>
      </c>
      <c r="K75" s="56">
        <f>Table22342102[[#This Row],[Yest]]-Table22342102[[#This Row],[REF]]</f>
        <v>0.41885459871808806</v>
      </c>
      <c r="L75" s="56">
        <f>ABS(Table22342102[[#This Row],[RESyx]])</f>
        <v>0.41885459871808806</v>
      </c>
      <c r="M75" s="29">
        <f>Table22342102[[#This Row],[Ypred]]*E$25+E$26</f>
        <v>10.216346264662219</v>
      </c>
      <c r="N75" s="29">
        <f>Table22342102[[#This Row],[X-Y]]^2</f>
        <v>0.85853381804099838</v>
      </c>
      <c r="O75" s="57">
        <f>Table22342102[[#This Row],[yest_rect]]-Table22342102[[#This Row],[REF]]</f>
        <v>0.2563462646622181</v>
      </c>
      <c r="P75" s="57">
        <f>Table22342102[[#This Row],[dif rec]]^2</f>
        <v>6.5713407406271976E-2</v>
      </c>
      <c r="Q75" s="57">
        <f>ABS(Table22342102[[#This Row],[diff-bias]])</f>
        <v>0.20909155499999876</v>
      </c>
      <c r="R75" s="57">
        <f ca="1">CELL("row",Table22342102[[#This Row],[Position]])</f>
        <v>75</v>
      </c>
      <c r="S75" s="4">
        <f>Table22342102[[#This Row],[REF]]-D$13</f>
        <v>-1.0500002500000001</v>
      </c>
      <c r="T75" s="4">
        <f>ABS(Table22342102[[#This Row],[lab-med]])</f>
        <v>1.0500002500000001</v>
      </c>
      <c r="U75" s="4">
        <f>Table22342102[[#This Row],[Ypred]]-F$13</f>
        <v>-0.83739800000000031</v>
      </c>
      <c r="V75" s="4">
        <f>ABS(Table22342102[[#This Row],[anl-med]])</f>
        <v>0.83739800000000031</v>
      </c>
      <c r="W75" s="4">
        <f>Table22342102[[#This Row],[lab-med]]*Table22342102[[#This Row],[anl-med]]</f>
        <v>0.87926810934950039</v>
      </c>
    </row>
    <row r="76" spans="2:23" ht="14.4" x14ac:dyDescent="0.3">
      <c r="B76" s="46">
        <f ca="1">VALUE((Table22342102[[#This Row],[Column3]]-62))</f>
        <v>14</v>
      </c>
      <c r="C76" t="s">
        <v>82</v>
      </c>
      <c r="D76">
        <v>9.5</v>
      </c>
      <c r="E76"/>
      <c r="F76" s="81">
        <v>10.475289</v>
      </c>
      <c r="G76" s="29">
        <f>Table22342102[[#This Row],[Ypred]]-Table22342102[[#This Row],[REF]]</f>
        <v>0.97528900000000007</v>
      </c>
      <c r="H76" s="29">
        <f>Table22342102[[#This Row],[X-Y]]-E$20</f>
        <v>0.25780955499999969</v>
      </c>
      <c r="I76" s="29">
        <f>Table22342102[[#This Row],[Ypred]]-E$20</f>
        <v>9.7578095549999997</v>
      </c>
      <c r="J76" s="29">
        <f>Table22342102[[#This Row],[Ypred]]*E$21+E$22</f>
        <v>10.059311211275142</v>
      </c>
      <c r="K76" s="56">
        <f>Table22342102[[#This Row],[Yest]]-Table22342102[[#This Row],[REF]]</f>
        <v>0.55931121127514238</v>
      </c>
      <c r="L76" s="56">
        <f>ABS(Table22342102[[#This Row],[RESyx]])</f>
        <v>0.55931121127514238</v>
      </c>
      <c r="M76" s="29">
        <f>Table22342102[[#This Row],[Ypred]]*E$25+E$26</f>
        <v>9.825730829298001</v>
      </c>
      <c r="N76" s="29">
        <f>Table22342102[[#This Row],[X-Y]]^2</f>
        <v>0.95118863352100014</v>
      </c>
      <c r="O76" s="57">
        <f>Table22342102[[#This Row],[yest_rect]]-Table22342102[[#This Row],[REF]]</f>
        <v>0.32573082929800101</v>
      </c>
      <c r="P76" s="57">
        <f>Table22342102[[#This Row],[dif rec]]^2</f>
        <v>0.10610057315516347</v>
      </c>
      <c r="Q76" s="57">
        <f>ABS(Table22342102[[#This Row],[diff-bias]])</f>
        <v>0.25780955499999969</v>
      </c>
      <c r="R76" s="57">
        <f ca="1">CELL("row",Table22342102[[#This Row],[Position]])</f>
        <v>76</v>
      </c>
      <c r="S76" s="4">
        <f>Table22342102[[#This Row],[REF]]-D$13</f>
        <v>-1.5100002500000009</v>
      </c>
      <c r="T76" s="4">
        <f>ABS(Table22342102[[#This Row],[lab-med]])</f>
        <v>1.5100002500000009</v>
      </c>
      <c r="U76" s="4">
        <f>Table22342102[[#This Row],[Ypred]]-F$13</f>
        <v>-1.2486800000000002</v>
      </c>
      <c r="V76" s="4">
        <f>ABS(Table22342102[[#This Row],[anl-med]])</f>
        <v>1.2486800000000002</v>
      </c>
      <c r="W76" s="4">
        <f>Table22342102[[#This Row],[lab-med]]*Table22342102[[#This Row],[anl-med]]</f>
        <v>1.8855071121700016</v>
      </c>
    </row>
    <row r="77" spans="2:23" ht="14.4" x14ac:dyDescent="0.3">
      <c r="B77" s="46">
        <f ca="1">VALUE((Table22342102[[#This Row],[Column3]]-62))</f>
        <v>15</v>
      </c>
      <c r="C77" t="s">
        <v>83</v>
      </c>
      <c r="D77">
        <v>9.9899997999999997</v>
      </c>
      <c r="E77"/>
      <c r="F77" s="81">
        <v>11.597818999999999</v>
      </c>
      <c r="G77" s="29">
        <f>Table22342102[[#This Row],[Ypred]]-Table22342102[[#This Row],[REF]]</f>
        <v>1.6078191999999998</v>
      </c>
      <c r="H77" s="29">
        <f>Table22342102[[#This Row],[X-Y]]-E$20</f>
        <v>0.8903397549999994</v>
      </c>
      <c r="I77" s="29">
        <f>Table22342102[[#This Row],[Ypred]]-E$20</f>
        <v>10.880339554999999</v>
      </c>
      <c r="J77" s="29">
        <f>Table22342102[[#This Row],[Ypred]]*E$21+E$22</f>
        <v>10.93145499268627</v>
      </c>
      <c r="K77" s="56">
        <f>Table22342102[[#This Row],[Yest]]-Table22342102[[#This Row],[REF]]</f>
        <v>0.94145519268626998</v>
      </c>
      <c r="L77" s="56">
        <f>ABS(Table22342102[[#This Row],[RESyx]])</f>
        <v>0.94145519268626998</v>
      </c>
      <c r="M77" s="29">
        <f>Table22342102[[#This Row],[Ypred]]*E$25+E$26</f>
        <v>10.891854668073817</v>
      </c>
      <c r="N77" s="29">
        <f>Table22342102[[#This Row],[X-Y]]^2</f>
        <v>2.5850825798886392</v>
      </c>
      <c r="O77" s="57">
        <f>Table22342102[[#This Row],[yest_rect]]-Table22342102[[#This Row],[REF]]</f>
        <v>0.90185486807381743</v>
      </c>
      <c r="P77" s="57">
        <f>Table22342102[[#This Row],[dif rec]]^2</f>
        <v>0.81334220306844263</v>
      </c>
      <c r="Q77" s="57">
        <f>ABS(Table22342102[[#This Row],[diff-bias]])</f>
        <v>0.8903397549999994</v>
      </c>
      <c r="R77" s="57">
        <f ca="1">CELL("row",Table22342102[[#This Row],[Position]])</f>
        <v>77</v>
      </c>
      <c r="S77" s="4">
        <f>Table22342102[[#This Row],[REF]]-D$13</f>
        <v>-1.0200004500000013</v>
      </c>
      <c r="T77" s="4">
        <f>ABS(Table22342102[[#This Row],[lab-med]])</f>
        <v>1.0200004500000013</v>
      </c>
      <c r="U77" s="4">
        <f>Table22342102[[#This Row],[Ypred]]-F$13</f>
        <v>-0.12615000000000087</v>
      </c>
      <c r="V77" s="4">
        <f>ABS(Table22342102[[#This Row],[anl-med]])</f>
        <v>0.12615000000000087</v>
      </c>
      <c r="W77" s="4">
        <f>Table22342102[[#This Row],[lab-med]]*Table22342102[[#This Row],[anl-med]]</f>
        <v>0.12867305676750104</v>
      </c>
    </row>
    <row r="78" spans="2:23" ht="14.4" x14ac:dyDescent="0.3">
      <c r="B78" s="46">
        <f ca="1">VALUE((Table22342102[[#This Row],[Column3]]-62))</f>
        <v>16</v>
      </c>
      <c r="C78" t="s">
        <v>84</v>
      </c>
      <c r="D78">
        <v>10.0100002</v>
      </c>
      <c r="E78"/>
      <c r="F78" s="81">
        <v>11.905601000000001</v>
      </c>
      <c r="G78" s="29">
        <f>Table22342102[[#This Row],[Ypred]]-Table22342102[[#This Row],[REF]]</f>
        <v>1.8956008000000004</v>
      </c>
      <c r="H78" s="29">
        <f>Table22342102[[#This Row],[X-Y]]-E$20</f>
        <v>1.178121355</v>
      </c>
      <c r="I78" s="29">
        <f>Table22342102[[#This Row],[Ypred]]-E$20</f>
        <v>11.188121555</v>
      </c>
      <c r="J78" s="29">
        <f>Table22342102[[#This Row],[Ypred]]*E$21+E$22</f>
        <v>11.170584599316186</v>
      </c>
      <c r="K78" s="56">
        <f>Table22342102[[#This Row],[Yest]]-Table22342102[[#This Row],[REF]]</f>
        <v>1.1605843993161855</v>
      </c>
      <c r="L78" s="56">
        <f>ABS(Table22342102[[#This Row],[RESyx]])</f>
        <v>1.1605843993161855</v>
      </c>
      <c r="M78" s="29">
        <f>Table22342102[[#This Row],[Ypred]]*E$25+E$26</f>
        <v>11.18417088888404</v>
      </c>
      <c r="N78" s="29">
        <f>Table22342102[[#This Row],[X-Y]]^2</f>
        <v>3.5933023929606418</v>
      </c>
      <c r="O78" s="57">
        <f>Table22342102[[#This Row],[yest_rect]]-Table22342102[[#This Row],[REF]]</f>
        <v>1.1741706888840397</v>
      </c>
      <c r="P78" s="57">
        <f>Table22342102[[#This Row],[dif rec]]^2</f>
        <v>1.3786768066344204</v>
      </c>
      <c r="Q78" s="57">
        <f>ABS(Table22342102[[#This Row],[diff-bias]])</f>
        <v>1.178121355</v>
      </c>
      <c r="R78" s="57">
        <f ca="1">CELL("row",Table22342102[[#This Row],[Position]])</f>
        <v>78</v>
      </c>
      <c r="S78" s="4">
        <f>Table22342102[[#This Row],[REF]]-D$13</f>
        <v>-1.0000000500000006</v>
      </c>
      <c r="T78" s="4">
        <f>ABS(Table22342102[[#This Row],[lab-med]])</f>
        <v>1.0000000500000006</v>
      </c>
      <c r="U78" s="4">
        <f>Table22342102[[#This Row],[Ypred]]-F$13</f>
        <v>0.18163200000000046</v>
      </c>
      <c r="V78" s="4">
        <f>ABS(Table22342102[[#This Row],[anl-med]])</f>
        <v>0.18163200000000046</v>
      </c>
      <c r="W78" s="4">
        <f>Table22342102[[#This Row],[lab-med]]*Table22342102[[#This Row],[anl-med]]</f>
        <v>-0.18163200908160057</v>
      </c>
    </row>
    <row r="79" spans="2:23" ht="14.4" x14ac:dyDescent="0.3">
      <c r="B79" s="46">
        <f ca="1">VALUE((Table22342102[[#This Row],[Column3]]-62))</f>
        <v>17</v>
      </c>
      <c r="C79" t="s">
        <v>85</v>
      </c>
      <c r="D79">
        <v>9.8299999000000007</v>
      </c>
      <c r="E79"/>
      <c r="F79" s="81">
        <v>10.540806</v>
      </c>
      <c r="G79" s="29">
        <f>Table22342102[[#This Row],[Ypred]]-Table22342102[[#This Row],[REF]]</f>
        <v>0.71080609999999922</v>
      </c>
      <c r="H79" s="29">
        <f>Table22342102[[#This Row],[X-Y]]-E$20</f>
        <v>-6.6733450000011629E-3</v>
      </c>
      <c r="I79" s="29">
        <f>Table22342102[[#This Row],[Ypred]]-E$20</f>
        <v>9.8233265549999995</v>
      </c>
      <c r="J79" s="29">
        <f>Table22342102[[#This Row],[Ypred]]*E$21+E$22</f>
        <v>10.110214299946904</v>
      </c>
      <c r="K79" s="56">
        <f>Table22342102[[#This Row],[Yest]]-Table22342102[[#This Row],[REF]]</f>
        <v>0.28021439994690311</v>
      </c>
      <c r="L79" s="56">
        <f>ABS(Table22342102[[#This Row],[RESyx]])</f>
        <v>0.28021439994690311</v>
      </c>
      <c r="M79" s="29">
        <f>Table22342102[[#This Row],[Ypred]]*E$25+E$26</f>
        <v>9.8879556567369775</v>
      </c>
      <c r="N79" s="29">
        <f>Table22342102[[#This Row],[X-Y]]^2</f>
        <v>0.50524531179720888</v>
      </c>
      <c r="O79" s="57">
        <f>Table22342102[[#This Row],[yest_rect]]-Table22342102[[#This Row],[REF]]</f>
        <v>5.7955756736976838E-2</v>
      </c>
      <c r="P79" s="57">
        <f>Table22342102[[#This Row],[dif rec]]^2</f>
        <v>3.3588697389556363E-3</v>
      </c>
      <c r="Q79" s="57">
        <f>ABS(Table22342102[[#This Row],[diff-bias]])</f>
        <v>6.6733450000011629E-3</v>
      </c>
      <c r="R79" s="57">
        <f ca="1">CELL("row",Table22342102[[#This Row],[Position]])</f>
        <v>79</v>
      </c>
      <c r="S79" s="4">
        <f>Table22342102[[#This Row],[REF]]-D$13</f>
        <v>-1.1800003500000003</v>
      </c>
      <c r="T79" s="4">
        <f>ABS(Table22342102[[#This Row],[lab-med]])</f>
        <v>1.1800003500000003</v>
      </c>
      <c r="U79" s="4">
        <f>Table22342102[[#This Row],[Ypred]]-F$13</f>
        <v>-1.1831630000000004</v>
      </c>
      <c r="V79" s="4">
        <f>ABS(Table22342102[[#This Row],[anl-med]])</f>
        <v>1.1831630000000004</v>
      </c>
      <c r="W79" s="4">
        <f>Table22342102[[#This Row],[lab-med]]*Table22342102[[#This Row],[anl-med]]</f>
        <v>1.3961327541070507</v>
      </c>
    </row>
    <row r="80" spans="2:23" ht="14.4" x14ac:dyDescent="0.3">
      <c r="B80" s="46">
        <f ca="1">VALUE((Table22342102[[#This Row],[Column3]]-62))</f>
        <v>18</v>
      </c>
      <c r="C80" t="s">
        <v>86</v>
      </c>
      <c r="D80">
        <v>9.5699997000000003</v>
      </c>
      <c r="E80"/>
      <c r="F80" s="81">
        <v>9.5430659999999996</v>
      </c>
      <c r="G80" s="29">
        <f>Table22342102[[#This Row],[Ypred]]-Table22342102[[#This Row],[REF]]</f>
        <v>-2.6933700000000727E-2</v>
      </c>
      <c r="H80" s="29">
        <f>Table22342102[[#This Row],[X-Y]]-E$20</f>
        <v>-0.74441314500000111</v>
      </c>
      <c r="I80" s="29">
        <f>Table22342102[[#This Row],[Ypred]]-E$20</f>
        <v>8.8255865549999992</v>
      </c>
      <c r="J80" s="29">
        <f>Table22342102[[#This Row],[Ypred]]*E$21+E$22</f>
        <v>9.3350254529092851</v>
      </c>
      <c r="K80" s="56">
        <f>Table22342102[[#This Row],[Yest]]-Table22342102[[#This Row],[REF]]</f>
        <v>-0.23497424709071524</v>
      </c>
      <c r="L80" s="56">
        <f>ABS(Table22342102[[#This Row],[RESyx]])</f>
        <v>0.23497424709071524</v>
      </c>
      <c r="M80" s="29">
        <f>Table22342102[[#This Row],[Ypred]]*E$25+E$26</f>
        <v>8.940351228436457</v>
      </c>
      <c r="N80" s="29">
        <f>Table22342102[[#This Row],[X-Y]]^2</f>
        <v>7.2542419569003916E-4</v>
      </c>
      <c r="O80" s="57">
        <f>Table22342102[[#This Row],[yest_rect]]-Table22342102[[#This Row],[REF]]</f>
        <v>-0.62964847156354331</v>
      </c>
      <c r="P80" s="57">
        <f>Table22342102[[#This Row],[dif rec]]^2</f>
        <v>0.3964571977423062</v>
      </c>
      <c r="Q80" s="57">
        <f>ABS(Table22342102[[#This Row],[diff-bias]])</f>
        <v>0.74441314500000111</v>
      </c>
      <c r="R80" s="57">
        <f ca="1">CELL("row",Table22342102[[#This Row],[Position]])</f>
        <v>80</v>
      </c>
      <c r="S80" s="4">
        <f>Table22342102[[#This Row],[REF]]-D$13</f>
        <v>-1.4400005500000006</v>
      </c>
      <c r="T80" s="4">
        <f>ABS(Table22342102[[#This Row],[lab-med]])</f>
        <v>1.4400005500000006</v>
      </c>
      <c r="U80" s="4">
        <f>Table22342102[[#This Row],[Ypred]]-F$13</f>
        <v>-2.1809030000000007</v>
      </c>
      <c r="V80" s="4">
        <f>ABS(Table22342102[[#This Row],[anl-med]])</f>
        <v>2.1809030000000007</v>
      </c>
      <c r="W80" s="4">
        <f>Table22342102[[#This Row],[lab-med]]*Table22342102[[#This Row],[anl-med]]</f>
        <v>3.1405015194966523</v>
      </c>
    </row>
    <row r="81" spans="2:23" ht="14.4" x14ac:dyDescent="0.3">
      <c r="B81" s="46">
        <f ca="1">VALUE((Table22342102[[#This Row],[Column3]]-62))</f>
        <v>19</v>
      </c>
      <c r="C81" t="s">
        <v>87</v>
      </c>
      <c r="D81">
        <v>9.9200000999999993</v>
      </c>
      <c r="E81"/>
      <c r="F81" s="81">
        <v>11.965040999999999</v>
      </c>
      <c r="G81" s="29">
        <f>Table22342102[[#This Row],[Ypred]]-Table22342102[[#This Row],[REF]]</f>
        <v>2.0450409000000001</v>
      </c>
      <c r="H81" s="29">
        <f>Table22342102[[#This Row],[X-Y]]-E$20</f>
        <v>1.3275614549999997</v>
      </c>
      <c r="I81" s="29">
        <f>Table22342102[[#This Row],[Ypred]]-E$20</f>
        <v>11.247561554999999</v>
      </c>
      <c r="J81" s="29">
        <f>Table22342102[[#This Row],[Ypred]]*E$21+E$22</f>
        <v>11.216766194789871</v>
      </c>
      <c r="K81" s="56">
        <f>Table22342102[[#This Row],[Yest]]-Table22342102[[#This Row],[REF]]</f>
        <v>1.2967660947898718</v>
      </c>
      <c r="L81" s="56">
        <f>ABS(Table22342102[[#This Row],[RESyx]])</f>
        <v>1.2967660947898718</v>
      </c>
      <c r="M81" s="29">
        <f>Table22342102[[#This Row],[Ypred]]*E$25+E$26</f>
        <v>11.240624080314856</v>
      </c>
      <c r="N81" s="29">
        <f>Table22342102[[#This Row],[X-Y]]^2</f>
        <v>4.1821922826728102</v>
      </c>
      <c r="O81" s="57">
        <f>Table22342102[[#This Row],[yest_rect]]-Table22342102[[#This Row],[REF]]</f>
        <v>1.3206239803148563</v>
      </c>
      <c r="P81" s="57">
        <f>Table22342102[[#This Row],[dif rec]]^2</f>
        <v>1.744047697382654</v>
      </c>
      <c r="Q81" s="57">
        <f>ABS(Table22342102[[#This Row],[diff-bias]])</f>
        <v>1.3275614549999997</v>
      </c>
      <c r="R81" s="57">
        <f ca="1">CELL("row",Table22342102[[#This Row],[Position]])</f>
        <v>81</v>
      </c>
      <c r="S81" s="4">
        <f>Table22342102[[#This Row],[REF]]-D$13</f>
        <v>-1.0900001500000016</v>
      </c>
      <c r="T81" s="4">
        <f>ABS(Table22342102[[#This Row],[lab-med]])</f>
        <v>1.0900001500000016</v>
      </c>
      <c r="U81" s="4">
        <f>Table22342102[[#This Row],[Ypred]]-F$13</f>
        <v>0.24107199999999906</v>
      </c>
      <c r="V81" s="4">
        <f>ABS(Table22342102[[#This Row],[anl-med]])</f>
        <v>0.24107199999999906</v>
      </c>
      <c r="W81" s="4">
        <f>Table22342102[[#This Row],[lab-med]]*Table22342102[[#This Row],[anl-med]]</f>
        <v>-0.26276851616079938</v>
      </c>
    </row>
    <row r="82" spans="2:23" ht="14.4" x14ac:dyDescent="0.3">
      <c r="B82" s="46">
        <f ca="1">VALUE((Table22342102[[#This Row],[Column3]]-62))</f>
        <v>20</v>
      </c>
      <c r="C82" t="s">
        <v>88</v>
      </c>
      <c r="D82">
        <v>11.670000099999999</v>
      </c>
      <c r="E82"/>
      <c r="F82" s="81">
        <v>10.597920999999999</v>
      </c>
      <c r="G82" s="29">
        <f>Table22342102[[#This Row],[Ypred]]-Table22342102[[#This Row],[REF]]</f>
        <v>-1.0720790999999998</v>
      </c>
      <c r="H82" s="29">
        <f>Table22342102[[#This Row],[X-Y]]-E$20</f>
        <v>-1.7895585450000002</v>
      </c>
      <c r="I82" s="29">
        <f>Table22342102[[#This Row],[Ypred]]-E$20</f>
        <v>9.8804415549999991</v>
      </c>
      <c r="J82" s="29">
        <f>Table22342102[[#This Row],[Ypred]]*E$21+E$22</f>
        <v>10.15458949889508</v>
      </c>
      <c r="K82" s="56">
        <f>Table22342102[[#This Row],[Yest]]-Table22342102[[#This Row],[REF]]</f>
        <v>-1.5154106011049198</v>
      </c>
      <c r="L82" s="56">
        <f>ABS(Table22342102[[#This Row],[RESyx]])</f>
        <v>1.5154106011049198</v>
      </c>
      <c r="M82" s="29">
        <f>Table22342102[[#This Row],[Ypred]]*E$25+E$26</f>
        <v>9.942200677406074</v>
      </c>
      <c r="N82" s="29">
        <f>Table22342102[[#This Row],[X-Y]]^2</f>
        <v>1.1493535966568096</v>
      </c>
      <c r="O82" s="57">
        <f>Table22342102[[#This Row],[yest_rect]]-Table22342102[[#This Row],[REF]]</f>
        <v>-1.7277994225939253</v>
      </c>
      <c r="P82" s="57">
        <f>Table22342102[[#This Row],[dif rec]]^2</f>
        <v>2.9852908447159017</v>
      </c>
      <c r="Q82" s="57">
        <f>ABS(Table22342102[[#This Row],[diff-bias]])</f>
        <v>1.7895585450000002</v>
      </c>
      <c r="R82" s="57">
        <f ca="1">CELL("row",Table22342102[[#This Row],[Position]])</f>
        <v>82</v>
      </c>
      <c r="S82" s="4">
        <f>Table22342102[[#This Row],[REF]]-D$13</f>
        <v>0.65999984999999839</v>
      </c>
      <c r="T82" s="4">
        <f>ABS(Table22342102[[#This Row],[lab-med]])</f>
        <v>0.65999984999999839</v>
      </c>
      <c r="U82" s="4">
        <f>Table22342102[[#This Row],[Ypred]]-F$13</f>
        <v>-1.1260480000000008</v>
      </c>
      <c r="V82" s="4">
        <f>ABS(Table22342102[[#This Row],[anl-med]])</f>
        <v>1.1260480000000008</v>
      </c>
      <c r="W82" s="4">
        <f>Table22342102[[#This Row],[lab-med]]*Table22342102[[#This Row],[anl-med]]</f>
        <v>-0.74319151109279868</v>
      </c>
    </row>
    <row r="83" spans="2:23" ht="14.4" x14ac:dyDescent="0.3">
      <c r="B83" s="46">
        <f ca="1">VALUE((Table22342102[[#This Row],[Column3]]-62))</f>
        <v>21</v>
      </c>
      <c r="C83" t="s">
        <v>89</v>
      </c>
      <c r="D83">
        <v>11.5</v>
      </c>
      <c r="E83"/>
      <c r="F83" s="81">
        <v>11.876547</v>
      </c>
      <c r="G83" s="29">
        <f>Table22342102[[#This Row],[Ypred]]-Table22342102[[#This Row],[REF]]</f>
        <v>0.37654700000000041</v>
      </c>
      <c r="H83" s="29">
        <f>Table22342102[[#This Row],[X-Y]]-E$20</f>
        <v>-0.34093244499999997</v>
      </c>
      <c r="I83" s="29">
        <f>Table22342102[[#This Row],[Ypred]]-E$20</f>
        <v>11.159067555</v>
      </c>
      <c r="J83" s="29">
        <f>Table22342102[[#This Row],[Ypred]]*E$21+E$22</f>
        <v>11.148011246777617</v>
      </c>
      <c r="K83" s="56">
        <f>Table22342102[[#This Row],[Yest]]-Table22342102[[#This Row],[REF]]</f>
        <v>-0.35198875322238266</v>
      </c>
      <c r="L83" s="56">
        <f>ABS(Table22342102[[#This Row],[RESyx]])</f>
        <v>0.35198875322238266</v>
      </c>
      <c r="M83" s="29">
        <f>Table22342102[[#This Row],[Ypred]]*E$25+E$26</f>
        <v>11.156576827244892</v>
      </c>
      <c r="N83" s="29">
        <f>Table22342102[[#This Row],[X-Y]]^2</f>
        <v>0.14178764320900031</v>
      </c>
      <c r="O83" s="57">
        <f>Table22342102[[#This Row],[yest_rect]]-Table22342102[[#This Row],[REF]]</f>
        <v>-0.34342317275510759</v>
      </c>
      <c r="P83" s="57">
        <f>Table22342102[[#This Row],[dif rec]]^2</f>
        <v>0.11793947558518447</v>
      </c>
      <c r="Q83" s="57">
        <f>ABS(Table22342102[[#This Row],[diff-bias]])</f>
        <v>0.34093244499999997</v>
      </c>
      <c r="R83" s="57">
        <f ca="1">CELL("row",Table22342102[[#This Row],[Position]])</f>
        <v>83</v>
      </c>
      <c r="S83" s="4">
        <f>Table22342102[[#This Row],[REF]]-D$13</f>
        <v>0.48999974999999907</v>
      </c>
      <c r="T83" s="4">
        <f>ABS(Table22342102[[#This Row],[lab-med]])</f>
        <v>0.48999974999999907</v>
      </c>
      <c r="U83" s="4">
        <f>Table22342102[[#This Row],[Ypred]]-F$13</f>
        <v>0.1525780000000001</v>
      </c>
      <c r="V83" s="4">
        <f>ABS(Table22342102[[#This Row],[anl-med]])</f>
        <v>0.1525780000000001</v>
      </c>
      <c r="W83" s="4">
        <f>Table22342102[[#This Row],[lab-med]]*Table22342102[[#This Row],[anl-med]]</f>
        <v>7.4763181855499905E-2</v>
      </c>
    </row>
    <row r="84" spans="2:23" ht="14.4" x14ac:dyDescent="0.3">
      <c r="B84" s="46">
        <f ca="1">VALUE((Table22342102[[#This Row],[Column3]]-62))</f>
        <v>22</v>
      </c>
      <c r="C84" t="s">
        <v>90</v>
      </c>
      <c r="D84">
        <v>11.3699999</v>
      </c>
      <c r="E84"/>
      <c r="F84" s="81">
        <v>12.572234999999999</v>
      </c>
      <c r="G84" s="29">
        <f>Table22342102[[#This Row],[Ypred]]-Table22342102[[#This Row],[REF]]</f>
        <v>1.2022350999999993</v>
      </c>
      <c r="H84" s="29">
        <f>Table22342102[[#This Row],[X-Y]]-E$20</f>
        <v>0.48475565499999895</v>
      </c>
      <c r="I84" s="29">
        <f>Table22342102[[#This Row],[Ypred]]-E$20</f>
        <v>11.854755554999999</v>
      </c>
      <c r="J84" s="29">
        <f>Table22342102[[#This Row],[Ypred]]*E$21+E$22</f>
        <v>11.688522380557867</v>
      </c>
      <c r="K84" s="56">
        <f>Table22342102[[#This Row],[Yest]]-Table22342102[[#This Row],[REF]]</f>
        <v>0.31852248055786703</v>
      </c>
      <c r="L84" s="56">
        <f>ABS(Table22342102[[#This Row],[RESyx]])</f>
        <v>0.31852248055786703</v>
      </c>
      <c r="M84" s="29">
        <f>Table22342102[[#This Row],[Ypred]]*E$25+E$26</f>
        <v>11.817307107193107</v>
      </c>
      <c r="N84" s="29">
        <f>Table22342102[[#This Row],[X-Y]]^2</f>
        <v>1.4453692356720085</v>
      </c>
      <c r="O84" s="57">
        <f>Table22342102[[#This Row],[yest_rect]]-Table22342102[[#This Row],[REF]]</f>
        <v>0.44730720719310746</v>
      </c>
      <c r="P84" s="57">
        <f>Table22342102[[#This Row],[dif rec]]^2</f>
        <v>0.20008373760689757</v>
      </c>
      <c r="Q84" s="57">
        <f>ABS(Table22342102[[#This Row],[diff-bias]])</f>
        <v>0.48475565499999895</v>
      </c>
      <c r="R84" s="57">
        <f ca="1">CELL("row",Table22342102[[#This Row],[Position]])</f>
        <v>84</v>
      </c>
      <c r="S84" s="4">
        <f>Table22342102[[#This Row],[REF]]-D$13</f>
        <v>0.35999964999999889</v>
      </c>
      <c r="T84" s="4">
        <f>ABS(Table22342102[[#This Row],[lab-med]])</f>
        <v>0.35999964999999889</v>
      </c>
      <c r="U84" s="4">
        <f>Table22342102[[#This Row],[Ypred]]-F$13</f>
        <v>0.84826599999999885</v>
      </c>
      <c r="V84" s="4">
        <f>ABS(Table22342102[[#This Row],[anl-med]])</f>
        <v>0.84826599999999885</v>
      </c>
      <c r="W84" s="4">
        <f>Table22342102[[#This Row],[lab-med]]*Table22342102[[#This Row],[anl-med]]</f>
        <v>0.30537546310689867</v>
      </c>
    </row>
    <row r="85" spans="2:23" ht="14.4" x14ac:dyDescent="0.3">
      <c r="B85" s="46">
        <f ca="1">VALUE((Table22342102[[#This Row],[Column3]]-62))</f>
        <v>23</v>
      </c>
      <c r="C85" t="s">
        <v>91</v>
      </c>
      <c r="D85">
        <v>11.5900002</v>
      </c>
      <c r="E85"/>
      <c r="F85" s="81">
        <v>12.281748</v>
      </c>
      <c r="G85" s="29">
        <f>Table22342102[[#This Row],[Ypred]]-Table22342102[[#This Row],[REF]]</f>
        <v>0.69174779999999991</v>
      </c>
      <c r="H85" s="29">
        <f>Table22342102[[#This Row],[X-Y]]-E$20</f>
        <v>-2.5731645000000469E-2</v>
      </c>
      <c r="I85" s="29">
        <f>Table22342102[[#This Row],[Ypred]]-E$20</f>
        <v>11.564268555</v>
      </c>
      <c r="J85" s="29">
        <f>Table22342102[[#This Row],[Ypred]]*E$21+E$22</f>
        <v>11.462830033243522</v>
      </c>
      <c r="K85" s="56">
        <f>Table22342102[[#This Row],[Yest]]-Table22342102[[#This Row],[REF]]</f>
        <v>-0.12717016675647841</v>
      </c>
      <c r="L85" s="56">
        <f>ABS(Table22342102[[#This Row],[RESyx]])</f>
        <v>0.12717016675647841</v>
      </c>
      <c r="M85" s="29">
        <f>Table22342102[[#This Row],[Ypred]]*E$25+E$26</f>
        <v>11.541416827597489</v>
      </c>
      <c r="N85" s="29">
        <f>Table22342102[[#This Row],[X-Y]]^2</f>
        <v>0.47851501880483988</v>
      </c>
      <c r="O85" s="57">
        <f>Table22342102[[#This Row],[yest_rect]]-Table22342102[[#This Row],[REF]]</f>
        <v>-4.8583372402511316E-2</v>
      </c>
      <c r="P85" s="57">
        <f>Table22342102[[#This Row],[dif rec]]^2</f>
        <v>2.3603440740010981E-3</v>
      </c>
      <c r="Q85" s="57">
        <f>ABS(Table22342102[[#This Row],[diff-bias]])</f>
        <v>2.5731645000000469E-2</v>
      </c>
      <c r="R85" s="57">
        <f ca="1">CELL("row",Table22342102[[#This Row],[Position]])</f>
        <v>85</v>
      </c>
      <c r="S85" s="4">
        <f>Table22342102[[#This Row],[REF]]-D$13</f>
        <v>0.57999994999999949</v>
      </c>
      <c r="T85" s="4">
        <f>ABS(Table22342102[[#This Row],[lab-med]])</f>
        <v>0.57999994999999949</v>
      </c>
      <c r="U85" s="4">
        <f>Table22342102[[#This Row],[Ypred]]-F$13</f>
        <v>0.55777900000000002</v>
      </c>
      <c r="V85" s="4">
        <f>ABS(Table22342102[[#This Row],[anl-med]])</f>
        <v>0.55777900000000002</v>
      </c>
      <c r="W85" s="4">
        <f>Table22342102[[#This Row],[lab-med]]*Table22342102[[#This Row],[anl-med]]</f>
        <v>0.32351179211104975</v>
      </c>
    </row>
    <row r="86" spans="2:23" ht="14.4" x14ac:dyDescent="0.3">
      <c r="B86" s="46">
        <f ca="1">VALUE((Table22342102[[#This Row],[Column3]]-62))</f>
        <v>24</v>
      </c>
      <c r="C86" t="s">
        <v>92</v>
      </c>
      <c r="D86">
        <v>9.8800001000000002</v>
      </c>
      <c r="E86"/>
      <c r="F86" s="81">
        <v>9.7028049999999997</v>
      </c>
      <c r="G86" s="29">
        <f>Table22342102[[#This Row],[Ypred]]-Table22342102[[#This Row],[REF]]</f>
        <v>-0.17719510000000049</v>
      </c>
      <c r="H86" s="29">
        <f>Table22342102[[#This Row],[X-Y]]-E$20</f>
        <v>-0.89467454500000088</v>
      </c>
      <c r="I86" s="29">
        <f>Table22342102[[#This Row],[Ypred]]-E$20</f>
        <v>8.9853255549999993</v>
      </c>
      <c r="J86" s="29">
        <f>Table22342102[[#This Row],[Ypred]]*E$21+E$22</f>
        <v>9.4591338290763645</v>
      </c>
      <c r="K86" s="56">
        <f>Table22342102[[#This Row],[Yest]]-Table22342102[[#This Row],[REF]]</f>
        <v>-0.42086627092363571</v>
      </c>
      <c r="L86" s="56">
        <f>ABS(Table22342102[[#This Row],[RESyx]])</f>
        <v>0.42086627092363571</v>
      </c>
      <c r="M86" s="29">
        <f>Table22342102[[#This Row],[Ypred]]*E$25+E$26</f>
        <v>9.0920634819015849</v>
      </c>
      <c r="N86" s="29">
        <f>Table22342102[[#This Row],[X-Y]]^2</f>
        <v>3.1398103464010174E-2</v>
      </c>
      <c r="O86" s="57">
        <f>Table22342102[[#This Row],[yest_rect]]-Table22342102[[#This Row],[REF]]</f>
        <v>-0.78793661809841531</v>
      </c>
      <c r="P86" s="57">
        <f>Table22342102[[#This Row],[dif rec]]^2</f>
        <v>0.620844114140368</v>
      </c>
      <c r="Q86" s="57">
        <f>ABS(Table22342102[[#This Row],[diff-bias]])</f>
        <v>0.89467454500000088</v>
      </c>
      <c r="R86" s="57">
        <f ca="1">CELL("row",Table22342102[[#This Row],[Position]])</f>
        <v>86</v>
      </c>
      <c r="S86" s="4">
        <f>Table22342102[[#This Row],[REF]]-D$13</f>
        <v>-1.1300001500000008</v>
      </c>
      <c r="T86" s="4">
        <f>ABS(Table22342102[[#This Row],[lab-med]])</f>
        <v>1.1300001500000008</v>
      </c>
      <c r="U86" s="4">
        <f>Table22342102[[#This Row],[Ypred]]-F$13</f>
        <v>-2.0211640000000006</v>
      </c>
      <c r="V86" s="4">
        <f>ABS(Table22342102[[#This Row],[anl-med]])</f>
        <v>2.0211640000000006</v>
      </c>
      <c r="W86" s="4">
        <f>Table22342102[[#This Row],[lab-med]]*Table22342102[[#This Row],[anl-med]]</f>
        <v>2.2839156231746021</v>
      </c>
    </row>
    <row r="87" spans="2:23" ht="14.4" x14ac:dyDescent="0.3">
      <c r="B87" s="46">
        <f ca="1">VALUE((Table22342102[[#This Row],[Column3]]-62))</f>
        <v>25</v>
      </c>
      <c r="C87" t="s">
        <v>93</v>
      </c>
      <c r="D87">
        <v>11.8400002</v>
      </c>
      <c r="E87"/>
      <c r="F87" s="81">
        <v>12.793189999999999</v>
      </c>
      <c r="G87" s="29">
        <f>Table22342102[[#This Row],[Ypred]]-Table22342102[[#This Row],[REF]]</f>
        <v>0.95318979999999875</v>
      </c>
      <c r="H87" s="29">
        <f>Table22342102[[#This Row],[X-Y]]-E$20</f>
        <v>0.23571035499999837</v>
      </c>
      <c r="I87" s="29">
        <f>Table22342102[[#This Row],[Ypred]]-E$20</f>
        <v>12.075710554999999</v>
      </c>
      <c r="J87" s="29">
        <f>Table22342102[[#This Row],[Ypred]]*E$21+E$22</f>
        <v>11.860192206060701</v>
      </c>
      <c r="K87" s="56">
        <f>Table22342102[[#This Row],[Yest]]-Table22342102[[#This Row],[REF]]</f>
        <v>2.0192006060700152E-2</v>
      </c>
      <c r="L87" s="56">
        <f>ABS(Table22342102[[#This Row],[RESyx]])</f>
        <v>2.0192006060700152E-2</v>
      </c>
      <c r="M87" s="29">
        <f>Table22342102[[#This Row],[Ypred]]*E$25+E$26</f>
        <v>12.027159309625747</v>
      </c>
      <c r="N87" s="29">
        <f>Table22342102[[#This Row],[X-Y]]^2</f>
        <v>0.90857079482403758</v>
      </c>
      <c r="O87" s="57">
        <f>Table22342102[[#This Row],[yest_rect]]-Table22342102[[#This Row],[REF]]</f>
        <v>0.18715910962574611</v>
      </c>
      <c r="P87" s="57">
        <f>Table22342102[[#This Row],[dif rec]]^2</f>
        <v>3.5028532315902049E-2</v>
      </c>
      <c r="Q87" s="57">
        <f>ABS(Table22342102[[#This Row],[diff-bias]])</f>
        <v>0.23571035499999837</v>
      </c>
      <c r="R87" s="57">
        <f ca="1">CELL("row",Table22342102[[#This Row],[Position]])</f>
        <v>87</v>
      </c>
      <c r="S87" s="4">
        <f>Table22342102[[#This Row],[REF]]-D$13</f>
        <v>0.82999994999999949</v>
      </c>
      <c r="T87" s="4">
        <f>ABS(Table22342102[[#This Row],[lab-med]])</f>
        <v>0.82999994999999949</v>
      </c>
      <c r="U87" s="4">
        <f>Table22342102[[#This Row],[Ypred]]-F$13</f>
        <v>1.0692209999999989</v>
      </c>
      <c r="V87" s="4">
        <f>ABS(Table22342102[[#This Row],[anl-med]])</f>
        <v>1.0692209999999989</v>
      </c>
      <c r="W87" s="4">
        <f>Table22342102[[#This Row],[lab-med]]*Table22342102[[#This Row],[anl-med]]</f>
        <v>0.88745337653894851</v>
      </c>
    </row>
    <row r="88" spans="2:23" ht="14.4" x14ac:dyDescent="0.3">
      <c r="B88" s="46">
        <f ca="1">VALUE((Table22342102[[#This Row],[Column3]]-62))</f>
        <v>26</v>
      </c>
      <c r="C88" t="s">
        <v>94</v>
      </c>
      <c r="D88">
        <v>10</v>
      </c>
      <c r="E88"/>
      <c r="F88" s="81">
        <v>10.821941000000001</v>
      </c>
      <c r="G88" s="29">
        <f>Table22342102[[#This Row],[Ypred]]-Table22342102[[#This Row],[REF]]</f>
        <v>0.8219410000000007</v>
      </c>
      <c r="H88" s="29">
        <f>Table22342102[[#This Row],[X-Y]]-E$20</f>
        <v>0.10446155500000032</v>
      </c>
      <c r="I88" s="29">
        <f>Table22342102[[#This Row],[Ypred]]-E$20</f>
        <v>10.104461555</v>
      </c>
      <c r="J88" s="29">
        <f>Table22342102[[#This Row],[Ypred]]*E$21+E$22</f>
        <v>10.328640660032619</v>
      </c>
      <c r="K88" s="56">
        <f>Table22342102[[#This Row],[Yest]]-Table22342102[[#This Row],[REF]]</f>
        <v>0.32864066003261883</v>
      </c>
      <c r="L88" s="56">
        <f>ABS(Table22342102[[#This Row],[RESyx]])</f>
        <v>0.32864066003261883</v>
      </c>
      <c r="M88" s="29">
        <f>Table22342102[[#This Row],[Ypred]]*E$25+E$26</f>
        <v>10.154963866240724</v>
      </c>
      <c r="N88" s="29">
        <f>Table22342102[[#This Row],[X-Y]]^2</f>
        <v>0.6755870074810012</v>
      </c>
      <c r="O88" s="57">
        <f>Table22342102[[#This Row],[yest_rect]]-Table22342102[[#This Row],[REF]]</f>
        <v>0.154963866240724</v>
      </c>
      <c r="P88" s="57">
        <f>Table22342102[[#This Row],[dif rec]]^2</f>
        <v>2.4013799840272999E-2</v>
      </c>
      <c r="Q88" s="57">
        <f>ABS(Table22342102[[#This Row],[diff-bias]])</f>
        <v>0.10446155500000032</v>
      </c>
      <c r="R88" s="57">
        <f ca="1">CELL("row",Table22342102[[#This Row],[Position]])</f>
        <v>88</v>
      </c>
      <c r="S88" s="4">
        <f>Table22342102[[#This Row],[REF]]-D$13</f>
        <v>-1.0100002500000009</v>
      </c>
      <c r="T88" s="4">
        <f>ABS(Table22342102[[#This Row],[lab-med]])</f>
        <v>1.0100002500000009</v>
      </c>
      <c r="U88" s="4">
        <f>Table22342102[[#This Row],[Ypred]]-F$13</f>
        <v>-0.90202799999999961</v>
      </c>
      <c r="V88" s="4">
        <f>ABS(Table22342102[[#This Row],[anl-med]])</f>
        <v>0.90202799999999961</v>
      </c>
      <c r="W88" s="4">
        <f>Table22342102[[#This Row],[lab-med]]*Table22342102[[#This Row],[anl-med]]</f>
        <v>0.91104850550700045</v>
      </c>
    </row>
    <row r="89" spans="2:23" ht="14.4" x14ac:dyDescent="0.3">
      <c r="B89" s="46">
        <f ca="1">VALUE((Table22342102[[#This Row],[Column3]]-62))</f>
        <v>27</v>
      </c>
      <c r="C89" t="s">
        <v>95</v>
      </c>
      <c r="D89">
        <v>10.100000400000001</v>
      </c>
      <c r="E89"/>
      <c r="F89" s="81">
        <v>11.208905</v>
      </c>
      <c r="G89" s="29">
        <f>Table22342102[[#This Row],[Ypred]]-Table22342102[[#This Row],[REF]]</f>
        <v>1.1089045999999989</v>
      </c>
      <c r="H89" s="29">
        <f>Table22342102[[#This Row],[X-Y]]-E$20</f>
        <v>0.39142515499999853</v>
      </c>
      <c r="I89" s="29">
        <f>Table22342102[[#This Row],[Ypred]]-E$20</f>
        <v>10.491425554999999</v>
      </c>
      <c r="J89" s="29">
        <f>Table22342102[[#This Row],[Ypred]]*E$21+E$22</f>
        <v>10.629290305235843</v>
      </c>
      <c r="K89" s="56">
        <f>Table22342102[[#This Row],[Yest]]-Table22342102[[#This Row],[REF]]</f>
        <v>0.52928990523584218</v>
      </c>
      <c r="L89" s="56">
        <f>ABS(Table22342102[[#This Row],[RESyx]])</f>
        <v>0.52928990523584218</v>
      </c>
      <c r="M89" s="29">
        <f>Table22342102[[#This Row],[Ypred]]*E$25+E$26</f>
        <v>10.522483260063646</v>
      </c>
      <c r="N89" s="29">
        <f>Table22342102[[#This Row],[X-Y]]^2</f>
        <v>1.2296694119011575</v>
      </c>
      <c r="O89" s="57">
        <f>Table22342102[[#This Row],[yest_rect]]-Table22342102[[#This Row],[REF]]</f>
        <v>0.42248286006364566</v>
      </c>
      <c r="P89" s="57">
        <f>Table22342102[[#This Row],[dif rec]]^2</f>
        <v>0.17849176704755801</v>
      </c>
      <c r="Q89" s="57">
        <f>ABS(Table22342102[[#This Row],[diff-bias]])</f>
        <v>0.39142515499999853</v>
      </c>
      <c r="R89" s="57">
        <f ca="1">CELL("row",Table22342102[[#This Row],[Position]])</f>
        <v>89</v>
      </c>
      <c r="S89" s="4">
        <f>Table22342102[[#This Row],[REF]]-D$13</f>
        <v>-0.90999985000000017</v>
      </c>
      <c r="T89" s="4">
        <f>ABS(Table22342102[[#This Row],[lab-med]])</f>
        <v>0.90999985000000017</v>
      </c>
      <c r="U89" s="4">
        <f>Table22342102[[#This Row],[Ypred]]-F$13</f>
        <v>-0.51506400000000063</v>
      </c>
      <c r="V89" s="4">
        <f>ABS(Table22342102[[#This Row],[anl-med]])</f>
        <v>0.51506400000000063</v>
      </c>
      <c r="W89" s="4">
        <f>Table22342102[[#This Row],[lab-med]]*Table22342102[[#This Row],[anl-med]]</f>
        <v>0.46870816274040067</v>
      </c>
    </row>
    <row r="90" spans="2:23" ht="14.4" x14ac:dyDescent="0.3">
      <c r="B90" s="46">
        <f ca="1">VALUE((Table22342102[[#This Row],[Column3]]-62))</f>
        <v>28</v>
      </c>
      <c r="C90" t="s">
        <v>96</v>
      </c>
      <c r="D90">
        <v>11.399999599999999</v>
      </c>
      <c r="E90"/>
      <c r="F90" s="81">
        <v>12.962356</v>
      </c>
      <c r="G90" s="29">
        <f>Table22342102[[#This Row],[Ypred]]-Table22342102[[#This Row],[REF]]</f>
        <v>1.5623564000000005</v>
      </c>
      <c r="H90" s="29">
        <f>Table22342102[[#This Row],[X-Y]]-E$20</f>
        <v>0.84487695500000015</v>
      </c>
      <c r="I90" s="29">
        <f>Table22342102[[#This Row],[Ypred]]-E$20</f>
        <v>12.244876554999999</v>
      </c>
      <c r="J90" s="29">
        <f>Table22342102[[#This Row],[Ypred]]*E$21+E$22</f>
        <v>11.991624840312076</v>
      </c>
      <c r="K90" s="56">
        <f>Table22342102[[#This Row],[Yest]]-Table22342102[[#This Row],[REF]]</f>
        <v>0.59162524031207653</v>
      </c>
      <c r="L90" s="56">
        <f>ABS(Table22342102[[#This Row],[RESyx]])</f>
        <v>0.59162524031207653</v>
      </c>
      <c r="M90" s="29">
        <f>Table22342102[[#This Row],[Ypred]]*E$25+E$26</f>
        <v>12.187824864497644</v>
      </c>
      <c r="N90" s="29">
        <f>Table22342102[[#This Row],[X-Y]]^2</f>
        <v>2.4409575206209615</v>
      </c>
      <c r="O90" s="57">
        <f>Table22342102[[#This Row],[yest_rect]]-Table22342102[[#This Row],[REF]]</f>
        <v>0.78782526449764489</v>
      </c>
      <c r="P90" s="57">
        <f>Table22342102[[#This Row],[dif rec]]^2</f>
        <v>0.62066864738078409</v>
      </c>
      <c r="Q90" s="57">
        <f>ABS(Table22342102[[#This Row],[diff-bias]])</f>
        <v>0.84487695500000015</v>
      </c>
      <c r="R90" s="57">
        <f ca="1">CELL("row",Table22342102[[#This Row],[Position]])</f>
        <v>90</v>
      </c>
      <c r="S90" s="4">
        <f>Table22342102[[#This Row],[REF]]-D$13</f>
        <v>0.3899993499999983</v>
      </c>
      <c r="T90" s="4">
        <f>ABS(Table22342102[[#This Row],[lab-med]])</f>
        <v>0.3899993499999983</v>
      </c>
      <c r="U90" s="4">
        <f>Table22342102[[#This Row],[Ypred]]-F$13</f>
        <v>1.2383869999999995</v>
      </c>
      <c r="V90" s="4">
        <f>ABS(Table22342102[[#This Row],[anl-med]])</f>
        <v>1.2383869999999995</v>
      </c>
      <c r="W90" s="4">
        <f>Table22342102[[#This Row],[lab-med]]*Table22342102[[#This Row],[anl-med]]</f>
        <v>0.48297012504844766</v>
      </c>
    </row>
    <row r="91" spans="2:23" ht="14.4" x14ac:dyDescent="0.3">
      <c r="B91" s="46">
        <f ca="1">VALUE((Table22342102[[#This Row],[Column3]]-62))</f>
        <v>29</v>
      </c>
      <c r="C91" t="s">
        <v>97</v>
      </c>
      <c r="D91">
        <v>10.279999699999999</v>
      </c>
      <c r="E91"/>
      <c r="F91" s="81">
        <v>11.091710000000001</v>
      </c>
      <c r="G91" s="29">
        <f>Table22342102[[#This Row],[Ypred]]-Table22342102[[#This Row],[REF]]</f>
        <v>0.81171030000000144</v>
      </c>
      <c r="H91" s="29">
        <f>Table22342102[[#This Row],[X-Y]]-E$20</f>
        <v>9.4230855000001057E-2</v>
      </c>
      <c r="I91" s="29">
        <f>Table22342102[[#This Row],[Ypred]]-E$20</f>
        <v>10.374230555</v>
      </c>
      <c r="J91" s="29">
        <f>Table22342102[[#This Row],[Ypred]]*E$21+E$22</f>
        <v>10.538236266179002</v>
      </c>
      <c r="K91" s="56">
        <f>Table22342102[[#This Row],[Yest]]-Table22342102[[#This Row],[REF]]</f>
        <v>0.25823656617900248</v>
      </c>
      <c r="L91" s="56">
        <f>ABS(Table22342102[[#This Row],[RESyx]])</f>
        <v>0.25823656617900248</v>
      </c>
      <c r="M91" s="29">
        <f>Table22342102[[#This Row],[Ypred]]*E$25+E$26</f>
        <v>10.41117720740997</v>
      </c>
      <c r="N91" s="29">
        <f>Table22342102[[#This Row],[X-Y]]^2</f>
        <v>0.65887361112609233</v>
      </c>
      <c r="O91" s="57">
        <f>Table22342102[[#This Row],[yest_rect]]-Table22342102[[#This Row],[REF]]</f>
        <v>0.13117750740997103</v>
      </c>
      <c r="P91" s="57">
        <f>Table22342102[[#This Row],[dif rec]]^2</f>
        <v>1.7207538450293006E-2</v>
      </c>
      <c r="Q91" s="57">
        <f>ABS(Table22342102[[#This Row],[diff-bias]])</f>
        <v>9.4230855000001057E-2</v>
      </c>
      <c r="R91" s="57">
        <f ca="1">CELL("row",Table22342102[[#This Row],[Position]])</f>
        <v>91</v>
      </c>
      <c r="S91" s="4">
        <f>Table22342102[[#This Row],[REF]]-D$13</f>
        <v>-0.73000055000000152</v>
      </c>
      <c r="T91" s="4">
        <f>ABS(Table22342102[[#This Row],[lab-med]])</f>
        <v>0.73000055000000152</v>
      </c>
      <c r="U91" s="4">
        <f>Table22342102[[#This Row],[Ypred]]-F$13</f>
        <v>-0.63225899999999946</v>
      </c>
      <c r="V91" s="4">
        <f>ABS(Table22342102[[#This Row],[anl-med]])</f>
        <v>0.63225899999999946</v>
      </c>
      <c r="W91" s="4">
        <f>Table22342102[[#This Row],[lab-med]]*Table22342102[[#This Row],[anl-med]]</f>
        <v>0.46154941774245056</v>
      </c>
    </row>
    <row r="92" spans="2:23" ht="14.4" x14ac:dyDescent="0.3">
      <c r="B92" s="46">
        <f ca="1">VALUE((Table22342102[[#This Row],[Column3]]-62))</f>
        <v>30</v>
      </c>
      <c r="C92" t="s">
        <v>98</v>
      </c>
      <c r="D92">
        <v>12.21</v>
      </c>
      <c r="E92"/>
      <c r="F92" s="81">
        <v>14.123013</v>
      </c>
      <c r="G92" s="29">
        <f>Table22342102[[#This Row],[Ypred]]-Table22342102[[#This Row],[REF]]</f>
        <v>1.9130129999999994</v>
      </c>
      <c r="H92" s="29">
        <f>Table22342102[[#This Row],[X-Y]]-E$20</f>
        <v>1.195533554999999</v>
      </c>
      <c r="I92" s="29">
        <f>Table22342102[[#This Row],[Ypred]]-E$20</f>
        <v>13.405533555</v>
      </c>
      <c r="J92" s="29">
        <f>Table22342102[[#This Row],[Ypred]]*E$21+E$22</f>
        <v>12.893391193907343</v>
      </c>
      <c r="K92" s="56">
        <f>Table22342102[[#This Row],[Yest]]-Table22342102[[#This Row],[REF]]</f>
        <v>0.68339119390734204</v>
      </c>
      <c r="L92" s="56">
        <f>ABS(Table22342102[[#This Row],[RESyx]])</f>
        <v>0.68339119390734204</v>
      </c>
      <c r="M92" s="29">
        <f>Table22342102[[#This Row],[Ypred]]*E$25+E$26</f>
        <v>13.290159854513076</v>
      </c>
      <c r="N92" s="29">
        <f>Table22342102[[#This Row],[X-Y]]^2</f>
        <v>3.6596187381689975</v>
      </c>
      <c r="O92" s="57">
        <f>Table22342102[[#This Row],[yest_rect]]-Table22342102[[#This Row],[REF]]</f>
        <v>1.0801598545130755</v>
      </c>
      <c r="P92" s="57">
        <f>Table22342102[[#This Row],[dif rec]]^2</f>
        <v>1.1667453113017083</v>
      </c>
      <c r="Q92" s="57">
        <f>ABS(Table22342102[[#This Row],[diff-bias]])</f>
        <v>1.195533554999999</v>
      </c>
      <c r="R92" s="57">
        <f ca="1">CELL("row",Table22342102[[#This Row],[Position]])</f>
        <v>92</v>
      </c>
      <c r="S92" s="4">
        <f>Table22342102[[#This Row],[REF]]-D$13</f>
        <v>1.1999997499999999</v>
      </c>
      <c r="T92" s="4">
        <f>ABS(Table22342102[[#This Row],[lab-med]])</f>
        <v>1.1999997499999999</v>
      </c>
      <c r="U92" s="4">
        <f>Table22342102[[#This Row],[Ypred]]-F$13</f>
        <v>2.399044</v>
      </c>
      <c r="V92" s="4">
        <f>ABS(Table22342102[[#This Row],[anl-med]])</f>
        <v>2.399044</v>
      </c>
      <c r="W92" s="4">
        <f>Table22342102[[#This Row],[lab-med]]*Table22342102[[#This Row],[anl-med]]</f>
        <v>2.8788522002389998</v>
      </c>
    </row>
    <row r="93" spans="2:23" ht="14.4" x14ac:dyDescent="0.3">
      <c r="B93" s="46">
        <f ca="1">VALUE((Table22342102[[#This Row],[Column3]]-62))</f>
        <v>31</v>
      </c>
      <c r="C93" t="s">
        <v>99</v>
      </c>
      <c r="D93">
        <v>11.9399996</v>
      </c>
      <c r="E93"/>
      <c r="F93" s="81">
        <v>13.458119</v>
      </c>
      <c r="G93" s="29">
        <f>Table22342102[[#This Row],[Ypred]]-Table22342102[[#This Row],[REF]]</f>
        <v>1.5181193999999998</v>
      </c>
      <c r="H93" s="29">
        <f>Table22342102[[#This Row],[X-Y]]-E$20</f>
        <v>0.8006399549999994</v>
      </c>
      <c r="I93" s="29">
        <f>Table22342102[[#This Row],[Ypred]]-E$20</f>
        <v>12.740639555</v>
      </c>
      <c r="J93" s="29">
        <f>Table22342102[[#This Row],[Ypred]]*E$21+E$22</f>
        <v>12.376805296517011</v>
      </c>
      <c r="K93" s="56">
        <f>Table22342102[[#This Row],[Yest]]-Table22342102[[#This Row],[REF]]</f>
        <v>0.43680569651701084</v>
      </c>
      <c r="L93" s="56">
        <f>ABS(Table22342102[[#This Row],[RESyx]])</f>
        <v>0.43680569651701084</v>
      </c>
      <c r="M93" s="29">
        <f>Table22342102[[#This Row],[Ypred]]*E$25+E$26</f>
        <v>12.658676202709554</v>
      </c>
      <c r="N93" s="29">
        <f>Table22342102[[#This Row],[X-Y]]^2</f>
        <v>2.3046865126563594</v>
      </c>
      <c r="O93" s="57">
        <f>Table22342102[[#This Row],[yest_rect]]-Table22342102[[#This Row],[REF]]</f>
        <v>0.71867660270955369</v>
      </c>
      <c r="P93" s="57">
        <f>Table22342102[[#This Row],[dif rec]]^2</f>
        <v>0.5164960592821457</v>
      </c>
      <c r="Q93" s="57">
        <f>ABS(Table22342102[[#This Row],[diff-bias]])</f>
        <v>0.8006399549999994</v>
      </c>
      <c r="R93" s="57">
        <f ca="1">CELL("row",Table22342102[[#This Row],[Position]])</f>
        <v>93</v>
      </c>
      <c r="S93" s="4">
        <f>Table22342102[[#This Row],[REF]]-D$13</f>
        <v>0.92999934999999923</v>
      </c>
      <c r="T93" s="4">
        <f>ABS(Table22342102[[#This Row],[lab-med]])</f>
        <v>0.92999934999999923</v>
      </c>
      <c r="U93" s="4">
        <f>Table22342102[[#This Row],[Ypred]]-F$13</f>
        <v>1.7341499999999996</v>
      </c>
      <c r="V93" s="4">
        <f>ABS(Table22342102[[#This Row],[anl-med]])</f>
        <v>1.7341499999999996</v>
      </c>
      <c r="W93" s="4">
        <f>Table22342102[[#This Row],[lab-med]]*Table22342102[[#This Row],[anl-med]]</f>
        <v>1.6127583728024983</v>
      </c>
    </row>
    <row r="94" spans="2:23" ht="14.4" x14ac:dyDescent="0.3">
      <c r="B94" s="46">
        <f ca="1">VALUE((Table22342102[[#This Row],[Column3]]-62))</f>
        <v>32</v>
      </c>
      <c r="C94" t="s">
        <v>100</v>
      </c>
      <c r="D94">
        <v>10.3699999</v>
      </c>
      <c r="E94"/>
      <c r="F94" s="81">
        <v>10.350272</v>
      </c>
      <c r="G94" s="29">
        <f>Table22342102[[#This Row],[Ypred]]-Table22342102[[#This Row],[REF]]</f>
        <v>-1.9727899999999465E-2</v>
      </c>
      <c r="H94" s="29">
        <f>Table22342102[[#This Row],[X-Y]]-E$20</f>
        <v>-0.73720734499999985</v>
      </c>
      <c r="I94" s="29">
        <f>Table22342102[[#This Row],[Ypred]]-E$20</f>
        <v>9.632792555</v>
      </c>
      <c r="J94" s="29">
        <f>Table22342102[[#This Row],[Ypred]]*E$21+E$22</f>
        <v>9.9621799104451636</v>
      </c>
      <c r="K94" s="56">
        <f>Table22342102[[#This Row],[Yest]]-Table22342102[[#This Row],[REF]]</f>
        <v>-0.40781998955483623</v>
      </c>
      <c r="L94" s="56">
        <f>ABS(Table22342102[[#This Row],[RESyx]])</f>
        <v>0.40781998955483623</v>
      </c>
      <c r="M94" s="29">
        <f>Table22342102[[#This Row],[Ypred]]*E$25+E$26</f>
        <v>9.7069958253762927</v>
      </c>
      <c r="N94" s="29">
        <f>Table22342102[[#This Row],[X-Y]]^2</f>
        <v>3.891900384099789E-4</v>
      </c>
      <c r="O94" s="57">
        <f>Table22342102[[#This Row],[yest_rect]]-Table22342102[[#This Row],[REF]]</f>
        <v>-0.66300407462370714</v>
      </c>
      <c r="P94" s="57">
        <f>Table22342102[[#This Row],[dif rec]]^2</f>
        <v>0.43957440296763822</v>
      </c>
      <c r="Q94" s="57">
        <f>ABS(Table22342102[[#This Row],[diff-bias]])</f>
        <v>0.73720734499999985</v>
      </c>
      <c r="R94" s="57">
        <f ca="1">CELL("row",Table22342102[[#This Row],[Position]])</f>
        <v>94</v>
      </c>
      <c r="S94" s="4">
        <f>Table22342102[[#This Row],[REF]]-D$13</f>
        <v>-0.64000035000000111</v>
      </c>
      <c r="T94" s="4">
        <f>ABS(Table22342102[[#This Row],[lab-med]])</f>
        <v>0.64000035000000111</v>
      </c>
      <c r="U94" s="4">
        <f>Table22342102[[#This Row],[Ypred]]-F$13</f>
        <v>-1.3736969999999999</v>
      </c>
      <c r="V94" s="4">
        <f>ABS(Table22342102[[#This Row],[anl-med]])</f>
        <v>1.3736969999999999</v>
      </c>
      <c r="W94" s="4">
        <f>Table22342102[[#This Row],[lab-med]]*Table22342102[[#This Row],[anl-med]]</f>
        <v>0.8791665607939515</v>
      </c>
    </row>
    <row r="95" spans="2:23" ht="14.4" x14ac:dyDescent="0.3">
      <c r="B95" s="46">
        <f ca="1">VALUE((Table22342102[[#This Row],[Column3]]-62))</f>
        <v>33</v>
      </c>
      <c r="C95" t="s">
        <v>101</v>
      </c>
      <c r="D95">
        <v>10.3800001</v>
      </c>
      <c r="E95"/>
      <c r="F95" s="81">
        <v>11.462718000000001</v>
      </c>
      <c r="G95" s="29">
        <f>Table22342102[[#This Row],[Ypred]]-Table22342102[[#This Row],[REF]]</f>
        <v>1.0827179000000005</v>
      </c>
      <c r="H95" s="29">
        <f>Table22342102[[#This Row],[X-Y]]-E$20</f>
        <v>0.36523845500000007</v>
      </c>
      <c r="I95" s="29">
        <f>Table22342102[[#This Row],[Ypred]]-E$20</f>
        <v>10.745238555</v>
      </c>
      <c r="J95" s="29">
        <f>Table22342102[[#This Row],[Ypred]]*E$21+E$22</f>
        <v>10.826488981076402</v>
      </c>
      <c r="K95" s="56">
        <f>Table22342102[[#This Row],[Yest]]-Table22342102[[#This Row],[REF]]</f>
        <v>0.44648888107640161</v>
      </c>
      <c r="L95" s="56">
        <f>ABS(Table22342102[[#This Row],[RESyx]])</f>
        <v>0.44648888107640161</v>
      </c>
      <c r="M95" s="29">
        <f>Table22342102[[#This Row],[Ypred]]*E$25+E$26</f>
        <v>10.763542376426868</v>
      </c>
      <c r="N95" s="29">
        <f>Table22342102[[#This Row],[X-Y]]^2</f>
        <v>1.1722780509804109</v>
      </c>
      <c r="O95" s="57">
        <f>Table22342102[[#This Row],[yest_rect]]-Table22342102[[#This Row],[REF]]</f>
        <v>0.38354227642686745</v>
      </c>
      <c r="P95" s="57">
        <f>Table22342102[[#This Row],[dif rec]]^2</f>
        <v>0.14710467780670361</v>
      </c>
      <c r="Q95" s="57">
        <f>ABS(Table22342102[[#This Row],[diff-bias]])</f>
        <v>0.36523845500000007</v>
      </c>
      <c r="R95" s="57">
        <f ca="1">CELL("row",Table22342102[[#This Row],[Position]])</f>
        <v>95</v>
      </c>
      <c r="S95" s="4">
        <f>Table22342102[[#This Row],[REF]]-D$13</f>
        <v>-0.63000015000000076</v>
      </c>
      <c r="T95" s="4">
        <f>ABS(Table22342102[[#This Row],[lab-med]])</f>
        <v>0.63000015000000076</v>
      </c>
      <c r="U95" s="4">
        <f>Table22342102[[#This Row],[Ypred]]-F$13</f>
        <v>-0.26125099999999968</v>
      </c>
      <c r="V95" s="4">
        <f>ABS(Table22342102[[#This Row],[anl-med]])</f>
        <v>0.26125099999999968</v>
      </c>
      <c r="W95" s="4">
        <f>Table22342102[[#This Row],[lab-med]]*Table22342102[[#This Row],[anl-med]]</f>
        <v>0.16458816918764999</v>
      </c>
    </row>
    <row r="96" spans="2:23" ht="14.4" x14ac:dyDescent="0.3">
      <c r="B96" s="46">
        <f ca="1">VALUE((Table22342102[[#This Row],[Column3]]-62))</f>
        <v>34</v>
      </c>
      <c r="C96" t="s">
        <v>102</v>
      </c>
      <c r="D96">
        <v>9.8800001000000002</v>
      </c>
      <c r="E96"/>
      <c r="F96" s="81">
        <v>11.645144</v>
      </c>
      <c r="G96" s="29">
        <f>Table22342102[[#This Row],[Ypred]]-Table22342102[[#This Row],[REF]]</f>
        <v>1.7651439</v>
      </c>
      <c r="H96" s="29">
        <f>Table22342102[[#This Row],[X-Y]]-E$20</f>
        <v>1.0476644549999996</v>
      </c>
      <c r="I96" s="29">
        <f>Table22342102[[#This Row],[Ypred]]-E$20</f>
        <v>10.927664555</v>
      </c>
      <c r="J96" s="29">
        <f>Table22342102[[#This Row],[Ypred]]*E$21+E$22</f>
        <v>10.96822390260875</v>
      </c>
      <c r="K96" s="56">
        <f>Table22342102[[#This Row],[Yest]]-Table22342102[[#This Row],[REF]]</f>
        <v>1.0882238026087503</v>
      </c>
      <c r="L96" s="56">
        <f>ABS(Table22342102[[#This Row],[RESyx]])</f>
        <v>1.0882238026087503</v>
      </c>
      <c r="M96" s="29">
        <f>Table22342102[[#This Row],[Ypred]]*E$25+E$26</f>
        <v>10.936801627772059</v>
      </c>
      <c r="N96" s="29">
        <f>Table22342102[[#This Row],[X-Y]]^2</f>
        <v>3.1157329877072097</v>
      </c>
      <c r="O96" s="57">
        <f>Table22342102[[#This Row],[yest_rect]]-Table22342102[[#This Row],[REF]]</f>
        <v>1.056801527772059</v>
      </c>
      <c r="P96" s="57">
        <f>Table22342102[[#This Row],[dif rec]]^2</f>
        <v>1.1168294691013581</v>
      </c>
      <c r="Q96" s="57">
        <f>ABS(Table22342102[[#This Row],[diff-bias]])</f>
        <v>1.0476644549999996</v>
      </c>
      <c r="R96" s="57">
        <f ca="1">CELL("row",Table22342102[[#This Row],[Position]])</f>
        <v>96</v>
      </c>
      <c r="S96" s="4">
        <f>Table22342102[[#This Row],[REF]]-D$13</f>
        <v>-1.1300001500000008</v>
      </c>
      <c r="T96" s="4">
        <f>ABS(Table22342102[[#This Row],[lab-med]])</f>
        <v>1.1300001500000008</v>
      </c>
      <c r="U96" s="4">
        <f>Table22342102[[#This Row],[Ypred]]-F$13</f>
        <v>-7.8825000000000145E-2</v>
      </c>
      <c r="V96" s="4">
        <f>ABS(Table22342102[[#This Row],[anl-med]])</f>
        <v>7.8825000000000145E-2</v>
      </c>
      <c r="W96" s="4">
        <f>Table22342102[[#This Row],[lab-med]]*Table22342102[[#This Row],[anl-med]]</f>
        <v>8.9072261823750221E-2</v>
      </c>
    </row>
    <row r="97" spans="2:23" ht="14.4" x14ac:dyDescent="0.3">
      <c r="B97" s="46">
        <f ca="1">VALUE((Table22342102[[#This Row],[Column3]]-62))</f>
        <v>35</v>
      </c>
      <c r="C97" t="s">
        <v>103</v>
      </c>
      <c r="D97">
        <v>12.079999900000001</v>
      </c>
      <c r="E97"/>
      <c r="F97" s="81">
        <v>11.377736000000001</v>
      </c>
      <c r="G97" s="29">
        <f>Table22342102[[#This Row],[Ypred]]-Table22342102[[#This Row],[REF]]</f>
        <v>-0.70226390000000016</v>
      </c>
      <c r="H97" s="29">
        <f>Table22342102[[#This Row],[X-Y]]-E$20</f>
        <v>-1.4197433450000005</v>
      </c>
      <c r="I97" s="29">
        <f>Table22342102[[#This Row],[Ypred]]-E$20</f>
        <v>10.660256555</v>
      </c>
      <c r="J97" s="29">
        <f>Table22342102[[#This Row],[Ypred]]*E$21+E$22</f>
        <v>10.760462662998595</v>
      </c>
      <c r="K97" s="56">
        <f>Table22342102[[#This Row],[Yest]]-Table22342102[[#This Row],[REF]]</f>
        <v>-1.3195372370014056</v>
      </c>
      <c r="L97" s="56">
        <f>ABS(Table22342102[[#This Row],[RESyx]])</f>
        <v>1.3195372370014056</v>
      </c>
      <c r="M97" s="29">
        <f>Table22342102[[#This Row],[Ypred]]*E$25+E$26</f>
        <v>10.682830648395683</v>
      </c>
      <c r="N97" s="29">
        <f>Table22342102[[#This Row],[X-Y]]^2</f>
        <v>0.49317458524321023</v>
      </c>
      <c r="O97" s="57">
        <f>Table22342102[[#This Row],[yest_rect]]-Table22342102[[#This Row],[REF]]</f>
        <v>-1.3971692516043177</v>
      </c>
      <c r="P97" s="57">
        <f>Table22342102[[#This Row],[dif rec]]^2</f>
        <v>1.9520819176285693</v>
      </c>
      <c r="Q97" s="57">
        <f>ABS(Table22342102[[#This Row],[diff-bias]])</f>
        <v>1.4197433450000005</v>
      </c>
      <c r="R97" s="57">
        <f ca="1">CELL("row",Table22342102[[#This Row],[Position]])</f>
        <v>97</v>
      </c>
      <c r="S97" s="4">
        <f>Table22342102[[#This Row],[REF]]-D$13</f>
        <v>1.0699996499999997</v>
      </c>
      <c r="T97" s="4">
        <f>ABS(Table22342102[[#This Row],[lab-med]])</f>
        <v>1.0699996499999997</v>
      </c>
      <c r="U97" s="4">
        <f>Table22342102[[#This Row],[Ypred]]-F$13</f>
        <v>-0.34623299999999979</v>
      </c>
      <c r="V97" s="4">
        <f>ABS(Table22342102[[#This Row],[anl-med]])</f>
        <v>0.34623299999999979</v>
      </c>
      <c r="W97" s="4">
        <f>Table22342102[[#This Row],[lab-med]]*Table22342102[[#This Row],[anl-med]]</f>
        <v>-0.3704691888184497</v>
      </c>
    </row>
    <row r="98" spans="2:23" ht="14.4" x14ac:dyDescent="0.3">
      <c r="B98" s="46">
        <f ca="1">VALUE((Table22342102[[#This Row],[Column3]]-62))</f>
        <v>36</v>
      </c>
      <c r="C98" t="s">
        <v>104</v>
      </c>
      <c r="D98">
        <v>9.0799999000000007</v>
      </c>
      <c r="E98"/>
      <c r="F98" s="81">
        <v>9.0439179999999997</v>
      </c>
      <c r="G98" s="29">
        <f>Table22342102[[#This Row],[Ypred]]-Table22342102[[#This Row],[REF]]</f>
        <v>-3.6081900000000999E-2</v>
      </c>
      <c r="H98" s="29">
        <f>Table22342102[[#This Row],[X-Y]]-E$20</f>
        <v>-0.75356134500000138</v>
      </c>
      <c r="I98" s="29">
        <f>Table22342102[[#This Row],[Ypred]]-E$20</f>
        <v>8.3264385549999993</v>
      </c>
      <c r="J98" s="29">
        <f>Table22342102[[#This Row],[Ypred]]*E$21+E$22</f>
        <v>8.9472150387521552</v>
      </c>
      <c r="K98" s="56">
        <f>Table22342102[[#This Row],[Yest]]-Table22342102[[#This Row],[REF]]</f>
        <v>-0.1327848612478455</v>
      </c>
      <c r="L98" s="56">
        <f>ABS(Table22342102[[#This Row],[RESyx]])</f>
        <v>0.1327848612478455</v>
      </c>
      <c r="M98" s="29">
        <f>Table22342102[[#This Row],[Ypred]]*E$25+E$26</f>
        <v>8.4662849835456555</v>
      </c>
      <c r="N98" s="29">
        <f>Table22342102[[#This Row],[X-Y]]^2</f>
        <v>1.3019035076100721E-3</v>
      </c>
      <c r="O98" s="57">
        <f>Table22342102[[#This Row],[yest_rect]]-Table22342102[[#This Row],[REF]]</f>
        <v>-0.61371491645434517</v>
      </c>
      <c r="P98" s="57">
        <f>Table22342102[[#This Row],[dif rec]]^2</f>
        <v>0.37664599867856385</v>
      </c>
      <c r="Q98" s="57">
        <f>ABS(Table22342102[[#This Row],[diff-bias]])</f>
        <v>0.75356134500000138</v>
      </c>
      <c r="R98" s="57">
        <f ca="1">CELL("row",Table22342102[[#This Row],[Position]])</f>
        <v>98</v>
      </c>
      <c r="S98" s="4">
        <f>Table22342102[[#This Row],[REF]]-D$13</f>
        <v>-1.9300003500000003</v>
      </c>
      <c r="T98" s="4">
        <f>ABS(Table22342102[[#This Row],[lab-med]])</f>
        <v>1.9300003500000003</v>
      </c>
      <c r="U98" s="4">
        <f>Table22342102[[#This Row],[Ypred]]-F$13</f>
        <v>-2.6800510000000006</v>
      </c>
      <c r="V98" s="4">
        <f>ABS(Table22342102[[#This Row],[anl-med]])</f>
        <v>2.6800510000000006</v>
      </c>
      <c r="W98" s="4">
        <f>Table22342102[[#This Row],[lab-med]]*Table22342102[[#This Row],[anl-med]]</f>
        <v>5.1724993680178519</v>
      </c>
    </row>
    <row r="99" spans="2:23" ht="14.4" x14ac:dyDescent="0.3">
      <c r="B99" s="46">
        <f ca="1">VALUE((Table22342102[[#This Row],[Column3]]-62))</f>
        <v>37</v>
      </c>
      <c r="C99" t="s">
        <v>105</v>
      </c>
      <c r="D99">
        <v>10.800000199999999</v>
      </c>
      <c r="E99"/>
      <c r="F99" s="81">
        <v>10.975311</v>
      </c>
      <c r="G99" s="29">
        <f>Table22342102[[#This Row],[Ypred]]-Table22342102[[#This Row],[REF]]</f>
        <v>0.1753108000000001</v>
      </c>
      <c r="H99" s="29">
        <f>Table22342102[[#This Row],[X-Y]]-E$20</f>
        <v>-0.54216864500000028</v>
      </c>
      <c r="I99" s="29">
        <f>Table22342102[[#This Row],[Ypred]]-E$20</f>
        <v>10.257831554999999</v>
      </c>
      <c r="J99" s="29">
        <f>Table22342102[[#This Row],[Ypred]]*E$21+E$22</f>
        <v>10.447800675136913</v>
      </c>
      <c r="K99" s="56">
        <f>Table22342102[[#This Row],[Yest]]-Table22342102[[#This Row],[REF]]</f>
        <v>-0.35219952486308692</v>
      </c>
      <c r="L99" s="56">
        <f>ABS(Table22342102[[#This Row],[RESyx]])</f>
        <v>0.35219952486308692</v>
      </c>
      <c r="M99" s="29">
        <f>Table22342102[[#This Row],[Ypred]]*E$25+E$26</f>
        <v>10.300627156445035</v>
      </c>
      <c r="N99" s="29">
        <f>Table22342102[[#This Row],[X-Y]]^2</f>
        <v>3.0733876596640036E-2</v>
      </c>
      <c r="O99" s="57">
        <f>Table22342102[[#This Row],[yest_rect]]-Table22342102[[#This Row],[REF]]</f>
        <v>-0.49937304355496437</v>
      </c>
      <c r="P99" s="57">
        <f>Table22342102[[#This Row],[dif rec]]^2</f>
        <v>0.24937343662934833</v>
      </c>
      <c r="Q99" s="57">
        <f>ABS(Table22342102[[#This Row],[diff-bias]])</f>
        <v>0.54216864500000028</v>
      </c>
      <c r="R99" s="57">
        <f ca="1">CELL("row",Table22342102[[#This Row],[Position]])</f>
        <v>99</v>
      </c>
      <c r="S99" s="4">
        <f>Table22342102[[#This Row],[REF]]-D$13</f>
        <v>-0.21000005000000144</v>
      </c>
      <c r="T99" s="4">
        <f>ABS(Table22342102[[#This Row],[lab-med]])</f>
        <v>0.21000005000000144</v>
      </c>
      <c r="U99" s="4">
        <f>Table22342102[[#This Row],[Ypred]]-F$13</f>
        <v>-0.74865800000000071</v>
      </c>
      <c r="V99" s="4">
        <f>ABS(Table22342102[[#This Row],[anl-med]])</f>
        <v>0.74865800000000071</v>
      </c>
      <c r="W99" s="4">
        <f>Table22342102[[#This Row],[lab-med]]*Table22342102[[#This Row],[anl-med]]</f>
        <v>0.15721821743290124</v>
      </c>
    </row>
    <row r="100" spans="2:23" ht="14.4" x14ac:dyDescent="0.3">
      <c r="B100" s="46">
        <f ca="1">VALUE((Table22342102[[#This Row],[Column3]]-62))</f>
        <v>38</v>
      </c>
      <c r="C100" t="s">
        <v>106</v>
      </c>
      <c r="D100">
        <v>9.3599996999999995</v>
      </c>
      <c r="E100"/>
      <c r="F100" s="81">
        <v>11.147911000000001</v>
      </c>
      <c r="G100" s="29">
        <f>Table22342102[[#This Row],[Ypred]]-Table22342102[[#This Row],[REF]]</f>
        <v>1.7879113000000011</v>
      </c>
      <c r="H100" s="29">
        <f>Table22342102[[#This Row],[X-Y]]-E$20</f>
        <v>1.0704318550000007</v>
      </c>
      <c r="I100" s="29">
        <f>Table22342102[[#This Row],[Ypred]]-E$20</f>
        <v>10.430431555</v>
      </c>
      <c r="J100" s="29">
        <f>Table22342102[[#This Row],[Ypred]]*E$21+E$22</f>
        <v>10.581901337632848</v>
      </c>
      <c r="K100" s="56">
        <f>Table22342102[[#This Row],[Yest]]-Table22342102[[#This Row],[REF]]</f>
        <v>1.2219016376328486</v>
      </c>
      <c r="L100" s="56">
        <f>ABS(Table22342102[[#This Row],[RESyx]])</f>
        <v>1.2219016376328486</v>
      </c>
      <c r="M100" s="29">
        <f>Table22342102[[#This Row],[Ypred]]*E$25+E$26</f>
        <v>10.464554155788223</v>
      </c>
      <c r="N100" s="29">
        <f>Table22342102[[#This Row],[X-Y]]^2</f>
        <v>3.1966268166676941</v>
      </c>
      <c r="O100" s="57">
        <f>Table22342102[[#This Row],[yest_rect]]-Table22342102[[#This Row],[REF]]</f>
        <v>1.1045544557882234</v>
      </c>
      <c r="P100" s="57">
        <f>Table22342102[[#This Row],[dif rec]]^2</f>
        <v>1.2200405458016184</v>
      </c>
      <c r="Q100" s="57">
        <f>ABS(Table22342102[[#This Row],[diff-bias]])</f>
        <v>1.0704318550000007</v>
      </c>
      <c r="R100" s="57">
        <f ca="1">CELL("row",Table22342102[[#This Row],[Position]])</f>
        <v>100</v>
      </c>
      <c r="S100" s="4">
        <f>Table22342102[[#This Row],[REF]]-D$13</f>
        <v>-1.6500005500000015</v>
      </c>
      <c r="T100" s="4">
        <f>ABS(Table22342102[[#This Row],[lab-med]])</f>
        <v>1.6500005500000015</v>
      </c>
      <c r="U100" s="4">
        <f>Table22342102[[#This Row],[Ypred]]-F$13</f>
        <v>-0.57605799999999974</v>
      </c>
      <c r="V100" s="4">
        <f>ABS(Table22342102[[#This Row],[anl-med]])</f>
        <v>0.57605799999999974</v>
      </c>
      <c r="W100" s="4">
        <f>Table22342102[[#This Row],[lab-med]]*Table22342102[[#This Row],[anl-med]]</f>
        <v>0.95049601683190044</v>
      </c>
    </row>
    <row r="101" spans="2:23" ht="14.4" x14ac:dyDescent="0.3">
      <c r="B101" s="46">
        <f ca="1">VALUE((Table22342102[[#This Row],[Column3]]-62))</f>
        <v>39</v>
      </c>
      <c r="C101" t="s">
        <v>107</v>
      </c>
      <c r="D101">
        <v>12.449999800000001</v>
      </c>
      <c r="E101"/>
      <c r="F101" s="81">
        <v>12.123555</v>
      </c>
      <c r="G101" s="29">
        <f>Table22342102[[#This Row],[Ypred]]-Table22342102[[#This Row],[REF]]</f>
        <v>-0.32644480000000087</v>
      </c>
      <c r="H101" s="29">
        <f>Table22342102[[#This Row],[X-Y]]-E$20</f>
        <v>-1.0439242450000012</v>
      </c>
      <c r="I101" s="29">
        <f>Table22342102[[#This Row],[Ypred]]-E$20</f>
        <v>11.406075554999999</v>
      </c>
      <c r="J101" s="29">
        <f>Table22342102[[#This Row],[Ypred]]*E$21+E$22</f>
        <v>11.339922813647812</v>
      </c>
      <c r="K101" s="56">
        <f>Table22342102[[#This Row],[Yest]]-Table22342102[[#This Row],[REF]]</f>
        <v>-1.1100769863521887</v>
      </c>
      <c r="L101" s="56">
        <f>ABS(Table22342102[[#This Row],[RESyx]])</f>
        <v>1.1100769863521887</v>
      </c>
      <c r="M101" s="29">
        <f>Table22342102[[#This Row],[Ypred]]*E$25+E$26</f>
        <v>11.391172888970045</v>
      </c>
      <c r="N101" s="29">
        <f>Table22342102[[#This Row],[X-Y]]^2</f>
        <v>0.10656620744704057</v>
      </c>
      <c r="O101" s="57">
        <f>Table22342102[[#This Row],[yest_rect]]-Table22342102[[#This Row],[REF]]</f>
        <v>-1.0588269110299553</v>
      </c>
      <c r="P101" s="57">
        <f>Table22342102[[#This Row],[dif rec]]^2</f>
        <v>1.1211144275212368</v>
      </c>
      <c r="Q101" s="57">
        <f>ABS(Table22342102[[#This Row],[diff-bias]])</f>
        <v>1.0439242450000012</v>
      </c>
      <c r="R101" s="57">
        <f ca="1">CELL("row",Table22342102[[#This Row],[Position]])</f>
        <v>101</v>
      </c>
      <c r="S101" s="4">
        <f>Table22342102[[#This Row],[REF]]-D$13</f>
        <v>1.4399995499999996</v>
      </c>
      <c r="T101" s="4">
        <f>ABS(Table22342102[[#This Row],[lab-med]])</f>
        <v>1.4399995499999996</v>
      </c>
      <c r="U101" s="4">
        <f>Table22342102[[#This Row],[Ypred]]-F$13</f>
        <v>0.39958599999999933</v>
      </c>
      <c r="V101" s="4">
        <f>ABS(Table22342102[[#This Row],[anl-med]])</f>
        <v>0.39958599999999933</v>
      </c>
      <c r="W101" s="4">
        <f>Table22342102[[#This Row],[lab-med]]*Table22342102[[#This Row],[anl-med]]</f>
        <v>0.57540366018629885</v>
      </c>
    </row>
    <row r="102" spans="2:23" ht="14.4" x14ac:dyDescent="0.3">
      <c r="B102" s="46">
        <f ca="1">VALUE((Table22342102[[#This Row],[Column3]]-62))</f>
        <v>40</v>
      </c>
      <c r="C102" t="s">
        <v>108</v>
      </c>
      <c r="D102">
        <v>10.920000099999999</v>
      </c>
      <c r="E102"/>
      <c r="F102" s="81">
        <v>10.743876</v>
      </c>
      <c r="G102" s="29">
        <f>Table22342102[[#This Row],[Ypred]]-Table22342102[[#This Row],[REF]]</f>
        <v>-0.17612409999999912</v>
      </c>
      <c r="H102" s="29">
        <f>Table22342102[[#This Row],[X-Y]]-E$20</f>
        <v>-0.8936035449999995</v>
      </c>
      <c r="I102" s="29">
        <f>Table22342102[[#This Row],[Ypred]]-E$20</f>
        <v>10.026396555</v>
      </c>
      <c r="J102" s="29">
        <f>Table22342102[[#This Row],[Ypred]]*E$21+E$22</f>
        <v>10.267988468736297</v>
      </c>
      <c r="K102" s="56">
        <f>Table22342102[[#This Row],[Yest]]-Table22342102[[#This Row],[REF]]</f>
        <v>-0.65201163126370254</v>
      </c>
      <c r="L102" s="56">
        <f>ABS(Table22342102[[#This Row],[RESyx]])</f>
        <v>0.65201163126370254</v>
      </c>
      <c r="M102" s="29">
        <f>Table22342102[[#This Row],[Ypred]]*E$25+E$26</f>
        <v>10.080821564944515</v>
      </c>
      <c r="N102" s="29">
        <f>Table22342102[[#This Row],[X-Y]]^2</f>
        <v>3.1019698600809689E-2</v>
      </c>
      <c r="O102" s="57">
        <f>Table22342102[[#This Row],[yest_rect]]-Table22342102[[#This Row],[REF]]</f>
        <v>-0.83917853505548479</v>
      </c>
      <c r="P102" s="57">
        <f>Table22342102[[#This Row],[dif rec]]^2</f>
        <v>0.70422061369786948</v>
      </c>
      <c r="Q102" s="57">
        <f>ABS(Table22342102[[#This Row],[diff-bias]])</f>
        <v>0.8936035449999995</v>
      </c>
      <c r="R102" s="57">
        <f ca="1">CELL("row",Table22342102[[#This Row],[Position]])</f>
        <v>102</v>
      </c>
      <c r="S102" s="4">
        <f>Table22342102[[#This Row],[REF]]-D$13</f>
        <v>-9.0000150000001611E-2</v>
      </c>
      <c r="T102" s="4">
        <f>ABS(Table22342102[[#This Row],[lab-med]])</f>
        <v>9.0000150000001611E-2</v>
      </c>
      <c r="U102" s="4">
        <f>Table22342102[[#This Row],[Ypred]]-F$13</f>
        <v>-0.9800930000000001</v>
      </c>
      <c r="V102" s="4">
        <f>ABS(Table22342102[[#This Row],[anl-med]])</f>
        <v>0.9800930000000001</v>
      </c>
      <c r="W102" s="4">
        <f>Table22342102[[#This Row],[lab-med]]*Table22342102[[#This Row],[anl-med]]</f>
        <v>8.820851701395159E-2</v>
      </c>
    </row>
    <row r="103" spans="2:23" ht="14.4" x14ac:dyDescent="0.3">
      <c r="B103" s="46">
        <f ca="1">VALUE((Table22342102[[#This Row],[Column3]]-62))</f>
        <v>41</v>
      </c>
      <c r="C103" t="s">
        <v>109</v>
      </c>
      <c r="D103">
        <v>10.949999800000001</v>
      </c>
      <c r="E103"/>
      <c r="F103" s="81">
        <v>11.371543000000001</v>
      </c>
      <c r="G103" s="29">
        <f>Table22342102[[#This Row],[Ypred]]-Table22342102[[#This Row],[REF]]</f>
        <v>0.42154320000000034</v>
      </c>
      <c r="H103" s="29">
        <f>Table22342102[[#This Row],[X-Y]]-E$20</f>
        <v>-0.29593624500000004</v>
      </c>
      <c r="I103" s="29">
        <f>Table22342102[[#This Row],[Ypred]]-E$20</f>
        <v>10.654063555</v>
      </c>
      <c r="J103" s="29">
        <f>Table22342102[[#This Row],[Ypred]]*E$21+E$22</f>
        <v>10.755651044210431</v>
      </c>
      <c r="K103" s="56">
        <f>Table22342102[[#This Row],[Yest]]-Table22342102[[#This Row],[REF]]</f>
        <v>-0.19434875578956934</v>
      </c>
      <c r="L103" s="56">
        <f>ABS(Table22342102[[#This Row],[RESyx]])</f>
        <v>0.19434875578956934</v>
      </c>
      <c r="M103" s="29">
        <f>Table22342102[[#This Row],[Ypred]]*E$25+E$26</f>
        <v>10.676948841287151</v>
      </c>
      <c r="N103" s="29">
        <f>Table22342102[[#This Row],[X-Y]]^2</f>
        <v>0.1776986694662403</v>
      </c>
      <c r="O103" s="57">
        <f>Table22342102[[#This Row],[yest_rect]]-Table22342102[[#This Row],[REF]]</f>
        <v>-0.27305095871284912</v>
      </c>
      <c r="P103" s="57">
        <f>Table22342102[[#This Row],[dif rec]]^2</f>
        <v>7.4556826054006042E-2</v>
      </c>
      <c r="Q103" s="57">
        <f>ABS(Table22342102[[#This Row],[diff-bias]])</f>
        <v>0.29593624500000004</v>
      </c>
      <c r="R103" s="57">
        <f ca="1">CELL("row",Table22342102[[#This Row],[Position]])</f>
        <v>103</v>
      </c>
      <c r="S103" s="4">
        <f>Table22342102[[#This Row],[REF]]-D$13</f>
        <v>-6.0000450000000427E-2</v>
      </c>
      <c r="T103" s="4">
        <f>ABS(Table22342102[[#This Row],[lab-med]])</f>
        <v>6.0000450000000427E-2</v>
      </c>
      <c r="U103" s="4">
        <f>Table22342102[[#This Row],[Ypred]]-F$13</f>
        <v>-0.35242599999999946</v>
      </c>
      <c r="V103" s="4">
        <f>ABS(Table22342102[[#This Row],[anl-med]])</f>
        <v>0.35242599999999946</v>
      </c>
      <c r="W103" s="4">
        <f>Table22342102[[#This Row],[lab-med]]*Table22342102[[#This Row],[anl-med]]</f>
        <v>2.1145718591700117E-2</v>
      </c>
    </row>
    <row r="104" spans="2:23" ht="14.4" x14ac:dyDescent="0.3">
      <c r="B104" s="46">
        <f ca="1">VALUE((Table22342102[[#This Row],[Column3]]-62))</f>
        <v>42</v>
      </c>
      <c r="C104" t="s">
        <v>110</v>
      </c>
      <c r="D104">
        <v>10.9899998</v>
      </c>
      <c r="E104"/>
      <c r="F104" s="81">
        <v>12.809893000000001</v>
      </c>
      <c r="G104" s="29">
        <f>Table22342102[[#This Row],[Ypred]]-Table22342102[[#This Row],[REF]]</f>
        <v>1.819893200000001</v>
      </c>
      <c r="H104" s="29">
        <f>Table22342102[[#This Row],[X-Y]]-E$20</f>
        <v>1.1024137550000006</v>
      </c>
      <c r="I104" s="29">
        <f>Table22342102[[#This Row],[Ypred]]-E$20</f>
        <v>12.092413555</v>
      </c>
      <c r="J104" s="29">
        <f>Table22342102[[#This Row],[Ypred]]*E$21+E$22</f>
        <v>11.873169514088916</v>
      </c>
      <c r="K104" s="56">
        <f>Table22342102[[#This Row],[Yest]]-Table22342102[[#This Row],[REF]]</f>
        <v>0.88316971408891654</v>
      </c>
      <c r="L104" s="56">
        <f>ABS(Table22342102[[#This Row],[RESyx]])</f>
        <v>0.88316971408891654</v>
      </c>
      <c r="M104" s="29">
        <f>Table22342102[[#This Row],[Ypred]]*E$25+E$26</f>
        <v>12.043022998328119</v>
      </c>
      <c r="N104" s="29">
        <f>Table22342102[[#This Row],[X-Y]]^2</f>
        <v>3.3120112594062436</v>
      </c>
      <c r="O104" s="57">
        <f>Table22342102[[#This Row],[yest_rect]]-Table22342102[[#This Row],[REF]]</f>
        <v>1.0530231983281197</v>
      </c>
      <c r="P104" s="57">
        <f>Table22342102[[#This Row],[dif rec]]^2</f>
        <v>1.1088578562171827</v>
      </c>
      <c r="Q104" s="57">
        <f>ABS(Table22342102[[#This Row],[diff-bias]])</f>
        <v>1.1024137550000006</v>
      </c>
      <c r="R104" s="57">
        <f ca="1">CELL("row",Table22342102[[#This Row],[Position]])</f>
        <v>104</v>
      </c>
      <c r="S104" s="4">
        <f>Table22342102[[#This Row],[REF]]-D$13</f>
        <v>-2.000045000000128E-2</v>
      </c>
      <c r="T104" s="4">
        <f>ABS(Table22342102[[#This Row],[lab-med]])</f>
        <v>2.000045000000128E-2</v>
      </c>
      <c r="U104" s="4">
        <f>Table22342102[[#This Row],[Ypred]]-F$13</f>
        <v>1.0859240000000003</v>
      </c>
      <c r="V104" s="4">
        <f>ABS(Table22342102[[#This Row],[anl-med]])</f>
        <v>1.0859240000000003</v>
      </c>
      <c r="W104" s="4">
        <f>Table22342102[[#This Row],[lab-med]]*Table22342102[[#This Row],[anl-med]]</f>
        <v>-2.1718968665801395E-2</v>
      </c>
    </row>
    <row r="105" spans="2:23" ht="14.4" x14ac:dyDescent="0.3">
      <c r="B105" s="46">
        <f ca="1">VALUE((Table22342102[[#This Row],[Column3]]-62))</f>
        <v>43</v>
      </c>
      <c r="C105" t="s">
        <v>111</v>
      </c>
      <c r="D105">
        <v>11</v>
      </c>
      <c r="E105"/>
      <c r="F105" s="81">
        <v>12.135802</v>
      </c>
      <c r="G105" s="29">
        <f>Table22342102[[#This Row],[Ypred]]-Table22342102[[#This Row],[REF]]</f>
        <v>1.135802</v>
      </c>
      <c r="H105" s="29">
        <f>Table22342102[[#This Row],[X-Y]]-E$20</f>
        <v>0.4183225549999996</v>
      </c>
      <c r="I105" s="29">
        <f>Table22342102[[#This Row],[Ypred]]-E$20</f>
        <v>11.418322555</v>
      </c>
      <c r="J105" s="29">
        <f>Table22342102[[#This Row],[Ypred]]*E$21+E$22</f>
        <v>11.349438055904983</v>
      </c>
      <c r="K105" s="56">
        <f>Table22342102[[#This Row],[Yest]]-Table22342102[[#This Row],[REF]]</f>
        <v>0.349438055904983</v>
      </c>
      <c r="L105" s="56">
        <f>ABS(Table22342102[[#This Row],[RESyx]])</f>
        <v>0.349438055904983</v>
      </c>
      <c r="M105" s="29">
        <f>Table22342102[[#This Row],[Ypred]]*E$25+E$26</f>
        <v>11.402804487816837</v>
      </c>
      <c r="N105" s="29">
        <f>Table22342102[[#This Row],[X-Y]]^2</f>
        <v>1.290046183204</v>
      </c>
      <c r="O105" s="57">
        <f>Table22342102[[#This Row],[yest_rect]]-Table22342102[[#This Row],[REF]]</f>
        <v>0.40280448781683731</v>
      </c>
      <c r="P105" s="57">
        <f>Table22342102[[#This Row],[dif rec]]^2</f>
        <v>0.16225145540538463</v>
      </c>
      <c r="Q105" s="57">
        <f>ABS(Table22342102[[#This Row],[diff-bias]])</f>
        <v>0.4183225549999996</v>
      </c>
      <c r="R105" s="57">
        <f ca="1">CELL("row",Table22342102[[#This Row],[Position]])</f>
        <v>105</v>
      </c>
      <c r="S105" s="4">
        <f>Table22342102[[#This Row],[REF]]-D$13</f>
        <v>-1.0000250000000932E-2</v>
      </c>
      <c r="T105" s="4">
        <f>ABS(Table22342102[[#This Row],[lab-med]])</f>
        <v>1.0000250000000932E-2</v>
      </c>
      <c r="U105" s="4">
        <f>Table22342102[[#This Row],[Ypred]]-F$13</f>
        <v>0.41183299999999967</v>
      </c>
      <c r="V105" s="4">
        <f>ABS(Table22342102[[#This Row],[anl-med]])</f>
        <v>0.41183299999999967</v>
      </c>
      <c r="W105" s="4">
        <f>Table22342102[[#This Row],[lab-med]]*Table22342102[[#This Row],[anl-med]]</f>
        <v>-4.1184329582503809E-3</v>
      </c>
    </row>
    <row r="106" spans="2:23" ht="14.4" x14ac:dyDescent="0.3">
      <c r="B106" s="46">
        <f ca="1">VALUE((Table22342102[[#This Row],[Column3]]-62))</f>
        <v>44</v>
      </c>
      <c r="C106" t="s">
        <v>112</v>
      </c>
      <c r="D106">
        <v>9.9700003000000006</v>
      </c>
      <c r="E106"/>
      <c r="F106" s="81">
        <v>11.329537999999999</v>
      </c>
      <c r="G106" s="29">
        <f>Table22342102[[#This Row],[Ypred]]-Table22342102[[#This Row],[REF]]</f>
        <v>1.3595376999999988</v>
      </c>
      <c r="H106" s="29">
        <f>Table22342102[[#This Row],[X-Y]]-E$20</f>
        <v>0.64205825499999847</v>
      </c>
      <c r="I106" s="29">
        <f>Table22342102[[#This Row],[Ypred]]-E$20</f>
        <v>10.612058554999999</v>
      </c>
      <c r="J106" s="29">
        <f>Table22342102[[#This Row],[Ypred]]*E$21+E$22</f>
        <v>10.723015480316214</v>
      </c>
      <c r="K106" s="56">
        <f>Table22342102[[#This Row],[Yest]]-Table22342102[[#This Row],[REF]]</f>
        <v>0.75301518031621306</v>
      </c>
      <c r="L106" s="56">
        <f>ABS(Table22342102[[#This Row],[RESyx]])</f>
        <v>0.75301518031621306</v>
      </c>
      <c r="M106" s="29">
        <f>Table22342102[[#This Row],[Ypred]]*E$25+E$26</f>
        <v>10.637054556192073</v>
      </c>
      <c r="N106" s="29">
        <f>Table22342102[[#This Row],[X-Y]]^2</f>
        <v>1.848342757721287</v>
      </c>
      <c r="O106" s="57">
        <f>Table22342102[[#This Row],[yest_rect]]-Table22342102[[#This Row],[REF]]</f>
        <v>0.66705425619207226</v>
      </c>
      <c r="P106" s="57">
        <f>Table22342102[[#This Row],[dif rec]]^2</f>
        <v>0.4449613807039588</v>
      </c>
      <c r="Q106" s="57">
        <f>ABS(Table22342102[[#This Row],[diff-bias]])</f>
        <v>0.64205825499999847</v>
      </c>
      <c r="R106" s="57">
        <f ca="1">CELL("row",Table22342102[[#This Row],[Position]])</f>
        <v>106</v>
      </c>
      <c r="S106" s="4">
        <f>Table22342102[[#This Row],[REF]]-D$13</f>
        <v>-1.0399999500000003</v>
      </c>
      <c r="T106" s="4">
        <f>ABS(Table22342102[[#This Row],[lab-med]])</f>
        <v>1.0399999500000003</v>
      </c>
      <c r="U106" s="4">
        <f>Table22342102[[#This Row],[Ypred]]-F$13</f>
        <v>-0.39443100000000086</v>
      </c>
      <c r="V106" s="4">
        <f>ABS(Table22342102[[#This Row],[anl-med]])</f>
        <v>0.39443100000000086</v>
      </c>
      <c r="W106" s="4">
        <f>Table22342102[[#This Row],[lab-med]]*Table22342102[[#This Row],[anl-med]]</f>
        <v>0.41020822027845105</v>
      </c>
    </row>
    <row r="107" spans="2:23" ht="14.4" x14ac:dyDescent="0.3">
      <c r="B107" s="46">
        <f ca="1">VALUE((Table22342102[[#This Row],[Column3]]-62))</f>
        <v>45</v>
      </c>
      <c r="C107" t="s">
        <v>113</v>
      </c>
      <c r="D107">
        <v>12.899999599999999</v>
      </c>
      <c r="E107"/>
      <c r="F107" s="81">
        <v>12.735015000000001</v>
      </c>
      <c r="G107" s="29">
        <f>Table22342102[[#This Row],[Ypred]]-Table22342102[[#This Row],[REF]]</f>
        <v>-0.16498459999999859</v>
      </c>
      <c r="H107" s="29">
        <f>Table22342102[[#This Row],[X-Y]]-E$20</f>
        <v>-0.88246404499999898</v>
      </c>
      <c r="I107" s="29">
        <f>Table22342102[[#This Row],[Ypred]]-E$20</f>
        <v>12.017535555</v>
      </c>
      <c r="J107" s="29">
        <f>Table22342102[[#This Row],[Ypred]]*E$21+E$22</f>
        <v>11.814993445685841</v>
      </c>
      <c r="K107" s="56">
        <f>Table22342102[[#This Row],[Yest]]-Table22342102[[#This Row],[REF]]</f>
        <v>-1.0850061543141578</v>
      </c>
      <c r="L107" s="56">
        <f>ABS(Table22342102[[#This Row],[RESyx]])</f>
        <v>1.0850061543141578</v>
      </c>
      <c r="M107" s="29">
        <f>Table22342102[[#This Row],[Ypred]]*E$25+E$26</f>
        <v>11.971907553039481</v>
      </c>
      <c r="N107" s="29">
        <f>Table22342102[[#This Row],[X-Y]]^2</f>
        <v>2.7219918237159534E-2</v>
      </c>
      <c r="O107" s="57">
        <f>Table22342102[[#This Row],[yest_rect]]-Table22342102[[#This Row],[REF]]</f>
        <v>-0.9280920469605185</v>
      </c>
      <c r="P107" s="57">
        <f>Table22342102[[#This Row],[dif rec]]^2</f>
        <v>0.86135484763136527</v>
      </c>
      <c r="Q107" s="57">
        <f>ABS(Table22342102[[#This Row],[diff-bias]])</f>
        <v>0.88246404499999898</v>
      </c>
      <c r="R107" s="57">
        <f ca="1">CELL("row",Table22342102[[#This Row],[Position]])</f>
        <v>107</v>
      </c>
      <c r="S107" s="4">
        <f>Table22342102[[#This Row],[REF]]-D$13</f>
        <v>1.8899993499999983</v>
      </c>
      <c r="T107" s="4">
        <f>ABS(Table22342102[[#This Row],[lab-med]])</f>
        <v>1.8899993499999983</v>
      </c>
      <c r="U107" s="4">
        <f>Table22342102[[#This Row],[Ypred]]-F$13</f>
        <v>1.0110460000000003</v>
      </c>
      <c r="V107" s="4">
        <f>ABS(Table22342102[[#This Row],[anl-med]])</f>
        <v>1.0110460000000003</v>
      </c>
      <c r="W107" s="4">
        <f>Table22342102[[#This Row],[lab-med]]*Table22342102[[#This Row],[anl-med]]</f>
        <v>1.9108762828200989</v>
      </c>
    </row>
    <row r="108" spans="2:23" ht="14.4" x14ac:dyDescent="0.3">
      <c r="B108" s="46">
        <f ca="1">VALUE((Table22342102[[#This Row],[Column3]]-62))</f>
        <v>46</v>
      </c>
      <c r="C108" t="s">
        <v>114</v>
      </c>
      <c r="D108">
        <v>10.529999699999999</v>
      </c>
      <c r="E108"/>
      <c r="F108" s="81">
        <v>12.135297</v>
      </c>
      <c r="G108" s="29">
        <f>Table22342102[[#This Row],[Ypred]]-Table22342102[[#This Row],[REF]]</f>
        <v>1.6052973000000001</v>
      </c>
      <c r="H108" s="29">
        <f>Table22342102[[#This Row],[X-Y]]-E$20</f>
        <v>0.88781785499999977</v>
      </c>
      <c r="I108" s="29">
        <f>Table22342102[[#This Row],[Ypred]]-E$20</f>
        <v>11.417817554999999</v>
      </c>
      <c r="J108" s="29">
        <f>Table22342102[[#This Row],[Ypred]]*E$21+E$22</f>
        <v>11.349045698810196</v>
      </c>
      <c r="K108" s="56">
        <f>Table22342102[[#This Row],[Yest]]-Table22342102[[#This Row],[REF]]</f>
        <v>0.81904599881019635</v>
      </c>
      <c r="L108" s="56">
        <f>ABS(Table22342102[[#This Row],[RESyx]])</f>
        <v>0.81904599881019635</v>
      </c>
      <c r="M108" s="29">
        <f>Table22342102[[#This Row],[Ypred]]*E$25+E$26</f>
        <v>11.402324863629882</v>
      </c>
      <c r="N108" s="29">
        <f>Table22342102[[#This Row],[X-Y]]^2</f>
        <v>2.5769794213872905</v>
      </c>
      <c r="O108" s="57">
        <f>Table22342102[[#This Row],[yest_rect]]-Table22342102[[#This Row],[REF]]</f>
        <v>0.87232516362988299</v>
      </c>
      <c r="P108" s="57">
        <f>Table22342102[[#This Row],[dif rec]]^2</f>
        <v>0.76095119110190212</v>
      </c>
      <c r="Q108" s="57">
        <f>ABS(Table22342102[[#This Row],[diff-bias]])</f>
        <v>0.88781785499999977</v>
      </c>
      <c r="R108" s="57">
        <f ca="1">CELL("row",Table22342102[[#This Row],[Position]])</f>
        <v>108</v>
      </c>
      <c r="S108" s="4">
        <f>Table22342102[[#This Row],[REF]]-D$13</f>
        <v>-0.48000055000000152</v>
      </c>
      <c r="T108" s="4">
        <f>ABS(Table22342102[[#This Row],[lab-med]])</f>
        <v>0.48000055000000152</v>
      </c>
      <c r="U108" s="4">
        <f>Table22342102[[#This Row],[Ypred]]-F$13</f>
        <v>0.41132799999999925</v>
      </c>
      <c r="V108" s="4">
        <f>ABS(Table22342102[[#This Row],[anl-med]])</f>
        <v>0.41132799999999925</v>
      </c>
      <c r="W108" s="4">
        <f>Table22342102[[#This Row],[lab-med]]*Table22342102[[#This Row],[anl-med]]</f>
        <v>-0.19743766623040027</v>
      </c>
    </row>
    <row r="109" spans="2:23" ht="14.4" x14ac:dyDescent="0.3">
      <c r="B109" s="46">
        <f ca="1">VALUE((Table22342102[[#This Row],[Column3]]-62))</f>
        <v>47</v>
      </c>
      <c r="C109" t="s">
        <v>115</v>
      </c>
      <c r="D109">
        <v>11.0600004</v>
      </c>
      <c r="E109"/>
      <c r="F109" s="81">
        <v>11.718181</v>
      </c>
      <c r="G109" s="29">
        <f>Table22342102[[#This Row],[Ypred]]-Table22342102[[#This Row],[REF]]</f>
        <v>0.65818059999999967</v>
      </c>
      <c r="H109" s="29">
        <f>Table22342102[[#This Row],[X-Y]]-E$20</f>
        <v>-5.9298845000000711E-2</v>
      </c>
      <c r="I109" s="29">
        <f>Table22342102[[#This Row],[Ypred]]-E$20</f>
        <v>11.000701554999999</v>
      </c>
      <c r="J109" s="29">
        <f>Table22342102[[#This Row],[Ypred]]*E$21+E$22</f>
        <v>11.024969615741515</v>
      </c>
      <c r="K109" s="56">
        <f>Table22342102[[#This Row],[Yest]]-Table22342102[[#This Row],[REF]]</f>
        <v>-3.5030784258484715E-2</v>
      </c>
      <c r="L109" s="56">
        <f>ABS(Table22342102[[#This Row],[RESyx]])</f>
        <v>3.5030784258484715E-2</v>
      </c>
      <c r="M109" s="29">
        <f>Table22342102[[#This Row],[Ypred]]*E$25+E$26</f>
        <v>11.006168581717761</v>
      </c>
      <c r="N109" s="29">
        <f>Table22342102[[#This Row],[X-Y]]^2</f>
        <v>0.43320170221635956</v>
      </c>
      <c r="O109" s="57">
        <f>Table22342102[[#This Row],[yest_rect]]-Table22342102[[#This Row],[REF]]</f>
        <v>-5.3831818282239041E-2</v>
      </c>
      <c r="P109" s="57">
        <f>Table22342102[[#This Row],[dif rec]]^2</f>
        <v>2.8978646595720055E-3</v>
      </c>
      <c r="Q109" s="57">
        <f>ABS(Table22342102[[#This Row],[diff-bias]])</f>
        <v>5.9298845000000711E-2</v>
      </c>
      <c r="R109" s="57">
        <f ca="1">CELL("row",Table22342102[[#This Row],[Position]])</f>
        <v>109</v>
      </c>
      <c r="S109" s="4">
        <f>Table22342102[[#This Row],[REF]]-D$13</f>
        <v>5.0000149999998911E-2</v>
      </c>
      <c r="T109" s="4">
        <f>ABS(Table22342102[[#This Row],[lab-med]])</f>
        <v>5.0000149999998911E-2</v>
      </c>
      <c r="U109" s="4">
        <f>Table22342102[[#This Row],[Ypred]]-F$13</f>
        <v>-5.7880000000007925E-3</v>
      </c>
      <c r="V109" s="4">
        <f>ABS(Table22342102[[#This Row],[anl-med]])</f>
        <v>5.7880000000007925E-3</v>
      </c>
      <c r="W109" s="4">
        <f>Table22342102[[#This Row],[lab-med]]*Table22342102[[#This Row],[anl-med]]</f>
        <v>-2.8940086820003334E-4</v>
      </c>
    </row>
    <row r="110" spans="2:23" ht="14.4" x14ac:dyDescent="0.3">
      <c r="B110" s="46">
        <f ca="1">VALUE((Table22342102[[#This Row],[Column3]]-62))</f>
        <v>48</v>
      </c>
      <c r="C110" t="s">
        <v>116</v>
      </c>
      <c r="D110">
        <v>9.1000004000000008</v>
      </c>
      <c r="E110"/>
      <c r="F110" s="81">
        <v>10.063784</v>
      </c>
      <c r="G110" s="29">
        <f>Table22342102[[#This Row],[Ypred]]-Table22342102[[#This Row],[REF]]</f>
        <v>0.9637835999999993</v>
      </c>
      <c r="H110" s="29">
        <f>Table22342102[[#This Row],[X-Y]]-E$20</f>
        <v>0.24630415499999891</v>
      </c>
      <c r="I110" s="29">
        <f>Table22342102[[#This Row],[Ypred]]-E$20</f>
        <v>9.3463045549999997</v>
      </c>
      <c r="J110" s="29">
        <f>Table22342102[[#This Row],[Ypred]]*E$21+E$22</f>
        <v>9.7395945651546931</v>
      </c>
      <c r="K110" s="56">
        <f>Table22342102[[#This Row],[Yest]]-Table22342102[[#This Row],[REF]]</f>
        <v>0.63959416515469236</v>
      </c>
      <c r="L110" s="56">
        <f>ABS(Table22342102[[#This Row],[RESyx]])</f>
        <v>0.63959416515469236</v>
      </c>
      <c r="M110" s="29">
        <f>Table22342102[[#This Row],[Ypred]]*E$25+E$26</f>
        <v>9.4349035994908306</v>
      </c>
      <c r="N110" s="29">
        <f>Table22342102[[#This Row],[X-Y]]^2</f>
        <v>0.92887882762895868</v>
      </c>
      <c r="O110" s="57">
        <f>Table22342102[[#This Row],[yest_rect]]-Table22342102[[#This Row],[REF]]</f>
        <v>0.33490319949082981</v>
      </c>
      <c r="P110" s="57">
        <f>Table22342102[[#This Row],[dif rec]]^2</f>
        <v>0.11216015302919455</v>
      </c>
      <c r="Q110" s="57">
        <f>ABS(Table22342102[[#This Row],[diff-bias]])</f>
        <v>0.24630415499999891</v>
      </c>
      <c r="R110" s="57">
        <f ca="1">CELL("row",Table22342102[[#This Row],[Position]])</f>
        <v>110</v>
      </c>
      <c r="S110" s="4">
        <f>Table22342102[[#This Row],[REF]]-D$13</f>
        <v>-1.9099998500000002</v>
      </c>
      <c r="T110" s="4">
        <f>ABS(Table22342102[[#This Row],[lab-med]])</f>
        <v>1.9099998500000002</v>
      </c>
      <c r="U110" s="4">
        <f>Table22342102[[#This Row],[Ypred]]-F$13</f>
        <v>-1.6601850000000002</v>
      </c>
      <c r="V110" s="4">
        <f>ABS(Table22342102[[#This Row],[anl-med]])</f>
        <v>1.6601850000000002</v>
      </c>
      <c r="W110" s="4">
        <f>Table22342102[[#This Row],[lab-med]]*Table22342102[[#This Row],[anl-med]]</f>
        <v>3.1709531009722509</v>
      </c>
    </row>
    <row r="111" spans="2:23" ht="14.4" x14ac:dyDescent="0.3">
      <c r="B111" s="46">
        <f ca="1">VALUE((Table22342102[[#This Row],[Column3]]-62))</f>
        <v>49</v>
      </c>
      <c r="C111" t="s">
        <v>117</v>
      </c>
      <c r="D111">
        <v>8.9700003000000006</v>
      </c>
      <c r="E111"/>
      <c r="F111" s="81">
        <v>10.714174</v>
      </c>
      <c r="G111" s="29">
        <f>Table22342102[[#This Row],[Ypred]]-Table22342102[[#This Row],[REF]]</f>
        <v>1.7441736999999993</v>
      </c>
      <c r="H111" s="29">
        <f>Table22342102[[#This Row],[X-Y]]-E$20</f>
        <v>1.0266942549999989</v>
      </c>
      <c r="I111" s="29">
        <f>Table22342102[[#This Row],[Ypred]]-E$20</f>
        <v>9.9966945549999995</v>
      </c>
      <c r="J111" s="29">
        <f>Table22342102[[#This Row],[Ypred]]*E$21+E$22</f>
        <v>10.244911656004811</v>
      </c>
      <c r="K111" s="56">
        <f>Table22342102[[#This Row],[Yest]]-Table22342102[[#This Row],[REF]]</f>
        <v>1.2749113560048109</v>
      </c>
      <c r="L111" s="56">
        <f>ABS(Table22342102[[#This Row],[RESyx]])</f>
        <v>1.2749113560048109</v>
      </c>
      <c r="M111" s="29">
        <f>Table22342102[[#This Row],[Ypred]]*E$25+E$26</f>
        <v>10.052612064744681</v>
      </c>
      <c r="N111" s="29">
        <f>Table22342102[[#This Row],[X-Y]]^2</f>
        <v>3.0421418957716875</v>
      </c>
      <c r="O111" s="57">
        <f>Table22342102[[#This Row],[yest_rect]]-Table22342102[[#This Row],[REF]]</f>
        <v>1.08261176474468</v>
      </c>
      <c r="P111" s="57">
        <f>Table22342102[[#This Row],[dif rec]]^2</f>
        <v>1.1720482331635904</v>
      </c>
      <c r="Q111" s="57">
        <f>ABS(Table22342102[[#This Row],[diff-bias]])</f>
        <v>1.0266942549999989</v>
      </c>
      <c r="R111" s="57">
        <f ca="1">CELL("row",Table22342102[[#This Row],[Position]])</f>
        <v>111</v>
      </c>
      <c r="S111" s="4">
        <f>Table22342102[[#This Row],[REF]]-D$13</f>
        <v>-2.0399999500000003</v>
      </c>
      <c r="T111" s="4">
        <f>ABS(Table22342102[[#This Row],[lab-med]])</f>
        <v>2.0399999500000003</v>
      </c>
      <c r="U111" s="4">
        <f>Table22342102[[#This Row],[Ypred]]-F$13</f>
        <v>-1.0097950000000004</v>
      </c>
      <c r="V111" s="4">
        <f>ABS(Table22342102[[#This Row],[anl-med]])</f>
        <v>1.0097950000000004</v>
      </c>
      <c r="W111" s="4">
        <f>Table22342102[[#This Row],[lab-med]]*Table22342102[[#This Row],[anl-med]]</f>
        <v>2.0599817495102513</v>
      </c>
    </row>
    <row r="112" spans="2:23" ht="14.4" x14ac:dyDescent="0.3">
      <c r="B112" s="46">
        <f ca="1">VALUE((Table22342102[[#This Row],[Column3]]-62))</f>
        <v>50</v>
      </c>
      <c r="C112" t="s">
        <v>118</v>
      </c>
      <c r="D112">
        <v>11.1199999</v>
      </c>
      <c r="E112"/>
      <c r="F112" s="81">
        <v>10.788695000000001</v>
      </c>
      <c r="G112" s="29">
        <f>Table22342102[[#This Row],[Ypred]]-Table22342102[[#This Row],[REF]]</f>
        <v>-0.33130489999999924</v>
      </c>
      <c r="H112" s="29">
        <f>Table22342102[[#This Row],[X-Y]]-E$20</f>
        <v>-1.0487843449999996</v>
      </c>
      <c r="I112" s="29">
        <f>Table22342102[[#This Row],[Ypred]]-E$20</f>
        <v>10.071215555</v>
      </c>
      <c r="J112" s="29">
        <f>Table22342102[[#This Row],[Ypred]]*E$21+E$22</f>
        <v>10.302810355134937</v>
      </c>
      <c r="K112" s="56">
        <f>Table22342102[[#This Row],[Yest]]-Table22342102[[#This Row],[REF]]</f>
        <v>-0.81718954486506235</v>
      </c>
      <c r="L112" s="56">
        <f>ABS(Table22342102[[#This Row],[RESyx]])</f>
        <v>0.81718954486506235</v>
      </c>
      <c r="M112" s="29">
        <f>Table22342102[[#This Row],[Ypred]]*E$25+E$26</f>
        <v>10.123388448974422</v>
      </c>
      <c r="N112" s="29">
        <f>Table22342102[[#This Row],[X-Y]]^2</f>
        <v>0.1097629367640095</v>
      </c>
      <c r="O112" s="57">
        <f>Table22342102[[#This Row],[yest_rect]]-Table22342102[[#This Row],[REF]]</f>
        <v>-0.99661145102557747</v>
      </c>
      <c r="P112" s="57">
        <f>Table22342102[[#This Row],[dif rec]]^2</f>
        <v>0.99323438431530697</v>
      </c>
      <c r="Q112" s="57">
        <f>ABS(Table22342102[[#This Row],[diff-bias]])</f>
        <v>1.0487843449999996</v>
      </c>
      <c r="R112" s="57">
        <f ca="1">CELL("row",Table22342102[[#This Row],[Position]])</f>
        <v>112</v>
      </c>
      <c r="S112" s="4">
        <f>Table22342102[[#This Row],[REF]]-D$13</f>
        <v>0.10999964999999889</v>
      </c>
      <c r="T112" s="4">
        <f>ABS(Table22342102[[#This Row],[lab-med]])</f>
        <v>0.10999964999999889</v>
      </c>
      <c r="U112" s="4">
        <f>Table22342102[[#This Row],[Ypred]]-F$13</f>
        <v>-0.93527399999999972</v>
      </c>
      <c r="V112" s="4">
        <f>ABS(Table22342102[[#This Row],[anl-med]])</f>
        <v>0.93527399999999972</v>
      </c>
      <c r="W112" s="4">
        <f>Table22342102[[#This Row],[lab-med]]*Table22342102[[#This Row],[anl-med]]</f>
        <v>-0.10287981265409893</v>
      </c>
    </row>
    <row r="113" spans="2:23" ht="14.4" x14ac:dyDescent="0.3">
      <c r="B113" s="46">
        <f ca="1">VALUE((Table22342102[[#This Row],[Column3]]-62))</f>
        <v>51</v>
      </c>
      <c r="C113" t="s">
        <v>119</v>
      </c>
      <c r="D113">
        <v>9.2299994999999999</v>
      </c>
      <c r="E113"/>
      <c r="F113" s="81">
        <v>10.456121</v>
      </c>
      <c r="G113" s="29">
        <f>Table22342102[[#This Row],[Ypred]]-Table22342102[[#This Row],[REF]]</f>
        <v>1.2261214999999996</v>
      </c>
      <c r="H113" s="29">
        <f>Table22342102[[#This Row],[X-Y]]-E$20</f>
        <v>0.50864205499999926</v>
      </c>
      <c r="I113" s="29">
        <f>Table22342102[[#This Row],[Ypred]]-E$20</f>
        <v>9.7386415549999992</v>
      </c>
      <c r="J113" s="29">
        <f>Table22342102[[#This Row],[Ypred]]*E$21+E$22</f>
        <v>10.044418734457516</v>
      </c>
      <c r="K113" s="56">
        <f>Table22342102[[#This Row],[Yest]]-Table22342102[[#This Row],[REF]]</f>
        <v>0.81441923445751563</v>
      </c>
      <c r="L113" s="56">
        <f>ABS(Table22342102[[#This Row],[RESyx]])</f>
        <v>0.81441923445751563</v>
      </c>
      <c r="M113" s="29">
        <f>Table22342102[[#This Row],[Ypred]]*E$25+E$26</f>
        <v>9.8075260047127735</v>
      </c>
      <c r="N113" s="29">
        <f>Table22342102[[#This Row],[X-Y]]^2</f>
        <v>1.5033739327622491</v>
      </c>
      <c r="O113" s="57">
        <f>Table22342102[[#This Row],[yest_rect]]-Table22342102[[#This Row],[REF]]</f>
        <v>0.57752650471277356</v>
      </c>
      <c r="P113" s="57">
        <f>Table22342102[[#This Row],[dif rec]]^2</f>
        <v>0.33353686364575325</v>
      </c>
      <c r="Q113" s="57">
        <f>ABS(Table22342102[[#This Row],[diff-bias]])</f>
        <v>0.50864205499999926</v>
      </c>
      <c r="R113" s="57">
        <f ca="1">CELL("row",Table22342102[[#This Row],[Position]])</f>
        <v>113</v>
      </c>
      <c r="S113" s="4">
        <f>Table22342102[[#This Row],[REF]]-D$13</f>
        <v>-1.780000750000001</v>
      </c>
      <c r="T113" s="4">
        <f>ABS(Table22342102[[#This Row],[lab-med]])</f>
        <v>1.780000750000001</v>
      </c>
      <c r="U113" s="4">
        <f>Table22342102[[#This Row],[Ypred]]-F$13</f>
        <v>-1.2678480000000008</v>
      </c>
      <c r="V113" s="4">
        <f>ABS(Table22342102[[#This Row],[anl-med]])</f>
        <v>1.2678480000000008</v>
      </c>
      <c r="W113" s="4">
        <f>Table22342102[[#This Row],[lab-med]]*Table22342102[[#This Row],[anl-med]]</f>
        <v>2.2567703908860026</v>
      </c>
    </row>
    <row r="114" spans="2:23" ht="14.4" x14ac:dyDescent="0.3">
      <c r="B114" s="46">
        <f ca="1">VALUE((Table22342102[[#This Row],[Column3]]-62))</f>
        <v>52</v>
      </c>
      <c r="C114" t="s">
        <v>120</v>
      </c>
      <c r="D114">
        <v>11.2299995</v>
      </c>
      <c r="E114"/>
      <c r="F114" s="81">
        <v>13.140942000000001</v>
      </c>
      <c r="G114" s="29">
        <f>Table22342102[[#This Row],[Ypred]]-Table22342102[[#This Row],[REF]]</f>
        <v>1.9109425000000009</v>
      </c>
      <c r="H114" s="29">
        <f>Table22342102[[#This Row],[X-Y]]-E$20</f>
        <v>1.1934630550000005</v>
      </c>
      <c r="I114" s="29">
        <f>Table22342102[[#This Row],[Ypred]]-E$20</f>
        <v>12.423462555</v>
      </c>
      <c r="J114" s="29">
        <f>Table22342102[[#This Row],[Ypred]]*E$21+E$22</f>
        <v>12.13037629403455</v>
      </c>
      <c r="K114" s="56">
        <f>Table22342102[[#This Row],[Yest]]-Table22342102[[#This Row],[REF]]</f>
        <v>0.90037679403454973</v>
      </c>
      <c r="L114" s="56">
        <f>ABS(Table22342102[[#This Row],[RESyx]])</f>
        <v>0.90037679403454973</v>
      </c>
      <c r="M114" s="29">
        <f>Table22342102[[#This Row],[Ypred]]*E$25+E$26</f>
        <v>12.357437072520252</v>
      </c>
      <c r="N114" s="29">
        <f>Table22342102[[#This Row],[X-Y]]^2</f>
        <v>3.6517012383062535</v>
      </c>
      <c r="O114" s="57">
        <f>Table22342102[[#This Row],[yest_rect]]-Table22342102[[#This Row],[REF]]</f>
        <v>1.1274375725202521</v>
      </c>
      <c r="P114" s="57">
        <f>Table22342102[[#This Row],[dif rec]]^2</f>
        <v>1.2711154799303588</v>
      </c>
      <c r="Q114" s="57">
        <f>ABS(Table22342102[[#This Row],[diff-bias]])</f>
        <v>1.1934630550000005</v>
      </c>
      <c r="R114" s="57">
        <f ca="1">CELL("row",Table22342102[[#This Row],[Position]])</f>
        <v>114</v>
      </c>
      <c r="S114" s="4">
        <f>Table22342102[[#This Row],[REF]]-D$13</f>
        <v>0.21999924999999898</v>
      </c>
      <c r="T114" s="4">
        <f>ABS(Table22342102[[#This Row],[lab-med]])</f>
        <v>0.21999924999999898</v>
      </c>
      <c r="U114" s="4">
        <f>Table22342102[[#This Row],[Ypred]]-F$13</f>
        <v>1.4169730000000005</v>
      </c>
      <c r="V114" s="4">
        <f>ABS(Table22342102[[#This Row],[anl-med]])</f>
        <v>1.4169730000000005</v>
      </c>
      <c r="W114" s="4">
        <f>Table22342102[[#This Row],[lab-med]]*Table22342102[[#This Row],[anl-med]]</f>
        <v>0.31173299727024867</v>
      </c>
    </row>
    <row r="115" spans="2:23" ht="14.4" x14ac:dyDescent="0.3">
      <c r="B115" s="46">
        <f ca="1">VALUE((Table22342102[[#This Row],[Column3]]-62))</f>
        <v>53</v>
      </c>
      <c r="C115" t="s">
        <v>121</v>
      </c>
      <c r="D115">
        <v>11.2299995</v>
      </c>
      <c r="E115"/>
      <c r="F115" s="81">
        <v>11.354266000000001</v>
      </c>
      <c r="G115" s="29">
        <f>Table22342102[[#This Row],[Ypred]]-Table22342102[[#This Row],[REF]]</f>
        <v>0.12426650000000095</v>
      </c>
      <c r="H115" s="29">
        <f>Table22342102[[#This Row],[X-Y]]-E$20</f>
        <v>-0.59321294499999944</v>
      </c>
      <c r="I115" s="29">
        <f>Table22342102[[#This Row],[Ypred]]-E$20</f>
        <v>10.636786555</v>
      </c>
      <c r="J115" s="29">
        <f>Table22342102[[#This Row],[Ypred]]*E$21+E$22</f>
        <v>10.74222776990022</v>
      </c>
      <c r="K115" s="56">
        <f>Table22342102[[#This Row],[Yest]]-Table22342102[[#This Row],[REF]]</f>
        <v>-0.48777173009978014</v>
      </c>
      <c r="L115" s="56">
        <f>ABS(Table22342102[[#This Row],[RESyx]])</f>
        <v>0.48777173009978014</v>
      </c>
      <c r="M115" s="29">
        <f>Table22342102[[#This Row],[Ypred]]*E$25+E$26</f>
        <v>10.660539995588124</v>
      </c>
      <c r="N115" s="29">
        <f>Table22342102[[#This Row],[X-Y]]^2</f>
        <v>1.5442163022250235E-2</v>
      </c>
      <c r="O115" s="57">
        <f>Table22342102[[#This Row],[yest_rect]]-Table22342102[[#This Row],[REF]]</f>
        <v>-0.56945950441187598</v>
      </c>
      <c r="P115" s="57">
        <f>Table22342102[[#This Row],[dif rec]]^2</f>
        <v>0.32428412716501942</v>
      </c>
      <c r="Q115" s="57">
        <f>ABS(Table22342102[[#This Row],[diff-bias]])</f>
        <v>0.59321294499999944</v>
      </c>
      <c r="R115" s="57">
        <f ca="1">CELL("row",Table22342102[[#This Row],[Position]])</f>
        <v>115</v>
      </c>
      <c r="S115" s="4">
        <f>Table22342102[[#This Row],[REF]]-D$13</f>
        <v>0.21999924999999898</v>
      </c>
      <c r="T115" s="4">
        <f>ABS(Table22342102[[#This Row],[lab-med]])</f>
        <v>0.21999924999999898</v>
      </c>
      <c r="U115" s="4">
        <f>Table22342102[[#This Row],[Ypred]]-F$13</f>
        <v>-0.36970299999999945</v>
      </c>
      <c r="V115" s="4">
        <f>ABS(Table22342102[[#This Row],[anl-med]])</f>
        <v>0.36970299999999945</v>
      </c>
      <c r="W115" s="4">
        <f>Table22342102[[#This Row],[lab-med]]*Table22342102[[#This Row],[anl-med]]</f>
        <v>-8.1334382722749496E-2</v>
      </c>
    </row>
    <row r="116" spans="2:23" ht="14.4" x14ac:dyDescent="0.3">
      <c r="B116" s="46">
        <f ca="1">VALUE((Table22342102[[#This Row],[Column3]]-62))</f>
        <v>54</v>
      </c>
      <c r="C116" t="s">
        <v>122</v>
      </c>
      <c r="D116">
        <v>11.2399998</v>
      </c>
      <c r="E116"/>
      <c r="F116" s="81">
        <v>11.663477</v>
      </c>
      <c r="G116" s="29">
        <f>Table22342102[[#This Row],[Ypred]]-Table22342102[[#This Row],[REF]]</f>
        <v>0.42347720000000066</v>
      </c>
      <c r="H116" s="29">
        <f>Table22342102[[#This Row],[X-Y]]-E$20</f>
        <v>-0.29400224499999972</v>
      </c>
      <c r="I116" s="29">
        <f>Table22342102[[#This Row],[Ypred]]-E$20</f>
        <v>10.945997555</v>
      </c>
      <c r="J116" s="29">
        <f>Table22342102[[#This Row],[Ypred]]*E$21+E$22</f>
        <v>10.982467630566676</v>
      </c>
      <c r="K116" s="56">
        <f>Table22342102[[#This Row],[Yest]]-Table22342102[[#This Row],[REF]]</f>
        <v>-0.25753216943332369</v>
      </c>
      <c r="L116" s="56">
        <f>ABS(Table22342102[[#This Row],[RESyx]])</f>
        <v>0.25753216943332369</v>
      </c>
      <c r="M116" s="29">
        <f>Table22342102[[#This Row],[Ypred]]*E$25+E$26</f>
        <v>10.954213410384797</v>
      </c>
      <c r="N116" s="29">
        <f>Table22342102[[#This Row],[X-Y]]^2</f>
        <v>0.17933293891984056</v>
      </c>
      <c r="O116" s="57">
        <f>Table22342102[[#This Row],[yest_rect]]-Table22342102[[#This Row],[REF]]</f>
        <v>-0.2857863896152022</v>
      </c>
      <c r="P116" s="57">
        <f>Table22342102[[#This Row],[dif rec]]^2</f>
        <v>8.1673860489292149E-2</v>
      </c>
      <c r="Q116" s="57">
        <f>ABS(Table22342102[[#This Row],[diff-bias]])</f>
        <v>0.29400224499999972</v>
      </c>
      <c r="R116" s="57">
        <f ca="1">CELL("row",Table22342102[[#This Row],[Position]])</f>
        <v>116</v>
      </c>
      <c r="S116" s="4">
        <f>Table22342102[[#This Row],[REF]]-D$13</f>
        <v>0.22999954999999872</v>
      </c>
      <c r="T116" s="4">
        <f>ABS(Table22342102[[#This Row],[lab-med]])</f>
        <v>0.22999954999999872</v>
      </c>
      <c r="U116" s="4">
        <f>Table22342102[[#This Row],[Ypred]]-F$13</f>
        <v>-6.049199999999999E-2</v>
      </c>
      <c r="V116" s="4">
        <f>ABS(Table22342102[[#This Row],[anl-med]])</f>
        <v>6.049199999999999E-2</v>
      </c>
      <c r="W116" s="4">
        <f>Table22342102[[#This Row],[lab-med]]*Table22342102[[#This Row],[anl-med]]</f>
        <v>-1.3913132778599921E-2</v>
      </c>
    </row>
    <row r="117" spans="2:23" ht="14.4" x14ac:dyDescent="0.3">
      <c r="B117" s="46">
        <f ca="1">VALUE((Table22342102[[#This Row],[Column3]]-62))</f>
        <v>55</v>
      </c>
      <c r="C117" t="s">
        <v>123</v>
      </c>
      <c r="D117">
        <v>12.5600004</v>
      </c>
      <c r="E117"/>
      <c r="F117" s="81">
        <v>13.746808</v>
      </c>
      <c r="G117" s="29">
        <f>Table22342102[[#This Row],[Ypred]]-Table22342102[[#This Row],[REF]]</f>
        <v>1.1868075999999999</v>
      </c>
      <c r="H117" s="29">
        <f>Table22342102[[#This Row],[X-Y]]-E$20</f>
        <v>0.46932815499999947</v>
      </c>
      <c r="I117" s="29">
        <f>Table22342102[[#This Row],[Ypred]]-E$20</f>
        <v>13.029328554999999</v>
      </c>
      <c r="J117" s="29">
        <f>Table22342102[[#This Row],[Ypred]]*E$21+E$22</f>
        <v>12.601100697184963</v>
      </c>
      <c r="K117" s="56">
        <f>Table22342102[[#This Row],[Yest]]-Table22342102[[#This Row],[REF]]</f>
        <v>4.1100297184962997E-2</v>
      </c>
      <c r="L117" s="56">
        <f>ABS(Table22342102[[#This Row],[RESyx]])</f>
        <v>4.1100297184962997E-2</v>
      </c>
      <c r="M117" s="29">
        <f>Table22342102[[#This Row],[Ypred]]*E$25+E$26</f>
        <v>12.932858830249444</v>
      </c>
      <c r="N117" s="29">
        <f>Table22342102[[#This Row],[X-Y]]^2</f>
        <v>1.4085122794177596</v>
      </c>
      <c r="O117" s="57">
        <f>Table22342102[[#This Row],[yest_rect]]-Table22342102[[#This Row],[REF]]</f>
        <v>0.37285843024944398</v>
      </c>
      <c r="P117" s="57">
        <f>Table22342102[[#This Row],[dif rec]]^2</f>
        <v>0.1390234090080795</v>
      </c>
      <c r="Q117" s="57">
        <f>ABS(Table22342102[[#This Row],[diff-bias]])</f>
        <v>0.46932815499999947</v>
      </c>
      <c r="R117" s="57">
        <f ca="1">CELL("row",Table22342102[[#This Row],[Position]])</f>
        <v>117</v>
      </c>
      <c r="S117" s="4">
        <f>Table22342102[[#This Row],[REF]]-D$13</f>
        <v>1.5500001499999989</v>
      </c>
      <c r="T117" s="4">
        <f>ABS(Table22342102[[#This Row],[lab-med]])</f>
        <v>1.5500001499999989</v>
      </c>
      <c r="U117" s="4">
        <f>Table22342102[[#This Row],[Ypred]]-F$13</f>
        <v>2.0228389999999994</v>
      </c>
      <c r="V117" s="4">
        <f>ABS(Table22342102[[#This Row],[anl-med]])</f>
        <v>2.0228389999999994</v>
      </c>
      <c r="W117" s="4">
        <f>Table22342102[[#This Row],[lab-med]]*Table22342102[[#This Row],[anl-med]]</f>
        <v>3.1354007534258468</v>
      </c>
    </row>
    <row r="118" spans="2:23" ht="14.4" x14ac:dyDescent="0.3">
      <c r="B118" s="46">
        <f ca="1">VALUE((Table22342102[[#This Row],[Column3]]-62))</f>
        <v>56</v>
      </c>
      <c r="C118" t="s">
        <v>124</v>
      </c>
      <c r="D118">
        <v>10.0699997</v>
      </c>
      <c r="E118"/>
      <c r="F118" s="81">
        <v>11.041888</v>
      </c>
      <c r="G118" s="29">
        <f>Table22342102[[#This Row],[Ypred]]-Table22342102[[#This Row],[REF]]</f>
        <v>0.97188829999999982</v>
      </c>
      <c r="H118" s="29">
        <f>Table22342102[[#This Row],[X-Y]]-E$20</f>
        <v>0.25440885499999943</v>
      </c>
      <c r="I118" s="29">
        <f>Table22342102[[#This Row],[Ypred]]-E$20</f>
        <v>10.324408555</v>
      </c>
      <c r="J118" s="29">
        <f>Table22342102[[#This Row],[Ypred]]*E$21+E$22</f>
        <v>10.499527325235359</v>
      </c>
      <c r="K118" s="56">
        <f>Table22342102[[#This Row],[Yest]]-Table22342102[[#This Row],[REF]]</f>
        <v>0.42952762523535881</v>
      </c>
      <c r="L118" s="56">
        <f>ABS(Table22342102[[#This Row],[RESyx]])</f>
        <v>0.42952762523535881</v>
      </c>
      <c r="M118" s="29">
        <f>Table22342102[[#This Row],[Ypred]]*E$25+E$26</f>
        <v>10.363858719801184</v>
      </c>
      <c r="N118" s="29">
        <f>Table22342102[[#This Row],[X-Y]]^2</f>
        <v>0.94456686767688969</v>
      </c>
      <c r="O118" s="57">
        <f>Table22342102[[#This Row],[yest_rect]]-Table22342102[[#This Row],[REF]]</f>
        <v>0.29385901980118412</v>
      </c>
      <c r="P118" s="57">
        <f>Table22342102[[#This Row],[dif rec]]^2</f>
        <v>8.6353123518512723E-2</v>
      </c>
      <c r="Q118" s="57">
        <f>ABS(Table22342102[[#This Row],[diff-bias]])</f>
        <v>0.25440885499999943</v>
      </c>
      <c r="R118" s="57">
        <f ca="1">CELL("row",Table22342102[[#This Row],[Position]])</f>
        <v>118</v>
      </c>
      <c r="S118" s="4">
        <f>Table22342102[[#This Row],[REF]]-D$13</f>
        <v>-0.9400005500000006</v>
      </c>
      <c r="T118" s="4">
        <f>ABS(Table22342102[[#This Row],[lab-med]])</f>
        <v>0.9400005500000006</v>
      </c>
      <c r="U118" s="4">
        <f>Table22342102[[#This Row],[Ypred]]-F$13</f>
        <v>-0.68208100000000016</v>
      </c>
      <c r="V118" s="4">
        <f>ABS(Table22342102[[#This Row],[anl-med]])</f>
        <v>0.68208100000000016</v>
      </c>
      <c r="W118" s="4">
        <f>Table22342102[[#This Row],[lab-med]]*Table22342102[[#This Row],[anl-med]]</f>
        <v>0.64115651514455052</v>
      </c>
    </row>
    <row r="119" spans="2:23" ht="14.4" x14ac:dyDescent="0.3">
      <c r="B119" s="46">
        <f ca="1">VALUE((Table22342102[[#This Row],[Column3]]-62))</f>
        <v>57</v>
      </c>
      <c r="C119" t="s">
        <v>125</v>
      </c>
      <c r="D119">
        <v>9.9399996000000002</v>
      </c>
      <c r="E119"/>
      <c r="F119" s="81">
        <v>11.285651</v>
      </c>
      <c r="G119" s="29">
        <f>Table22342102[[#This Row],[Ypred]]-Table22342102[[#This Row],[REF]]</f>
        <v>1.3456513999999995</v>
      </c>
      <c r="H119" s="29">
        <f>Table22342102[[#This Row],[X-Y]]-E$20</f>
        <v>0.62817195499999912</v>
      </c>
      <c r="I119" s="29">
        <f>Table22342102[[#This Row],[Ypred]]-E$20</f>
        <v>10.568171554999999</v>
      </c>
      <c r="J119" s="29">
        <f>Table22342102[[#This Row],[Ypred]]*E$21+E$22</f>
        <v>10.688917706417262</v>
      </c>
      <c r="K119" s="56">
        <f>Table22342102[[#This Row],[Yest]]-Table22342102[[#This Row],[REF]]</f>
        <v>0.74891810641726231</v>
      </c>
      <c r="L119" s="56">
        <f>ABS(Table22342102[[#This Row],[RESyx]])</f>
        <v>0.74891810641726231</v>
      </c>
      <c r="M119" s="29">
        <f>Table22342102[[#This Row],[Ypred]]*E$25+E$26</f>
        <v>10.595372839968583</v>
      </c>
      <c r="N119" s="29">
        <f>Table22342102[[#This Row],[X-Y]]^2</f>
        <v>1.8107776903219586</v>
      </c>
      <c r="O119" s="57">
        <f>Table22342102[[#This Row],[yest_rect]]-Table22342102[[#This Row],[REF]]</f>
        <v>0.65537323996858277</v>
      </c>
      <c r="P119" s="57">
        <f>Table22342102[[#This Row],[dif rec]]^2</f>
        <v>0.42951408366691757</v>
      </c>
      <c r="Q119" s="57">
        <f>ABS(Table22342102[[#This Row],[diff-bias]])</f>
        <v>0.62817195499999912</v>
      </c>
      <c r="R119" s="57">
        <f ca="1">CELL("row",Table22342102[[#This Row],[Position]])</f>
        <v>119</v>
      </c>
      <c r="S119" s="4">
        <f>Table22342102[[#This Row],[REF]]-D$13</f>
        <v>-1.0700006500000008</v>
      </c>
      <c r="T119" s="4">
        <f>ABS(Table22342102[[#This Row],[lab-med]])</f>
        <v>1.0700006500000008</v>
      </c>
      <c r="U119" s="4">
        <f>Table22342102[[#This Row],[Ypred]]-F$13</f>
        <v>-0.43831800000000065</v>
      </c>
      <c r="V119" s="4">
        <f>ABS(Table22342102[[#This Row],[anl-med]])</f>
        <v>0.43831800000000065</v>
      </c>
      <c r="W119" s="4">
        <f>Table22342102[[#This Row],[lab-med]]*Table22342102[[#This Row],[anl-med]]</f>
        <v>0.46900054490670101</v>
      </c>
    </row>
    <row r="120" spans="2:23" ht="14.4" x14ac:dyDescent="0.3">
      <c r="B120" s="46">
        <f ca="1">VALUE((Table22342102[[#This Row],[Column3]]-62))</f>
        <v>58</v>
      </c>
      <c r="C120" t="s">
        <v>126</v>
      </c>
      <c r="D120">
        <v>10.2399998</v>
      </c>
      <c r="E120"/>
      <c r="F120" s="81">
        <v>9.9987619999999993</v>
      </c>
      <c r="G120" s="29">
        <f>Table22342102[[#This Row],[Ypred]]-Table22342102[[#This Row],[REF]]</f>
        <v>-0.24123780000000039</v>
      </c>
      <c r="H120" s="29">
        <f>Table22342102[[#This Row],[X-Y]]-E$20</f>
        <v>-0.95871724500000077</v>
      </c>
      <c r="I120" s="29">
        <f>Table22342102[[#This Row],[Ypred]]-E$20</f>
        <v>9.2812825549999989</v>
      </c>
      <c r="J120" s="29">
        <f>Table22342102[[#This Row],[Ypred]]*E$21+E$22</f>
        <v>9.6890760641302975</v>
      </c>
      <c r="K120" s="56">
        <f>Table22342102[[#This Row],[Yest]]-Table22342102[[#This Row],[REF]]</f>
        <v>-0.55092373586970211</v>
      </c>
      <c r="L120" s="56">
        <f>ABS(Table22342102[[#This Row],[RESyx]])</f>
        <v>0.55092373586970211</v>
      </c>
      <c r="M120" s="29">
        <f>Table22342102[[#This Row],[Ypred]]*E$25+E$26</f>
        <v>9.3731488987301539</v>
      </c>
      <c r="N120" s="29">
        <f>Table22342102[[#This Row],[X-Y]]^2</f>
        <v>5.8195676148840192E-2</v>
      </c>
      <c r="O120" s="57">
        <f>Table22342102[[#This Row],[yest_rect]]-Table22342102[[#This Row],[REF]]</f>
        <v>-0.86685090126984576</v>
      </c>
      <c r="P120" s="57">
        <f>Table22342102[[#This Row],[dif rec]]^2</f>
        <v>0.75143048503234389</v>
      </c>
      <c r="Q120" s="57">
        <f>ABS(Table22342102[[#This Row],[diff-bias]])</f>
        <v>0.95871724500000077</v>
      </c>
      <c r="R120" s="57">
        <f ca="1">CELL("row",Table22342102[[#This Row],[Position]])</f>
        <v>120</v>
      </c>
      <c r="S120" s="4">
        <f>Table22342102[[#This Row],[REF]]-D$13</f>
        <v>-0.77000045000000128</v>
      </c>
      <c r="T120" s="4">
        <f>ABS(Table22342102[[#This Row],[lab-med]])</f>
        <v>0.77000045000000128</v>
      </c>
      <c r="U120" s="4">
        <f>Table22342102[[#This Row],[Ypred]]-F$13</f>
        <v>-1.725207000000001</v>
      </c>
      <c r="V120" s="4">
        <f>ABS(Table22342102[[#This Row],[anl-med]])</f>
        <v>1.725207000000001</v>
      </c>
      <c r="W120" s="4">
        <f>Table22342102[[#This Row],[lab-med]]*Table22342102[[#This Row],[anl-med]]</f>
        <v>1.3284101663431531</v>
      </c>
    </row>
    <row r="121" spans="2:23" ht="14.4" x14ac:dyDescent="0.3">
      <c r="B121" s="46">
        <f ca="1">VALUE((Table22342102[[#This Row],[Column3]]-62))</f>
        <v>59</v>
      </c>
      <c r="C121" t="s">
        <v>127</v>
      </c>
      <c r="D121">
        <v>11.420000099999999</v>
      </c>
      <c r="E121"/>
      <c r="F121" s="81">
        <v>12.545683</v>
      </c>
      <c r="G121" s="29">
        <f>Table22342102[[#This Row],[Ypred]]-Table22342102[[#This Row],[REF]]</f>
        <v>1.125682900000001</v>
      </c>
      <c r="H121" s="29">
        <f>Table22342102[[#This Row],[X-Y]]-E$20</f>
        <v>0.40820345500000066</v>
      </c>
      <c r="I121" s="29">
        <f>Table22342102[[#This Row],[Ypred]]-E$20</f>
        <v>11.828203555</v>
      </c>
      <c r="J121" s="29">
        <f>Table22342102[[#This Row],[Ypred]]*E$21+E$22</f>
        <v>11.667892943764173</v>
      </c>
      <c r="K121" s="56">
        <f>Table22342102[[#This Row],[Yest]]-Table22342102[[#This Row],[REF]]</f>
        <v>0.24789284376417342</v>
      </c>
      <c r="L121" s="56">
        <f>ABS(Table22342102[[#This Row],[RESyx]])</f>
        <v>0.24789284376417342</v>
      </c>
      <c r="M121" s="29">
        <f>Table22342102[[#This Row],[Ypred]]*E$25+E$26</f>
        <v>11.792089322218832</v>
      </c>
      <c r="N121" s="29">
        <f>Table22342102[[#This Row],[X-Y]]^2</f>
        <v>1.2671619913524124</v>
      </c>
      <c r="O121" s="57">
        <f>Table22342102[[#This Row],[yest_rect]]-Table22342102[[#This Row],[REF]]</f>
        <v>0.37208922221883256</v>
      </c>
      <c r="P121" s="57">
        <f>Table22342102[[#This Row],[dif rec]]^2</f>
        <v>0.13845038929141576</v>
      </c>
      <c r="Q121" s="57">
        <f>ABS(Table22342102[[#This Row],[diff-bias]])</f>
        <v>0.40820345500000066</v>
      </c>
      <c r="R121" s="57">
        <f ca="1">CELL("row",Table22342102[[#This Row],[Position]])</f>
        <v>121</v>
      </c>
      <c r="S121" s="4">
        <f>Table22342102[[#This Row],[REF]]-D$13</f>
        <v>0.40999984999999839</v>
      </c>
      <c r="T121" s="4">
        <f>ABS(Table22342102[[#This Row],[lab-med]])</f>
        <v>0.40999984999999839</v>
      </c>
      <c r="U121" s="4">
        <f>Table22342102[[#This Row],[Ypred]]-F$13</f>
        <v>0.82171400000000006</v>
      </c>
      <c r="V121" s="4">
        <f>ABS(Table22342102[[#This Row],[anl-med]])</f>
        <v>0.82171400000000006</v>
      </c>
      <c r="W121" s="4">
        <f>Table22342102[[#This Row],[lab-med]]*Table22342102[[#This Row],[anl-med]]</f>
        <v>0.33690261674289868</v>
      </c>
    </row>
    <row r="122" spans="2:23" ht="14.4" x14ac:dyDescent="0.3">
      <c r="B122" s="46">
        <f ca="1">VALUE((Table22342102[[#This Row],[Column3]]-62))</f>
        <v>60</v>
      </c>
      <c r="C122" t="s">
        <v>128</v>
      </c>
      <c r="D122">
        <v>10.5</v>
      </c>
      <c r="E122"/>
      <c r="F122" s="81">
        <v>9.7598959999999995</v>
      </c>
      <c r="G122" s="29">
        <f>Table22342102[[#This Row],[Ypred]]-Table22342102[[#This Row],[REF]]</f>
        <v>-0.74010400000000054</v>
      </c>
      <c r="H122" s="29">
        <f>Table22342102[[#This Row],[X-Y]]-E$20</f>
        <v>-1.4575834450000009</v>
      </c>
      <c r="I122" s="29">
        <f>Table22342102[[#This Row],[Ypred]]-E$20</f>
        <v>9.0424165549999991</v>
      </c>
      <c r="J122" s="29">
        <f>Table22342102[[#This Row],[Ypred]]*E$21+E$22</f>
        <v>9.5034903813507281</v>
      </c>
      <c r="K122" s="56">
        <f>Table22342102[[#This Row],[Yest]]-Table22342102[[#This Row],[REF]]</f>
        <v>-0.9965096186492719</v>
      </c>
      <c r="L122" s="56">
        <f>ABS(Table22342102[[#This Row],[RESyx]])</f>
        <v>0.9965096186492719</v>
      </c>
      <c r="M122" s="29">
        <f>Table22342102[[#This Row],[Ypred]]*E$25+E$26</f>
        <v>9.1462857085499145</v>
      </c>
      <c r="N122" s="29">
        <f>Table22342102[[#This Row],[X-Y]]^2</f>
        <v>0.54775393081600077</v>
      </c>
      <c r="O122" s="57">
        <f>Table22342102[[#This Row],[yest_rect]]-Table22342102[[#This Row],[REF]]</f>
        <v>-1.3537142914500855</v>
      </c>
      <c r="P122" s="57">
        <f>Table22342102[[#This Row],[dif rec]]^2</f>
        <v>1.8325423828762071</v>
      </c>
      <c r="Q122" s="57">
        <f>ABS(Table22342102[[#This Row],[diff-bias]])</f>
        <v>1.4575834450000009</v>
      </c>
      <c r="R122" s="57">
        <f ca="1">CELL("row",Table22342102[[#This Row],[Position]])</f>
        <v>122</v>
      </c>
      <c r="S122" s="4">
        <f>Table22342102[[#This Row],[REF]]-D$13</f>
        <v>-0.51000025000000093</v>
      </c>
      <c r="T122" s="4">
        <f>ABS(Table22342102[[#This Row],[lab-med]])</f>
        <v>0.51000025000000093</v>
      </c>
      <c r="U122" s="4">
        <f>Table22342102[[#This Row],[Ypred]]-F$13</f>
        <v>-1.9640730000000008</v>
      </c>
      <c r="V122" s="4">
        <f>ABS(Table22342102[[#This Row],[anl-med]])</f>
        <v>1.9640730000000008</v>
      </c>
      <c r="W122" s="4">
        <f>Table22342102[[#This Row],[lab-med]]*Table22342102[[#This Row],[anl-med]]</f>
        <v>1.0016777210182524</v>
      </c>
    </row>
    <row r="123" spans="2:23" ht="14.4" x14ac:dyDescent="0.3">
      <c r="B123" s="46">
        <f ca="1">VALUE((Table22342102[[#This Row],[Column3]]-62))</f>
        <v>61</v>
      </c>
      <c r="C123" t="s">
        <v>129</v>
      </c>
      <c r="D123">
        <v>13.140000300000001</v>
      </c>
      <c r="E123"/>
      <c r="F123" s="81">
        <v>13.106968999999999</v>
      </c>
      <c r="G123" s="29">
        <f>Table22342102[[#This Row],[Ypred]]-Table22342102[[#This Row],[REF]]</f>
        <v>-3.3031300000001096E-2</v>
      </c>
      <c r="H123" s="29">
        <f>Table22342102[[#This Row],[X-Y]]-E$20</f>
        <v>-0.75051074500000148</v>
      </c>
      <c r="I123" s="29">
        <f>Table22342102[[#This Row],[Ypred]]-E$20</f>
        <v>12.389489554999999</v>
      </c>
      <c r="J123" s="29">
        <f>Table22342102[[#This Row],[Ypred]]*E$21+E$22</f>
        <v>12.10398115030932</v>
      </c>
      <c r="K123" s="56">
        <f>Table22342102[[#This Row],[Yest]]-Table22342102[[#This Row],[REF]]</f>
        <v>-1.0360191496906808</v>
      </c>
      <c r="L123" s="56">
        <f>ABS(Table22342102[[#This Row],[RESyx]])</f>
        <v>1.0360191496906808</v>
      </c>
      <c r="M123" s="29">
        <f>Table22342102[[#This Row],[Ypred]]*E$25+E$26</f>
        <v>12.325171186374909</v>
      </c>
      <c r="N123" s="29">
        <f>Table22342102[[#This Row],[X-Y]]^2</f>
        <v>1.0910667796900724E-3</v>
      </c>
      <c r="O123" s="57">
        <f>Table22342102[[#This Row],[yest_rect]]-Table22342102[[#This Row],[REF]]</f>
        <v>-0.81482911362509114</v>
      </c>
      <c r="P123" s="57">
        <f>Table22342102[[#This Row],[dif rec]]^2</f>
        <v>0.66394648441105164</v>
      </c>
      <c r="Q123" s="57">
        <f>ABS(Table22342102[[#This Row],[diff-bias]])</f>
        <v>0.75051074500000148</v>
      </c>
      <c r="R123" s="57">
        <f ca="1">CELL("row",Table22342102[[#This Row],[Position]])</f>
        <v>123</v>
      </c>
      <c r="S123" s="4">
        <f>Table22342102[[#This Row],[REF]]-D$13</f>
        <v>2.1300000499999996</v>
      </c>
      <c r="T123" s="4">
        <f>ABS(Table22342102[[#This Row],[lab-med]])</f>
        <v>2.1300000499999996</v>
      </c>
      <c r="U123" s="4">
        <f>Table22342102[[#This Row],[Ypred]]-F$13</f>
        <v>1.3829999999999991</v>
      </c>
      <c r="V123" s="4">
        <f>ABS(Table22342102[[#This Row],[anl-med]])</f>
        <v>1.3829999999999991</v>
      </c>
      <c r="W123" s="4">
        <f>Table22342102[[#This Row],[lab-med]]*Table22342102[[#This Row],[anl-med]]</f>
        <v>2.9457900691499974</v>
      </c>
    </row>
    <row r="124" spans="2:23" ht="14.4" x14ac:dyDescent="0.3">
      <c r="B124" s="46">
        <f ca="1">VALUE((Table22342102[[#This Row],[Column3]]-62))</f>
        <v>62</v>
      </c>
      <c r="C124" t="s">
        <v>130</v>
      </c>
      <c r="D124">
        <v>11.699999800000001</v>
      </c>
      <c r="E124"/>
      <c r="F124" s="81">
        <v>11.168969000000001</v>
      </c>
      <c r="G124" s="29">
        <f>Table22342102[[#This Row],[Ypred]]-Table22342102[[#This Row],[REF]]</f>
        <v>-0.53103079999999991</v>
      </c>
      <c r="H124" s="29">
        <f>Table22342102[[#This Row],[X-Y]]-E$20</f>
        <v>-1.2485102450000003</v>
      </c>
      <c r="I124" s="29">
        <f>Table22342102[[#This Row],[Ypred]]-E$20</f>
        <v>10.451489555</v>
      </c>
      <c r="J124" s="29">
        <f>Table22342102[[#This Row],[Ypred]]*E$21+E$22</f>
        <v>10.598262240013145</v>
      </c>
      <c r="K124" s="56">
        <f>Table22342102[[#This Row],[Yest]]-Table22342102[[#This Row],[REF]]</f>
        <v>-1.1017375599868551</v>
      </c>
      <c r="L124" s="56">
        <f>ABS(Table22342102[[#This Row],[RESyx]])</f>
        <v>1.1017375599868551</v>
      </c>
      <c r="M124" s="29">
        <f>Table22342102[[#This Row],[Ypred]]*E$25+E$26</f>
        <v>10.484554009508782</v>
      </c>
      <c r="N124" s="29">
        <f>Table22342102[[#This Row],[X-Y]]^2</f>
        <v>0.28199371054863992</v>
      </c>
      <c r="O124" s="57">
        <f>Table22342102[[#This Row],[yest_rect]]-Table22342102[[#This Row],[REF]]</f>
        <v>-1.2154457904912181</v>
      </c>
      <c r="P124" s="57">
        <f>Table22342102[[#This Row],[dif rec]]^2</f>
        <v>1.4773084696228223</v>
      </c>
      <c r="Q124" s="57">
        <f>ABS(Table22342102[[#This Row],[diff-bias]])</f>
        <v>1.2485102450000003</v>
      </c>
      <c r="R124" s="57">
        <f ca="1">CELL("row",Table22342102[[#This Row],[Position]])</f>
        <v>124</v>
      </c>
      <c r="S124" s="4">
        <f>Table22342102[[#This Row],[REF]]-D$13</f>
        <v>0.68999954999999957</v>
      </c>
      <c r="T124" s="4">
        <f>ABS(Table22342102[[#This Row],[lab-med]])</f>
        <v>0.68999954999999957</v>
      </c>
      <c r="U124" s="4">
        <f>Table22342102[[#This Row],[Ypred]]-F$13</f>
        <v>-0.55499999999999972</v>
      </c>
      <c r="V124" s="4">
        <f>ABS(Table22342102[[#This Row],[anl-med]])</f>
        <v>0.55499999999999972</v>
      </c>
      <c r="W124" s="4">
        <f>Table22342102[[#This Row],[lab-med]]*Table22342102[[#This Row],[anl-med]]</f>
        <v>-0.38294975024999955</v>
      </c>
    </row>
    <row r="125" spans="2:23" ht="14.4" x14ac:dyDescent="0.3">
      <c r="B125" s="46">
        <f ca="1">VALUE((Table22342102[[#This Row],[Column3]]-62))</f>
        <v>63</v>
      </c>
      <c r="C125" t="s">
        <v>131</v>
      </c>
      <c r="D125">
        <v>10.3800001</v>
      </c>
      <c r="E125"/>
      <c r="F125" s="81">
        <v>11.241837</v>
      </c>
      <c r="G125" s="29">
        <f>Table22342102[[#This Row],[Ypred]]-Table22342102[[#This Row],[REF]]</f>
        <v>0.86183690000000013</v>
      </c>
      <c r="H125" s="29">
        <f>Table22342102[[#This Row],[X-Y]]-E$20</f>
        <v>0.14435745499999975</v>
      </c>
      <c r="I125" s="29">
        <f>Table22342102[[#This Row],[Ypred]]-E$20</f>
        <v>10.524357555</v>
      </c>
      <c r="J125" s="29">
        <f>Table22342102[[#This Row],[Ypred]]*E$21+E$22</f>
        <v>10.654876649484487</v>
      </c>
      <c r="K125" s="56">
        <f>Table22342102[[#This Row],[Yest]]-Table22342102[[#This Row],[REF]]</f>
        <v>0.27487654948448714</v>
      </c>
      <c r="L125" s="56">
        <f>ABS(Table22342102[[#This Row],[RESyx]])</f>
        <v>0.27487654948448714</v>
      </c>
      <c r="M125" s="29">
        <f>Table22342102[[#This Row],[Ypred]]*E$25+E$26</f>
        <v>10.553760455558256</v>
      </c>
      <c r="N125" s="29">
        <f>Table22342102[[#This Row],[X-Y]]^2</f>
        <v>0.74276284220161026</v>
      </c>
      <c r="O125" s="57">
        <f>Table22342102[[#This Row],[yest_rect]]-Table22342102[[#This Row],[REF]]</f>
        <v>0.17376035555825631</v>
      </c>
      <c r="P125" s="57">
        <f>Table22342102[[#This Row],[dif rec]]^2</f>
        <v>3.0192661163731652E-2</v>
      </c>
      <c r="Q125" s="57">
        <f>ABS(Table22342102[[#This Row],[diff-bias]])</f>
        <v>0.14435745499999975</v>
      </c>
      <c r="R125" s="57">
        <f ca="1">CELL("row",Table22342102[[#This Row],[Position]])</f>
        <v>125</v>
      </c>
      <c r="S125" s="4">
        <f>Table22342102[[#This Row],[REF]]-D$13</f>
        <v>-0.63000015000000076</v>
      </c>
      <c r="T125" s="4">
        <f>ABS(Table22342102[[#This Row],[lab-med]])</f>
        <v>0.63000015000000076</v>
      </c>
      <c r="U125" s="4">
        <f>Table22342102[[#This Row],[Ypred]]-F$13</f>
        <v>-0.48213200000000001</v>
      </c>
      <c r="V125" s="4">
        <f>ABS(Table22342102[[#This Row],[anl-med]])</f>
        <v>0.48213200000000001</v>
      </c>
      <c r="W125" s="4">
        <f>Table22342102[[#This Row],[lab-med]]*Table22342102[[#This Row],[anl-med]]</f>
        <v>0.30374323231980038</v>
      </c>
    </row>
    <row r="126" spans="2:23" ht="14.4" x14ac:dyDescent="0.3">
      <c r="B126" s="46">
        <f ca="1">VALUE((Table22342102[[#This Row],[Column3]]-62))</f>
        <v>64</v>
      </c>
      <c r="C126" t="s">
        <v>132</v>
      </c>
      <c r="D126">
        <v>13.350000400000001</v>
      </c>
      <c r="E126"/>
      <c r="F126" s="81">
        <v>13.379887</v>
      </c>
      <c r="G126" s="29">
        <f>Table22342102[[#This Row],[Ypred]]-Table22342102[[#This Row],[REF]]</f>
        <v>2.9886599999999319E-2</v>
      </c>
      <c r="H126" s="29">
        <f>Table22342102[[#This Row],[X-Y]]-E$20</f>
        <v>-0.68759284500000106</v>
      </c>
      <c r="I126" s="29">
        <f>Table22342102[[#This Row],[Ypred]]-E$20</f>
        <v>12.662407555</v>
      </c>
      <c r="J126" s="29">
        <f>Table22342102[[#This Row],[Ypred]]*E$21+E$22</f>
        <v>12.316023355448749</v>
      </c>
      <c r="K126" s="56">
        <f>Table22342102[[#This Row],[Yest]]-Table22342102[[#This Row],[REF]]</f>
        <v>-1.0339770445512517</v>
      </c>
      <c r="L126" s="56">
        <f>ABS(Table22342102[[#This Row],[RESyx]])</f>
        <v>1.0339770445512517</v>
      </c>
      <c r="M126" s="29">
        <f>Table22342102[[#This Row],[Ypred]]*E$25+E$26</f>
        <v>12.584375293018846</v>
      </c>
      <c r="N126" s="29">
        <f>Table22342102[[#This Row],[X-Y]]^2</f>
        <v>8.9320885955995928E-4</v>
      </c>
      <c r="O126" s="57">
        <f>Table22342102[[#This Row],[yest_rect]]-Table22342102[[#This Row],[REF]]</f>
        <v>-0.7656251069811546</v>
      </c>
      <c r="P126" s="57">
        <f>Table22342102[[#This Row],[dif rec]]^2</f>
        <v>0.58618180443990442</v>
      </c>
      <c r="Q126" s="57">
        <f>ABS(Table22342102[[#This Row],[diff-bias]])</f>
        <v>0.68759284500000106</v>
      </c>
      <c r="R126" s="57">
        <f ca="1">CELL("row",Table22342102[[#This Row],[Position]])</f>
        <v>126</v>
      </c>
      <c r="S126" s="4">
        <f>Table22342102[[#This Row],[REF]]-D$13</f>
        <v>2.3400001499999998</v>
      </c>
      <c r="T126" s="4">
        <f>ABS(Table22342102[[#This Row],[lab-med]])</f>
        <v>2.3400001499999998</v>
      </c>
      <c r="U126" s="4">
        <f>Table22342102[[#This Row],[Ypred]]-F$13</f>
        <v>1.6559179999999998</v>
      </c>
      <c r="V126" s="4">
        <f>ABS(Table22342102[[#This Row],[anl-med]])</f>
        <v>1.6559179999999998</v>
      </c>
      <c r="W126" s="4">
        <f>Table22342102[[#This Row],[lab-med]]*Table22342102[[#This Row],[anl-med]]</f>
        <v>3.8748483683876991</v>
      </c>
    </row>
    <row r="127" spans="2:23" ht="14.4" x14ac:dyDescent="0.3">
      <c r="B127" s="46">
        <f ca="1">VALUE((Table22342102[[#This Row],[Column3]]-62))</f>
        <v>65</v>
      </c>
      <c r="C127" t="s">
        <v>133</v>
      </c>
      <c r="D127">
        <v>12.6599998</v>
      </c>
      <c r="E127"/>
      <c r="F127" s="81">
        <v>12.548774</v>
      </c>
      <c r="G127" s="29">
        <f>Table22342102[[#This Row],[Ypred]]-Table22342102[[#This Row],[REF]]</f>
        <v>-0.11122579999999971</v>
      </c>
      <c r="H127" s="29">
        <f>Table22342102[[#This Row],[X-Y]]-E$20</f>
        <v>-0.82870524500000009</v>
      </c>
      <c r="I127" s="29">
        <f>Table22342102[[#This Row],[Ypred]]-E$20</f>
        <v>11.831294554999999</v>
      </c>
      <c r="J127" s="29">
        <f>Table22342102[[#This Row],[Ypred]]*E$21+E$22</f>
        <v>11.670294479962172</v>
      </c>
      <c r="K127" s="56">
        <f>Table22342102[[#This Row],[Yest]]-Table22342102[[#This Row],[REF]]</f>
        <v>-0.98970532003782807</v>
      </c>
      <c r="L127" s="56">
        <f>ABS(Table22342102[[#This Row],[RESyx]])</f>
        <v>0.98970532003782807</v>
      </c>
      <c r="M127" s="29">
        <f>Table22342102[[#This Row],[Ypred]]*E$25+E$26</f>
        <v>11.795025002143337</v>
      </c>
      <c r="N127" s="29">
        <f>Table22342102[[#This Row],[X-Y]]^2</f>
        <v>1.2371178585639936E-2</v>
      </c>
      <c r="O127" s="57">
        <f>Table22342102[[#This Row],[yest_rect]]-Table22342102[[#This Row],[REF]]</f>
        <v>-0.86497479785666265</v>
      </c>
      <c r="P127" s="57">
        <f>Table22342102[[#This Row],[dif rec]]^2</f>
        <v>0.74818140092717444</v>
      </c>
      <c r="Q127" s="57">
        <f>ABS(Table22342102[[#This Row],[diff-bias]])</f>
        <v>0.82870524500000009</v>
      </c>
      <c r="R127" s="57">
        <f ca="1">CELL("row",Table22342102[[#This Row],[Position]])</f>
        <v>127</v>
      </c>
      <c r="S127" s="4">
        <f>Table22342102[[#This Row],[REF]]-D$13</f>
        <v>1.6499995499999986</v>
      </c>
      <c r="T127" s="4">
        <f>ABS(Table22342102[[#This Row],[lab-med]])</f>
        <v>1.6499995499999986</v>
      </c>
      <c r="U127" s="4">
        <f>Table22342102[[#This Row],[Ypred]]-F$13</f>
        <v>0.82480499999999957</v>
      </c>
      <c r="V127" s="4">
        <f>ABS(Table22342102[[#This Row],[anl-med]])</f>
        <v>0.82480499999999957</v>
      </c>
      <c r="W127" s="4">
        <f>Table22342102[[#This Row],[lab-med]]*Table22342102[[#This Row],[anl-med]]</f>
        <v>1.3609278788377481</v>
      </c>
    </row>
    <row r="128" spans="2:23" ht="14.4" x14ac:dyDescent="0.3">
      <c r="B128" s="46">
        <f ca="1">VALUE((Table22342102[[#This Row],[Column3]]-62))</f>
        <v>66</v>
      </c>
      <c r="C128" t="s">
        <v>134</v>
      </c>
      <c r="D128">
        <v>11.9899998</v>
      </c>
      <c r="E128"/>
      <c r="F128" s="81">
        <v>12.584042999999999</v>
      </c>
      <c r="G128" s="29">
        <f>Table22342102[[#This Row],[Ypred]]-Table22342102[[#This Row],[REF]]</f>
        <v>0.59404319999999977</v>
      </c>
      <c r="H128" s="29">
        <f>Table22342102[[#This Row],[X-Y]]-E$20</f>
        <v>-0.12343624500000061</v>
      </c>
      <c r="I128" s="29">
        <f>Table22342102[[#This Row],[Ypred]]-E$20</f>
        <v>11.866563554999999</v>
      </c>
      <c r="J128" s="29">
        <f>Table22342102[[#This Row],[Ypred]]*E$21+E$22</f>
        <v>11.697696544073233</v>
      </c>
      <c r="K128" s="56">
        <f>Table22342102[[#This Row],[Yest]]-Table22342102[[#This Row],[REF]]</f>
        <v>-0.29230325592676643</v>
      </c>
      <c r="L128" s="56">
        <f>ABS(Table22342102[[#This Row],[RESyx]])</f>
        <v>0.29230325592676643</v>
      </c>
      <c r="M128" s="29">
        <f>Table22342102[[#This Row],[Ypred]]*E$25+E$26</f>
        <v>11.82852176541005</v>
      </c>
      <c r="N128" s="29">
        <f>Table22342102[[#This Row],[X-Y]]^2</f>
        <v>0.35288732346623974</v>
      </c>
      <c r="O128" s="57">
        <f>Table22342102[[#This Row],[yest_rect]]-Table22342102[[#This Row],[REF]]</f>
        <v>-0.16147803458994936</v>
      </c>
      <c r="P128" s="57">
        <f>Table22342102[[#This Row],[dif rec]]^2</f>
        <v>2.6075155655032881E-2</v>
      </c>
      <c r="Q128" s="57">
        <f>ABS(Table22342102[[#This Row],[diff-bias]])</f>
        <v>0.12343624500000061</v>
      </c>
      <c r="R128" s="57">
        <f ca="1">CELL("row",Table22342102[[#This Row],[Position]])</f>
        <v>128</v>
      </c>
      <c r="S128" s="4">
        <f>Table22342102[[#This Row],[REF]]-D$13</f>
        <v>0.97999954999999872</v>
      </c>
      <c r="T128" s="4">
        <f>ABS(Table22342102[[#This Row],[lab-med]])</f>
        <v>0.97999954999999872</v>
      </c>
      <c r="U128" s="4">
        <f>Table22342102[[#This Row],[Ypred]]-F$13</f>
        <v>0.86007399999999912</v>
      </c>
      <c r="V128" s="4">
        <f>ABS(Table22342102[[#This Row],[anl-med]])</f>
        <v>0.86007399999999912</v>
      </c>
      <c r="W128" s="4">
        <f>Table22342102[[#This Row],[lab-med]]*Table22342102[[#This Row],[anl-med]]</f>
        <v>0.84287213296669805</v>
      </c>
    </row>
    <row r="129" spans="2:23" ht="14.4" x14ac:dyDescent="0.3">
      <c r="B129" s="46">
        <f ca="1">VALUE((Table22342102[[#This Row],[Column3]]-62))</f>
        <v>67</v>
      </c>
      <c r="C129" t="s">
        <v>135</v>
      </c>
      <c r="D129">
        <v>12</v>
      </c>
      <c r="E129"/>
      <c r="F129" s="81">
        <v>12.439724</v>
      </c>
      <c r="G129" s="29">
        <f>Table22342102[[#This Row],[Ypred]]-Table22342102[[#This Row],[REF]]</f>
        <v>0.439724</v>
      </c>
      <c r="H129" s="29">
        <f>Table22342102[[#This Row],[X-Y]]-E$20</f>
        <v>-0.27775544500000038</v>
      </c>
      <c r="I129" s="29">
        <f>Table22342102[[#This Row],[Ypred]]-E$20</f>
        <v>11.722244555</v>
      </c>
      <c r="J129" s="29">
        <f>Table22342102[[#This Row],[Ypred]]*E$21+E$22</f>
        <v>11.585568655830182</v>
      </c>
      <c r="K129" s="56">
        <f>Table22342102[[#This Row],[Yest]]-Table22342102[[#This Row],[REF]]</f>
        <v>-0.41443134416981842</v>
      </c>
      <c r="L129" s="56">
        <f>ABS(Table22342102[[#This Row],[RESyx]])</f>
        <v>0.41443134416981842</v>
      </c>
      <c r="M129" s="29">
        <f>Table22342102[[#This Row],[Ypred]]*E$25+E$26</f>
        <v>11.69145467028717</v>
      </c>
      <c r="N129" s="29">
        <f>Table22342102[[#This Row],[X-Y]]^2</f>
        <v>0.193357196176</v>
      </c>
      <c r="O129" s="57">
        <f>Table22342102[[#This Row],[yest_rect]]-Table22342102[[#This Row],[REF]]</f>
        <v>-0.30854532971283</v>
      </c>
      <c r="P129" s="57">
        <f>Table22342102[[#This Row],[dif rec]]^2</f>
        <v>9.5200220487598977E-2</v>
      </c>
      <c r="Q129" s="57">
        <f>ABS(Table22342102[[#This Row],[diff-bias]])</f>
        <v>0.27775544500000038</v>
      </c>
      <c r="R129" s="57">
        <f ca="1">CELL("row",Table22342102[[#This Row],[Position]])</f>
        <v>129</v>
      </c>
      <c r="S129" s="4">
        <f>Table22342102[[#This Row],[REF]]-D$13</f>
        <v>0.98999974999999907</v>
      </c>
      <c r="T129" s="4">
        <f>ABS(Table22342102[[#This Row],[lab-med]])</f>
        <v>0.98999974999999907</v>
      </c>
      <c r="U129" s="4">
        <f>Table22342102[[#This Row],[Ypred]]-F$13</f>
        <v>0.7157549999999997</v>
      </c>
      <c r="V129" s="4">
        <f>ABS(Table22342102[[#This Row],[anl-med]])</f>
        <v>0.7157549999999997</v>
      </c>
      <c r="W129" s="4">
        <f>Table22342102[[#This Row],[lab-med]]*Table22342102[[#This Row],[anl-med]]</f>
        <v>0.70859727106124903</v>
      </c>
    </row>
    <row r="130" spans="2:23" ht="14.4" x14ac:dyDescent="0.3">
      <c r="B130" s="46">
        <f ca="1">VALUE((Table22342102[[#This Row],[Column3]]-62))</f>
        <v>68</v>
      </c>
      <c r="C130" t="s">
        <v>136</v>
      </c>
      <c r="D130">
        <v>12</v>
      </c>
      <c r="E130"/>
      <c r="F130" s="81">
        <v>12.761041000000001</v>
      </c>
      <c r="G130" s="29">
        <f>Table22342102[[#This Row],[Ypred]]-Table22342102[[#This Row],[REF]]</f>
        <v>0.76104100000000052</v>
      </c>
      <c r="H130" s="29">
        <f>Table22342102[[#This Row],[X-Y]]-E$20</f>
        <v>4.3561555000000141E-2</v>
      </c>
      <c r="I130" s="29">
        <f>Table22342102[[#This Row],[Ypred]]-E$20</f>
        <v>12.043561555</v>
      </c>
      <c r="J130" s="29">
        <f>Table22342102[[#This Row],[Ypred]]*E$21+E$22</f>
        <v>11.835214209545164</v>
      </c>
      <c r="K130" s="56">
        <f>Table22342102[[#This Row],[Yest]]-Table22342102[[#This Row],[REF]]</f>
        <v>-0.16478579045483599</v>
      </c>
      <c r="L130" s="56">
        <f>ABS(Table22342102[[#This Row],[RESyx]])</f>
        <v>0.16478579045483599</v>
      </c>
      <c r="M130" s="29">
        <f>Table22342102[[#This Row],[Ypred]]*E$25+E$26</f>
        <v>11.996625769058634</v>
      </c>
      <c r="N130" s="29">
        <f>Table22342102[[#This Row],[X-Y]]^2</f>
        <v>0.57918340368100074</v>
      </c>
      <c r="O130" s="57">
        <f>Table22342102[[#This Row],[yest_rect]]-Table22342102[[#This Row],[REF]]</f>
        <v>-3.3742309413664628E-3</v>
      </c>
      <c r="P130" s="57">
        <f>Table22342102[[#This Row],[dif rec]]^2</f>
        <v>1.1385434445674806E-5</v>
      </c>
      <c r="Q130" s="57">
        <f>ABS(Table22342102[[#This Row],[diff-bias]])</f>
        <v>4.3561555000000141E-2</v>
      </c>
      <c r="R130" s="57">
        <f ca="1">CELL("row",Table22342102[[#This Row],[Position]])</f>
        <v>130</v>
      </c>
      <c r="S130" s="4">
        <f>Table22342102[[#This Row],[REF]]-D$13</f>
        <v>0.98999974999999907</v>
      </c>
      <c r="T130" s="4">
        <f>ABS(Table22342102[[#This Row],[lab-med]])</f>
        <v>0.98999974999999907</v>
      </c>
      <c r="U130" s="4">
        <f>Table22342102[[#This Row],[Ypred]]-F$13</f>
        <v>1.0370720000000002</v>
      </c>
      <c r="V130" s="4">
        <f>ABS(Table22342102[[#This Row],[anl-med]])</f>
        <v>1.0370720000000002</v>
      </c>
      <c r="W130" s="4">
        <f>Table22342102[[#This Row],[lab-med]]*Table22342102[[#This Row],[anl-med]]</f>
        <v>1.0267010207319993</v>
      </c>
    </row>
    <row r="131" spans="2:23" ht="14.4" x14ac:dyDescent="0.3">
      <c r="B131" s="46">
        <f ca="1">VALUE((Table22342102[[#This Row],[Column3]]-62))</f>
        <v>69</v>
      </c>
      <c r="C131" t="s">
        <v>137</v>
      </c>
      <c r="D131">
        <v>13.1599998</v>
      </c>
      <c r="E131"/>
      <c r="F131" s="81">
        <v>12.859813000000001</v>
      </c>
      <c r="G131" s="29">
        <f>Table22342102[[#This Row],[Ypred]]-Table22342102[[#This Row],[REF]]</f>
        <v>-0.30018679999999875</v>
      </c>
      <c r="H131" s="29">
        <f>Table22342102[[#This Row],[X-Y]]-E$20</f>
        <v>-1.0176662449999991</v>
      </c>
      <c r="I131" s="29">
        <f>Table22342102[[#This Row],[Ypred]]-E$20</f>
        <v>12.142333555</v>
      </c>
      <c r="J131" s="29">
        <f>Table22342102[[#This Row],[Ypred]]*E$21+E$22</f>
        <v>11.911954595617289</v>
      </c>
      <c r="K131" s="56">
        <f>Table22342102[[#This Row],[Yest]]-Table22342102[[#This Row],[REF]]</f>
        <v>-1.248045204382711</v>
      </c>
      <c r="L131" s="56">
        <f>ABS(Table22342102[[#This Row],[RESyx]])</f>
        <v>1.248045204382711</v>
      </c>
      <c r="M131" s="29">
        <f>Table22342102[[#This Row],[Ypred]]*E$25+E$26</f>
        <v>12.090434561521699</v>
      </c>
      <c r="N131" s="29">
        <f>Table22342102[[#This Row],[X-Y]]^2</f>
        <v>9.0112114894239259E-2</v>
      </c>
      <c r="O131" s="57">
        <f>Table22342102[[#This Row],[yest_rect]]-Table22342102[[#This Row],[REF]]</f>
        <v>-1.069565238478301</v>
      </c>
      <c r="P131" s="57">
        <f>Table22342102[[#This Row],[dif rec]]^2</f>
        <v>1.1439697993611448</v>
      </c>
      <c r="Q131" s="57">
        <f>ABS(Table22342102[[#This Row],[diff-bias]])</f>
        <v>1.0176662449999991</v>
      </c>
      <c r="R131" s="57">
        <f ca="1">CELL("row",Table22342102[[#This Row],[Position]])</f>
        <v>131</v>
      </c>
      <c r="S131" s="4">
        <f>Table22342102[[#This Row],[REF]]-D$13</f>
        <v>2.1499995499999986</v>
      </c>
      <c r="T131" s="4">
        <f>ABS(Table22342102[[#This Row],[lab-med]])</f>
        <v>2.1499995499999986</v>
      </c>
      <c r="U131" s="4">
        <f>Table22342102[[#This Row],[Ypred]]-F$13</f>
        <v>1.1358440000000005</v>
      </c>
      <c r="V131" s="4">
        <f>ABS(Table22342102[[#This Row],[anl-med]])</f>
        <v>1.1358440000000005</v>
      </c>
      <c r="W131" s="4">
        <f>Table22342102[[#This Row],[lab-med]]*Table22342102[[#This Row],[anl-med]]</f>
        <v>2.4420640888701994</v>
      </c>
    </row>
    <row r="132" spans="2:23" ht="14.4" x14ac:dyDescent="0.3">
      <c r="B132" s="46">
        <f ca="1">VALUE((Table22342102[[#This Row],[Column3]]-62))</f>
        <v>70</v>
      </c>
      <c r="C132" t="s">
        <v>138</v>
      </c>
      <c r="D132">
        <v>12.170000099999999</v>
      </c>
      <c r="E132"/>
      <c r="F132" s="81">
        <v>12.402651000000001</v>
      </c>
      <c r="G132" s="29">
        <f>Table22342102[[#This Row],[Ypred]]-Table22342102[[#This Row],[REF]]</f>
        <v>0.23265090000000122</v>
      </c>
      <c r="H132" s="29">
        <f>Table22342102[[#This Row],[X-Y]]-E$20</f>
        <v>-0.48482854499999917</v>
      </c>
      <c r="I132" s="29">
        <f>Table22342102[[#This Row],[Ypred]]-E$20</f>
        <v>11.685171555</v>
      </c>
      <c r="J132" s="29">
        <f>Table22342102[[#This Row],[Ypred]]*E$21+E$22</f>
        <v>11.556764983404275</v>
      </c>
      <c r="K132" s="56">
        <f>Table22342102[[#This Row],[Yest]]-Table22342102[[#This Row],[REF]]</f>
        <v>-0.61323511659572461</v>
      </c>
      <c r="L132" s="56">
        <f>ABS(Table22342102[[#This Row],[RESyx]])</f>
        <v>0.61323511659572461</v>
      </c>
      <c r="M132" s="29">
        <f>Table22342102[[#This Row],[Ypred]]*E$25+E$26</f>
        <v>11.656244556459535</v>
      </c>
      <c r="N132" s="29">
        <f>Table22342102[[#This Row],[X-Y]]^2</f>
        <v>5.4126441270810566E-2</v>
      </c>
      <c r="O132" s="57">
        <f>Table22342102[[#This Row],[yest_rect]]-Table22342102[[#This Row],[REF]]</f>
        <v>-0.51375554354046393</v>
      </c>
      <c r="P132" s="57">
        <f>Table22342102[[#This Row],[dif rec]]^2</f>
        <v>0.26394475851855753</v>
      </c>
      <c r="Q132" s="57">
        <f>ABS(Table22342102[[#This Row],[diff-bias]])</f>
        <v>0.48482854499999917</v>
      </c>
      <c r="R132" s="57">
        <f ca="1">CELL("row",Table22342102[[#This Row],[Position]])</f>
        <v>132</v>
      </c>
      <c r="S132" s="4">
        <f>Table22342102[[#This Row],[REF]]-D$13</f>
        <v>1.1599998499999984</v>
      </c>
      <c r="T132" s="4">
        <f>ABS(Table22342102[[#This Row],[lab-med]])</f>
        <v>1.1599998499999984</v>
      </c>
      <c r="U132" s="4">
        <f>Table22342102[[#This Row],[Ypred]]-F$13</f>
        <v>0.67868200000000023</v>
      </c>
      <c r="V132" s="4">
        <f>ABS(Table22342102[[#This Row],[anl-med]])</f>
        <v>0.67868200000000023</v>
      </c>
      <c r="W132" s="4">
        <f>Table22342102[[#This Row],[lab-med]]*Table22342102[[#This Row],[anl-med]]</f>
        <v>0.78727101819769918</v>
      </c>
    </row>
    <row r="133" spans="2:23" ht="14.4" x14ac:dyDescent="0.3">
      <c r="B133" s="46">
        <f ca="1">VALUE((Table22342102[[#This Row],[Column3]]-62))</f>
        <v>71</v>
      </c>
      <c r="C133" t="s">
        <v>139</v>
      </c>
      <c r="D133">
        <v>10.970000300000001</v>
      </c>
      <c r="E133"/>
      <c r="F133" s="81">
        <v>12.266624999999999</v>
      </c>
      <c r="G133" s="29">
        <f>Table22342102[[#This Row],[Ypred]]-Table22342102[[#This Row],[REF]]</f>
        <v>1.2966246999999989</v>
      </c>
      <c r="H133" s="29">
        <f>Table22342102[[#This Row],[X-Y]]-E$20</f>
        <v>0.57914525499999847</v>
      </c>
      <c r="I133" s="29">
        <f>Table22342102[[#This Row],[Ypred]]-E$20</f>
        <v>11.549145554999999</v>
      </c>
      <c r="J133" s="29">
        <f>Table22342102[[#This Row],[Ypred]]*E$21+E$22</f>
        <v>11.451080297907913</v>
      </c>
      <c r="K133" s="56">
        <f>Table22342102[[#This Row],[Yest]]-Table22342102[[#This Row],[REF]]</f>
        <v>0.48107999790791212</v>
      </c>
      <c r="L133" s="56">
        <f>ABS(Table22342102[[#This Row],[RESyx]])</f>
        <v>0.48107999790791212</v>
      </c>
      <c r="M133" s="29">
        <f>Table22342102[[#This Row],[Ypred]]*E$25+E$26</f>
        <v>11.527053745262222</v>
      </c>
      <c r="N133" s="29">
        <f>Table22342102[[#This Row],[X-Y]]^2</f>
        <v>1.6812356126500869</v>
      </c>
      <c r="O133" s="57">
        <f>Table22342102[[#This Row],[yest_rect]]-Table22342102[[#This Row],[REF]]</f>
        <v>0.55705344526222156</v>
      </c>
      <c r="P133" s="57">
        <f>Table22342102[[#This Row],[dif rec]]^2</f>
        <v>0.3103085408785109</v>
      </c>
      <c r="Q133" s="57">
        <f>ABS(Table22342102[[#This Row],[diff-bias]])</f>
        <v>0.57914525499999847</v>
      </c>
      <c r="R133" s="57">
        <f ca="1">CELL("row",Table22342102[[#This Row],[Position]])</f>
        <v>133</v>
      </c>
      <c r="S133" s="4">
        <f>Table22342102[[#This Row],[REF]]-D$13</f>
        <v>-3.9999950000000339E-2</v>
      </c>
      <c r="T133" s="4">
        <f>ABS(Table22342102[[#This Row],[lab-med]])</f>
        <v>3.9999950000000339E-2</v>
      </c>
      <c r="U133" s="4">
        <f>Table22342102[[#This Row],[Ypred]]-F$13</f>
        <v>0.54265599999999914</v>
      </c>
      <c r="V133" s="4">
        <f>ABS(Table22342102[[#This Row],[anl-med]])</f>
        <v>0.54265599999999914</v>
      </c>
      <c r="W133" s="4">
        <f>Table22342102[[#This Row],[lab-med]]*Table22342102[[#This Row],[anl-med]]</f>
        <v>-2.1706212867200151E-2</v>
      </c>
    </row>
    <row r="134" spans="2:23" ht="14.4" x14ac:dyDescent="0.3">
      <c r="B134" s="46">
        <f ca="1">VALUE((Table22342102[[#This Row],[Column3]]-62))</f>
        <v>72</v>
      </c>
      <c r="C134" t="s">
        <v>140</v>
      </c>
      <c r="D134">
        <v>12.2600002</v>
      </c>
      <c r="E134"/>
      <c r="F134" s="81">
        <v>13.339931999999999</v>
      </c>
      <c r="G134" s="29">
        <f>Table22342102[[#This Row],[Ypred]]-Table22342102[[#This Row],[REF]]</f>
        <v>1.0799317999999989</v>
      </c>
      <c r="H134" s="29">
        <f>Table22342102[[#This Row],[X-Y]]-E$20</f>
        <v>0.36245235499999851</v>
      </c>
      <c r="I134" s="29">
        <f>Table22342102[[#This Row],[Ypred]]-E$20</f>
        <v>12.622452554999999</v>
      </c>
      <c r="J134" s="29">
        <f>Table22342102[[#This Row],[Ypred]]*E$21+E$22</f>
        <v>12.28498052827595</v>
      </c>
      <c r="K134" s="56">
        <f>Table22342102[[#This Row],[Yest]]-Table22342102[[#This Row],[REF]]</f>
        <v>2.4980328275949759E-2</v>
      </c>
      <c r="L134" s="56">
        <f>ABS(Table22342102[[#This Row],[RESyx]])</f>
        <v>2.4980328275949759E-2</v>
      </c>
      <c r="M134" s="29">
        <f>Table22342102[[#This Row],[Ypred]]*E$25+E$26</f>
        <v>12.546427997197542</v>
      </c>
      <c r="N134" s="29">
        <f>Table22342102[[#This Row],[X-Y]]^2</f>
        <v>1.1662526926512375</v>
      </c>
      <c r="O134" s="57">
        <f>Table22342102[[#This Row],[yest_rect]]-Table22342102[[#This Row],[REF]]</f>
        <v>0.28642779719754152</v>
      </c>
      <c r="P134" s="57">
        <f>Table22342102[[#This Row],[dif rec]]^2</f>
        <v>8.2040883007435977E-2</v>
      </c>
      <c r="Q134" s="57">
        <f>ABS(Table22342102[[#This Row],[diff-bias]])</f>
        <v>0.36245235499999851</v>
      </c>
      <c r="R134" s="57">
        <f ca="1">CELL("row",Table22342102[[#This Row],[Position]])</f>
        <v>134</v>
      </c>
      <c r="S134" s="4">
        <f>Table22342102[[#This Row],[REF]]-D$13</f>
        <v>1.2499999499999994</v>
      </c>
      <c r="T134" s="4">
        <f>ABS(Table22342102[[#This Row],[lab-med]])</f>
        <v>1.2499999499999994</v>
      </c>
      <c r="U134" s="4">
        <f>Table22342102[[#This Row],[Ypred]]-F$13</f>
        <v>1.6159629999999989</v>
      </c>
      <c r="V134" s="4">
        <f>ABS(Table22342102[[#This Row],[anl-med]])</f>
        <v>1.6159629999999989</v>
      </c>
      <c r="W134" s="4">
        <f>Table22342102[[#This Row],[lab-med]]*Table22342102[[#This Row],[anl-med]]</f>
        <v>2.0199536692018478</v>
      </c>
    </row>
    <row r="135" spans="2:23" ht="14.4" x14ac:dyDescent="0.3">
      <c r="B135" s="46">
        <f ca="1">VALUE((Table22342102[[#This Row],[Column3]]-62))</f>
        <v>73</v>
      </c>
      <c r="C135" t="s">
        <v>141</v>
      </c>
      <c r="D135">
        <v>13.029999699999999</v>
      </c>
      <c r="E135"/>
      <c r="F135" s="81">
        <v>13.747017</v>
      </c>
      <c r="G135" s="29">
        <f>Table22342102[[#This Row],[Ypred]]-Table22342102[[#This Row],[REF]]</f>
        <v>0.71701730000000019</v>
      </c>
      <c r="H135" s="29">
        <f>Table22342102[[#This Row],[X-Y]]-E$20</f>
        <v>-4.6214500000019143E-4</v>
      </c>
      <c r="I135" s="29">
        <f>Table22342102[[#This Row],[Ypred]]-E$20</f>
        <v>13.029537554999999</v>
      </c>
      <c r="J135" s="29">
        <f>Table22342102[[#This Row],[Ypred]]*E$21+E$22</f>
        <v>12.601263078636073</v>
      </c>
      <c r="K135" s="56">
        <f>Table22342102[[#This Row],[Yest]]-Table22342102[[#This Row],[REF]]</f>
        <v>-0.42873662136392632</v>
      </c>
      <c r="L135" s="56">
        <f>ABS(Table22342102[[#This Row],[RESyx]])</f>
        <v>0.42873662136392632</v>
      </c>
      <c r="M135" s="29">
        <f>Table22342102[[#This Row],[Ypred]]*E$25+E$26</f>
        <v>12.933057328180281</v>
      </c>
      <c r="N135" s="29">
        <f>Table22342102[[#This Row],[X-Y]]^2</f>
        <v>0.51411380849929023</v>
      </c>
      <c r="O135" s="57">
        <f>Table22342102[[#This Row],[yest_rect]]-Table22342102[[#This Row],[REF]]</f>
        <v>-9.6942371819718431E-2</v>
      </c>
      <c r="P135" s="57">
        <f>Table22342102[[#This Row],[dif rec]]^2</f>
        <v>9.3978234540325386E-3</v>
      </c>
      <c r="Q135" s="57">
        <f>ABS(Table22342102[[#This Row],[diff-bias]])</f>
        <v>4.6214500000019143E-4</v>
      </c>
      <c r="R135" s="57">
        <f ca="1">CELL("row",Table22342102[[#This Row],[Position]])</f>
        <v>135</v>
      </c>
      <c r="S135" s="4">
        <f>Table22342102[[#This Row],[REF]]-D$13</f>
        <v>2.0199994499999985</v>
      </c>
      <c r="T135" s="4">
        <f>ABS(Table22342102[[#This Row],[lab-med]])</f>
        <v>2.0199994499999985</v>
      </c>
      <c r="U135" s="4">
        <f>Table22342102[[#This Row],[Ypred]]-F$13</f>
        <v>2.0230479999999993</v>
      </c>
      <c r="V135" s="4">
        <f>ABS(Table22342102[[#This Row],[anl-med]])</f>
        <v>2.0230479999999993</v>
      </c>
      <c r="W135" s="4">
        <f>Table22342102[[#This Row],[lab-med]]*Table22342102[[#This Row],[anl-med]]</f>
        <v>4.0865558473235959</v>
      </c>
    </row>
    <row r="136" spans="2:23" ht="14.4" x14ac:dyDescent="0.3">
      <c r="B136" s="46">
        <f ca="1">VALUE((Table22342102[[#This Row],[Column3]]-62))</f>
        <v>74</v>
      </c>
      <c r="C136" t="s">
        <v>142</v>
      </c>
      <c r="D136">
        <v>12.359999699999999</v>
      </c>
      <c r="E136"/>
      <c r="F136" s="81">
        <v>13.792908000000001</v>
      </c>
      <c r="G136" s="29">
        <f>Table22342102[[#This Row],[Ypred]]-Table22342102[[#This Row],[REF]]</f>
        <v>1.4329083000000011</v>
      </c>
      <c r="H136" s="29">
        <f>Table22342102[[#This Row],[X-Y]]-E$20</f>
        <v>0.71542885500000075</v>
      </c>
      <c r="I136" s="29">
        <f>Table22342102[[#This Row],[Ypred]]-E$20</f>
        <v>13.075428555</v>
      </c>
      <c r="J136" s="29">
        <f>Table22342102[[#This Row],[Ypred]]*E$21+E$22</f>
        <v>12.636917849798303</v>
      </c>
      <c r="K136" s="56">
        <f>Table22342102[[#This Row],[Yest]]-Table22342102[[#This Row],[REF]]</f>
        <v>0.27691814979830376</v>
      </c>
      <c r="L136" s="56">
        <f>ABS(Table22342102[[#This Row],[RESyx]])</f>
        <v>0.27691814979830376</v>
      </c>
      <c r="M136" s="29">
        <f>Table22342102[[#This Row],[Ypred]]*E$25+E$26</f>
        <v>12.976642345137746</v>
      </c>
      <c r="N136" s="29">
        <f>Table22342102[[#This Row],[X-Y]]^2</f>
        <v>2.0532261962088931</v>
      </c>
      <c r="O136" s="57">
        <f>Table22342102[[#This Row],[yest_rect]]-Table22342102[[#This Row],[REF]]</f>
        <v>0.61664264513774647</v>
      </c>
      <c r="P136" s="57">
        <f>Table22342102[[#This Row],[dif rec]]^2</f>
        <v>0.38024815180247673</v>
      </c>
      <c r="Q136" s="57">
        <f>ABS(Table22342102[[#This Row],[diff-bias]])</f>
        <v>0.71542885500000075</v>
      </c>
      <c r="R136" s="57">
        <f ca="1">CELL("row",Table22342102[[#This Row],[Position]])</f>
        <v>136</v>
      </c>
      <c r="S136" s="4">
        <f>Table22342102[[#This Row],[REF]]-D$13</f>
        <v>1.3499994499999985</v>
      </c>
      <c r="T136" s="4">
        <f>ABS(Table22342102[[#This Row],[lab-med]])</f>
        <v>1.3499994499999985</v>
      </c>
      <c r="U136" s="4">
        <f>Table22342102[[#This Row],[Ypred]]-F$13</f>
        <v>2.0689390000000003</v>
      </c>
      <c r="V136" s="4">
        <f>ABS(Table22342102[[#This Row],[anl-med]])</f>
        <v>2.0689390000000003</v>
      </c>
      <c r="W136" s="4">
        <f>Table22342102[[#This Row],[lab-med]]*Table22342102[[#This Row],[anl-med]]</f>
        <v>2.7930665120835476</v>
      </c>
    </row>
    <row r="137" spans="2:23" ht="14.4" x14ac:dyDescent="0.3">
      <c r="B137" s="46">
        <f ca="1">VALUE((Table22342102[[#This Row],[Column3]]-62))</f>
        <v>75</v>
      </c>
      <c r="C137" t="s">
        <v>143</v>
      </c>
      <c r="D137">
        <v>12.399999599999999</v>
      </c>
      <c r="E137"/>
      <c r="F137" s="81">
        <v>13.977522</v>
      </c>
      <c r="G137" s="29">
        <f>Table22342102[[#This Row],[Ypred]]-Table22342102[[#This Row],[REF]]</f>
        <v>1.5775224000000012</v>
      </c>
      <c r="H137" s="29">
        <f>Table22342102[[#This Row],[X-Y]]-E$20</f>
        <v>0.86004295500000083</v>
      </c>
      <c r="I137" s="29">
        <f>Table22342102[[#This Row],[Ypred]]-E$20</f>
        <v>13.260042555</v>
      </c>
      <c r="J137" s="29">
        <f>Table22342102[[#This Row],[Ypred]]*E$21+E$22</f>
        <v>12.780352726426488</v>
      </c>
      <c r="K137" s="56">
        <f>Table22342102[[#This Row],[Yest]]-Table22342102[[#This Row],[REF]]</f>
        <v>0.38035312642648833</v>
      </c>
      <c r="L137" s="56">
        <f>ABS(Table22342102[[#This Row],[RESyx]])</f>
        <v>0.38035312642648833</v>
      </c>
      <c r="M137" s="29">
        <f>Table22342102[[#This Row],[Ypred]]*E$25+E$26</f>
        <v>13.151979651376116</v>
      </c>
      <c r="N137" s="29">
        <f>Table22342102[[#This Row],[X-Y]]^2</f>
        <v>2.488576922501764</v>
      </c>
      <c r="O137" s="57">
        <f>Table22342102[[#This Row],[yest_rect]]-Table22342102[[#This Row],[REF]]</f>
        <v>0.75198005137611723</v>
      </c>
      <c r="P137" s="57">
        <f>Table22342102[[#This Row],[dif rec]]^2</f>
        <v>0.56547399766762796</v>
      </c>
      <c r="Q137" s="57">
        <f>ABS(Table22342102[[#This Row],[diff-bias]])</f>
        <v>0.86004295500000083</v>
      </c>
      <c r="R137" s="57">
        <f ca="1">CELL("row",Table22342102[[#This Row],[Position]])</f>
        <v>137</v>
      </c>
      <c r="S137" s="4">
        <f>Table22342102[[#This Row],[REF]]-D$13</f>
        <v>1.3899993499999983</v>
      </c>
      <c r="T137" s="4">
        <f>ABS(Table22342102[[#This Row],[lab-med]])</f>
        <v>1.3899993499999983</v>
      </c>
      <c r="U137" s="4">
        <f>Table22342102[[#This Row],[Ypred]]-F$13</f>
        <v>2.2535530000000001</v>
      </c>
      <c r="V137" s="4">
        <f>ABS(Table22342102[[#This Row],[anl-med]])</f>
        <v>2.2535530000000001</v>
      </c>
      <c r="W137" s="4">
        <f>Table22342102[[#This Row],[lab-med]]*Table22342102[[#This Row],[anl-med]]</f>
        <v>3.1324372051905462</v>
      </c>
    </row>
    <row r="138" spans="2:23" ht="14.4" x14ac:dyDescent="0.3">
      <c r="B138" s="46">
        <f ca="1">VALUE((Table22342102[[#This Row],[Column3]]-62))</f>
        <v>76</v>
      </c>
      <c r="C138" t="s">
        <v>144</v>
      </c>
      <c r="D138">
        <v>12.5</v>
      </c>
      <c r="E138"/>
      <c r="F138" s="81">
        <v>12.700098000000001</v>
      </c>
      <c r="G138" s="29">
        <f>Table22342102[[#This Row],[Ypred]]-Table22342102[[#This Row],[REF]]</f>
        <v>0.20009800000000055</v>
      </c>
      <c r="H138" s="29">
        <f>Table22342102[[#This Row],[X-Y]]-E$20</f>
        <v>-0.51738144499999983</v>
      </c>
      <c r="I138" s="29">
        <f>Table22342102[[#This Row],[Ypred]]-E$20</f>
        <v>11.982618555</v>
      </c>
      <c r="J138" s="29">
        <f>Table22342102[[#This Row],[Ypred]]*E$21+E$22</f>
        <v>11.78786486612402</v>
      </c>
      <c r="K138" s="56">
        <f>Table22342102[[#This Row],[Yest]]-Table22342102[[#This Row],[REF]]</f>
        <v>-0.71213513387598049</v>
      </c>
      <c r="L138" s="56">
        <f>ABS(Table22342102[[#This Row],[RESyx]])</f>
        <v>0.71213513387598049</v>
      </c>
      <c r="M138" s="29">
        <f>Table22342102[[#This Row],[Ypred]]*E$25+E$26</f>
        <v>11.938745102077336</v>
      </c>
      <c r="N138" s="29">
        <f>Table22342102[[#This Row],[X-Y]]^2</f>
        <v>4.0039209604000224E-2</v>
      </c>
      <c r="O138" s="57">
        <f>Table22342102[[#This Row],[yest_rect]]-Table22342102[[#This Row],[REF]]</f>
        <v>-0.56125489792266414</v>
      </c>
      <c r="P138" s="57">
        <f>Table22342102[[#This Row],[dif rec]]^2</f>
        <v>0.31500706044218013</v>
      </c>
      <c r="Q138" s="57">
        <f>ABS(Table22342102[[#This Row],[diff-bias]])</f>
        <v>0.51738144499999983</v>
      </c>
      <c r="R138" s="57">
        <f ca="1">CELL("row",Table22342102[[#This Row],[Position]])</f>
        <v>138</v>
      </c>
      <c r="S138" s="4">
        <f>Table22342102[[#This Row],[REF]]-D$13</f>
        <v>1.4899997499999991</v>
      </c>
      <c r="T138" s="4">
        <f>ABS(Table22342102[[#This Row],[lab-med]])</f>
        <v>1.4899997499999991</v>
      </c>
      <c r="U138" s="4">
        <f>Table22342102[[#This Row],[Ypred]]-F$13</f>
        <v>0.97612900000000025</v>
      </c>
      <c r="V138" s="4">
        <f>ABS(Table22342102[[#This Row],[anl-med]])</f>
        <v>0.97612900000000025</v>
      </c>
      <c r="W138" s="4">
        <f>Table22342102[[#This Row],[lab-med]]*Table22342102[[#This Row],[anl-med]]</f>
        <v>1.4544319659677494</v>
      </c>
    </row>
    <row r="139" spans="2:23" ht="14.4" x14ac:dyDescent="0.3">
      <c r="B139" s="46">
        <f ca="1">VALUE((Table22342102[[#This Row],[Column3]]-62))</f>
        <v>77</v>
      </c>
      <c r="C139" t="s">
        <v>145</v>
      </c>
      <c r="D139">
        <v>12.600000400000001</v>
      </c>
      <c r="E139"/>
      <c r="F139" s="81">
        <v>13.476639</v>
      </c>
      <c r="G139" s="29">
        <f>Table22342102[[#This Row],[Ypred]]-Table22342102[[#This Row],[REF]]</f>
        <v>0.87663859999999971</v>
      </c>
      <c r="H139" s="29">
        <f>Table22342102[[#This Row],[X-Y]]-E$20</f>
        <v>0.15915915499999933</v>
      </c>
      <c r="I139" s="29">
        <f>Table22342102[[#This Row],[Ypred]]-E$20</f>
        <v>12.759159555</v>
      </c>
      <c r="J139" s="29">
        <f>Table22342102[[#This Row],[Ypred]]*E$21+E$22</f>
        <v>12.391194313141719</v>
      </c>
      <c r="K139" s="56">
        <f>Table22342102[[#This Row],[Yest]]-Table22342102[[#This Row],[REF]]</f>
        <v>-0.2088060868582815</v>
      </c>
      <c r="L139" s="56">
        <f>ABS(Table22342102[[#This Row],[RESyx]])</f>
        <v>0.2088060868582815</v>
      </c>
      <c r="M139" s="29">
        <f>Table22342102[[#This Row],[Ypred]]*E$25+E$26</f>
        <v>12.676265588734095</v>
      </c>
      <c r="N139" s="29">
        <f>Table22342102[[#This Row],[X-Y]]^2</f>
        <v>0.76849523500995953</v>
      </c>
      <c r="O139" s="57">
        <f>Table22342102[[#This Row],[yest_rect]]-Table22342102[[#This Row],[REF]]</f>
        <v>7.626518873409438E-2</v>
      </c>
      <c r="P139" s="57">
        <f>Table22342102[[#This Row],[dif rec]]^2</f>
        <v>5.8163790126470362E-3</v>
      </c>
      <c r="Q139" s="57">
        <f>ABS(Table22342102[[#This Row],[diff-bias]])</f>
        <v>0.15915915499999933</v>
      </c>
      <c r="R139" s="57">
        <f ca="1">CELL("row",Table22342102[[#This Row],[Position]])</f>
        <v>139</v>
      </c>
      <c r="S139" s="4">
        <f>Table22342102[[#This Row],[REF]]-D$13</f>
        <v>1.5900001499999998</v>
      </c>
      <c r="T139" s="4">
        <f>ABS(Table22342102[[#This Row],[lab-med]])</f>
        <v>1.5900001499999998</v>
      </c>
      <c r="U139" s="4">
        <f>Table22342102[[#This Row],[Ypred]]-F$13</f>
        <v>1.7526700000000002</v>
      </c>
      <c r="V139" s="4">
        <f>ABS(Table22342102[[#This Row],[anl-med]])</f>
        <v>1.7526700000000002</v>
      </c>
      <c r="W139" s="4">
        <f>Table22342102[[#This Row],[lab-med]]*Table22342102[[#This Row],[anl-med]]</f>
        <v>2.7867455629004998</v>
      </c>
    </row>
    <row r="140" spans="2:23" ht="14.4" x14ac:dyDescent="0.3">
      <c r="B140" s="46">
        <f ca="1">VALUE((Table22342102[[#This Row],[Column3]]-62))</f>
        <v>78</v>
      </c>
      <c r="C140" t="s">
        <v>146</v>
      </c>
      <c r="D140">
        <v>12.670000099999999</v>
      </c>
      <c r="E140"/>
      <c r="F140" s="81">
        <v>12.929784</v>
      </c>
      <c r="G140" s="29">
        <f>Table22342102[[#This Row],[Ypred]]-Table22342102[[#This Row],[REF]]</f>
        <v>0.2597839000000004</v>
      </c>
      <c r="H140" s="29">
        <f>Table22342102[[#This Row],[X-Y]]-E$20</f>
        <v>-0.45769554499999998</v>
      </c>
      <c r="I140" s="29">
        <f>Table22342102[[#This Row],[Ypred]]-E$20</f>
        <v>12.212304554999999</v>
      </c>
      <c r="J140" s="29">
        <f>Table22342102[[#This Row],[Ypred]]*E$21+E$22</f>
        <v>11.966318196170606</v>
      </c>
      <c r="K140" s="56">
        <f>Table22342102[[#This Row],[Yest]]-Table22342102[[#This Row],[REF]]</f>
        <v>-0.70368190382939311</v>
      </c>
      <c r="L140" s="56">
        <f>ABS(Table22342102[[#This Row],[RESyx]])</f>
        <v>0.70368190382939311</v>
      </c>
      <c r="M140" s="29">
        <f>Table22342102[[#This Row],[Ypred]]*E$25+E$26</f>
        <v>12.156889579314525</v>
      </c>
      <c r="N140" s="29">
        <f>Table22342102[[#This Row],[X-Y]]^2</f>
        <v>6.7487674699210215E-2</v>
      </c>
      <c r="O140" s="57">
        <f>Table22342102[[#This Row],[yest_rect]]-Table22342102[[#This Row],[REF]]</f>
        <v>-0.51311052068547447</v>
      </c>
      <c r="P140" s="57">
        <f>Table22342102[[#This Row],[dif rec]]^2</f>
        <v>0.26328240643811873</v>
      </c>
      <c r="Q140" s="57">
        <f>ABS(Table22342102[[#This Row],[diff-bias]])</f>
        <v>0.45769554499999998</v>
      </c>
      <c r="R140" s="57">
        <f ca="1">CELL("row",Table22342102[[#This Row],[Position]])</f>
        <v>140</v>
      </c>
      <c r="S140" s="4">
        <f>Table22342102[[#This Row],[REF]]-D$13</f>
        <v>1.6599998499999984</v>
      </c>
      <c r="T140" s="4">
        <f>ABS(Table22342102[[#This Row],[lab-med]])</f>
        <v>1.6599998499999984</v>
      </c>
      <c r="U140" s="4">
        <f>Table22342102[[#This Row],[Ypred]]-F$13</f>
        <v>1.2058149999999994</v>
      </c>
      <c r="V140" s="4">
        <f>ABS(Table22342102[[#This Row],[anl-med]])</f>
        <v>1.2058149999999994</v>
      </c>
      <c r="W140" s="4">
        <f>Table22342102[[#This Row],[lab-med]]*Table22342102[[#This Row],[anl-med]]</f>
        <v>2.0016527191277471</v>
      </c>
    </row>
    <row r="141" spans="2:23" ht="14.4" x14ac:dyDescent="0.3">
      <c r="B141" s="46">
        <f ca="1">VALUE((Table22342102[[#This Row],[Column3]]-62))</f>
        <v>79</v>
      </c>
      <c r="C141" t="s">
        <v>147</v>
      </c>
      <c r="D141">
        <v>12.699999800000001</v>
      </c>
      <c r="E141"/>
      <c r="F141" s="81">
        <v>13.594367999999999</v>
      </c>
      <c r="G141" s="29">
        <f>Table22342102[[#This Row],[Ypred]]-Table22342102[[#This Row],[REF]]</f>
        <v>0.89436819999999884</v>
      </c>
      <c r="H141" s="29">
        <f>Table22342102[[#This Row],[X-Y]]-E$20</f>
        <v>0.17688875499999845</v>
      </c>
      <c r="I141" s="29">
        <f>Table22342102[[#This Row],[Ypred]]-E$20</f>
        <v>12.876888554999999</v>
      </c>
      <c r="J141" s="29">
        <f>Table22342102[[#This Row],[Ypred]]*E$21+E$22</f>
        <v>12.482663240690872</v>
      </c>
      <c r="K141" s="56">
        <f>Table22342102[[#This Row],[Yest]]-Table22342102[[#This Row],[REF]]</f>
        <v>-0.21733655930912832</v>
      </c>
      <c r="L141" s="56">
        <f>ABS(Table22342102[[#This Row],[RESyx]])</f>
        <v>0.21733655930912832</v>
      </c>
      <c r="M141" s="29">
        <f>Table22342102[[#This Row],[Ypred]]*E$25+E$26</f>
        <v>12.788078808349818</v>
      </c>
      <c r="N141" s="29">
        <f>Table22342102[[#This Row],[X-Y]]^2</f>
        <v>0.79989447717123796</v>
      </c>
      <c r="O141" s="57">
        <f>Table22342102[[#This Row],[yest_rect]]-Table22342102[[#This Row],[REF]]</f>
        <v>8.80790083498173E-2</v>
      </c>
      <c r="P141" s="57">
        <f>Table22342102[[#This Row],[dif rec]]^2</f>
        <v>7.7579117118871856E-3</v>
      </c>
      <c r="Q141" s="57">
        <f>ABS(Table22342102[[#This Row],[diff-bias]])</f>
        <v>0.17688875499999845</v>
      </c>
      <c r="R141" s="57">
        <f ca="1">CELL("row",Table22342102[[#This Row],[Position]])</f>
        <v>141</v>
      </c>
      <c r="S141" s="4">
        <f>Table22342102[[#This Row],[REF]]-D$13</f>
        <v>1.6899995499999996</v>
      </c>
      <c r="T141" s="4">
        <f>ABS(Table22342102[[#This Row],[lab-med]])</f>
        <v>1.6899995499999996</v>
      </c>
      <c r="U141" s="4">
        <f>Table22342102[[#This Row],[Ypred]]-F$13</f>
        <v>1.870398999999999</v>
      </c>
      <c r="V141" s="4">
        <f>ABS(Table22342102[[#This Row],[anl-med]])</f>
        <v>1.870398999999999</v>
      </c>
      <c r="W141" s="4">
        <f>Table22342102[[#This Row],[lab-med]]*Table22342102[[#This Row],[anl-med]]</f>
        <v>3.1609734683204476</v>
      </c>
    </row>
    <row r="142" spans="2:23" ht="14.4" x14ac:dyDescent="0.3">
      <c r="B142" s="46">
        <f ca="1">VALUE((Table22342102[[#This Row],[Column3]]-62))</f>
        <v>80</v>
      </c>
      <c r="C142" t="s">
        <v>148</v>
      </c>
      <c r="D142">
        <v>14.4300003</v>
      </c>
      <c r="E142"/>
      <c r="F142" s="81">
        <v>15.525518999999999</v>
      </c>
      <c r="G142" s="29">
        <f>Table22342102[[#This Row],[Ypred]]-Table22342102[[#This Row],[REF]]</f>
        <v>1.0955186999999995</v>
      </c>
      <c r="H142" s="29">
        <f>Table22342102[[#This Row],[X-Y]]-E$20</f>
        <v>0.37803925499999913</v>
      </c>
      <c r="I142" s="29">
        <f>Table22342102[[#This Row],[Ypred]]-E$20</f>
        <v>14.808039554999999</v>
      </c>
      <c r="J142" s="29">
        <f>Table22342102[[#This Row],[Ypred]]*E$21+E$22</f>
        <v>13.983060856448027</v>
      </c>
      <c r="K142" s="56">
        <f>Table22342102[[#This Row],[Yest]]-Table22342102[[#This Row],[REF]]</f>
        <v>-0.44693944355197246</v>
      </c>
      <c r="L142" s="56">
        <f>ABS(Table22342102[[#This Row],[RESyx]])</f>
        <v>0.44693944355197246</v>
      </c>
      <c r="M142" s="29">
        <f>Table22342102[[#This Row],[Ypred]]*E$25+E$26</f>
        <v>14.622191141539806</v>
      </c>
      <c r="N142" s="29">
        <f>Table22342102[[#This Row],[X-Y]]^2</f>
        <v>1.2001612220496889</v>
      </c>
      <c r="O142" s="57">
        <f>Table22342102[[#This Row],[yest_rect]]-Table22342102[[#This Row],[REF]]</f>
        <v>0.19219084153980681</v>
      </c>
      <c r="P142" s="57">
        <f>Table22342102[[#This Row],[dif rec]]^2</f>
        <v>3.6937319571779134E-2</v>
      </c>
      <c r="Q142" s="57">
        <f>ABS(Table22342102[[#This Row],[diff-bias]])</f>
        <v>0.37803925499999913</v>
      </c>
      <c r="R142" s="57">
        <f ca="1">CELL("row",Table22342102[[#This Row],[Position]])</f>
        <v>142</v>
      </c>
      <c r="S142" s="4">
        <f>Table22342102[[#This Row],[REF]]-D$13</f>
        <v>3.4200000499999987</v>
      </c>
      <c r="T142" s="4">
        <f>ABS(Table22342102[[#This Row],[lab-med]])</f>
        <v>3.4200000499999987</v>
      </c>
      <c r="U142" s="4">
        <f>Table22342102[[#This Row],[Ypred]]-F$13</f>
        <v>3.8015499999999989</v>
      </c>
      <c r="V142" s="4">
        <f>ABS(Table22342102[[#This Row],[anl-med]])</f>
        <v>3.8015499999999989</v>
      </c>
      <c r="W142" s="4">
        <f>Table22342102[[#This Row],[lab-med]]*Table22342102[[#This Row],[anl-med]]</f>
        <v>13.001301190077491</v>
      </c>
    </row>
  </sheetData>
  <mergeCells count="1">
    <mergeCell ref="C3:K3"/>
  </mergeCells>
  <conditionalFormatting sqref="F63:F142">
    <cfRule type="expression" dxfId="319" priority="2" stopIfTrue="1">
      <formula>ABS(F63-#REF!)/#REF!&gt;3</formula>
    </cfRule>
  </conditionalFormatting>
  <conditionalFormatting sqref="D68:D72">
    <cfRule type="expression" dxfId="318" priority="1" stopIfTrue="1">
      <formula>ABS(D68-#REF!)/#REF!&gt;3</formula>
    </cfRule>
  </conditionalFormatting>
  <pageMargins left="0.75" right="0.75" top="1" bottom="1" header="0.5" footer="0.5"/>
  <pageSetup paperSize="9" scale="65" orientation="portrait" r:id="rId1"/>
  <headerFooter alignWithMargins="0">
    <oddHeader>&amp;A</oddHeader>
    <oddFooter>&amp;F</oddFooter>
  </headerFooter>
  <rowBreaks count="1" manualBreakCount="1">
    <brk id="58" max="16383" man="1"/>
  </rowBreaks>
  <drawing r:id="rId2"/>
  <legacyDrawing r:id="rId3"/>
  <tableParts count="1">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4A7FB-E270-4DC4-9372-9F267A64002A}">
  <sheetPr>
    <pageSetUpPr fitToPage="1"/>
  </sheetPr>
  <dimension ref="B1:AB142"/>
  <sheetViews>
    <sheetView topLeftCell="A16" zoomScale="80" zoomScaleNormal="80" workbookViewId="0">
      <selection activeCell="C4" sqref="C4"/>
    </sheetView>
  </sheetViews>
  <sheetFormatPr defaultColWidth="8.88671875" defaultRowHeight="13.2" x14ac:dyDescent="0.25"/>
  <cols>
    <col min="1" max="1" width="3.109375" style="2" customWidth="1"/>
    <col min="2" max="2" width="9.44140625" style="2" customWidth="1"/>
    <col min="3" max="3" width="20.88671875" style="2" customWidth="1"/>
    <col min="4" max="4" width="15.44140625" style="61" customWidth="1"/>
    <col min="5" max="5" width="10.88671875" style="61" customWidth="1"/>
    <col min="6" max="6" width="13.5546875" style="61" customWidth="1"/>
    <col min="7" max="7" width="10.33203125" style="2" customWidth="1"/>
    <col min="8" max="8" width="13.33203125" style="2" customWidth="1"/>
    <col min="9" max="9" width="10.5546875" style="2" customWidth="1"/>
    <col min="10" max="10" width="15" style="2" customWidth="1"/>
    <col min="11" max="11" width="12.109375" style="3" customWidth="1"/>
    <col min="12" max="12" width="9.109375" style="3" customWidth="1"/>
    <col min="13" max="13" width="7.6640625" style="2" customWidth="1"/>
    <col min="14" max="14" width="7" style="2" customWidth="1"/>
    <col min="15" max="15" width="11.109375" style="2" customWidth="1"/>
    <col min="16" max="16" width="10.109375" style="2" customWidth="1"/>
    <col min="17" max="17" width="6.33203125" style="2" customWidth="1"/>
    <col min="18" max="20" width="8.88671875" style="2"/>
    <col min="21" max="21" width="9.33203125" style="2" customWidth="1"/>
    <col min="22" max="23" width="8.88671875" style="2"/>
    <col min="24" max="24" width="9.109375" style="2" customWidth="1"/>
    <col min="25" max="16384" width="8.88671875" style="2"/>
  </cols>
  <sheetData>
    <row r="1" spans="2:28" ht="15.6" customHeight="1" x14ac:dyDescent="0.25">
      <c r="B1" s="1"/>
      <c r="C1" s="1"/>
      <c r="D1" s="2"/>
      <c r="E1" s="1"/>
      <c r="F1" s="2"/>
      <c r="M1" s="3"/>
      <c r="N1" s="3"/>
      <c r="O1" s="3"/>
      <c r="P1" s="3"/>
      <c r="Q1" s="3"/>
      <c r="R1" s="3"/>
      <c r="S1" s="3"/>
      <c r="T1" s="3"/>
      <c r="U1" s="3"/>
      <c r="V1" s="3"/>
      <c r="W1" s="1" t="s">
        <v>53</v>
      </c>
    </row>
    <row r="2" spans="2:28" ht="6.6" customHeight="1" x14ac:dyDescent="0.3">
      <c r="D2" s="4"/>
      <c r="E2" s="4"/>
      <c r="F2" s="4"/>
      <c r="G2" s="5"/>
      <c r="H2" s="4"/>
      <c r="I2" s="4"/>
      <c r="J2" s="4"/>
      <c r="K2" s="6"/>
      <c r="L2" s="6"/>
      <c r="M2" s="6"/>
      <c r="N2" s="6"/>
      <c r="O2" s="6"/>
      <c r="P2" s="6"/>
      <c r="Q2" s="6"/>
      <c r="R2" s="6"/>
      <c r="S2" s="6"/>
      <c r="T2" s="6"/>
      <c r="U2" s="6"/>
      <c r="V2" s="6"/>
      <c r="W2" s="3"/>
    </row>
    <row r="3" spans="2:28" ht="20.399999999999999" x14ac:dyDescent="0.35">
      <c r="C3" s="98" t="s">
        <v>158</v>
      </c>
      <c r="D3" s="98"/>
      <c r="E3" s="98"/>
      <c r="F3" s="98"/>
      <c r="G3" s="98"/>
      <c r="H3" s="98"/>
      <c r="I3" s="98"/>
      <c r="J3" s="98"/>
      <c r="K3" s="98"/>
      <c r="L3" s="6"/>
      <c r="M3" s="6"/>
      <c r="N3" s="6"/>
      <c r="O3" s="6"/>
      <c r="P3" s="6"/>
      <c r="Q3" s="6"/>
      <c r="R3" s="6"/>
      <c r="S3" s="6"/>
      <c r="T3" s="6"/>
      <c r="U3" s="6"/>
      <c r="V3" s="6"/>
      <c r="W3" s="3"/>
    </row>
    <row r="4" spans="2:28" ht="7.2" customHeight="1" x14ac:dyDescent="0.25">
      <c r="D4" s="4"/>
      <c r="E4" s="4"/>
      <c r="F4" s="4"/>
      <c r="G4" s="4"/>
      <c r="H4" s="4"/>
      <c r="I4" s="4"/>
      <c r="J4" s="4"/>
      <c r="K4" s="6"/>
      <c r="L4" s="6"/>
      <c r="M4" s="6"/>
      <c r="N4" s="6"/>
      <c r="O4" s="6"/>
      <c r="P4" s="6"/>
      <c r="Q4" s="6"/>
      <c r="R4" s="6"/>
      <c r="S4" s="6"/>
      <c r="T4" s="6"/>
      <c r="U4" s="6"/>
      <c r="V4" s="6"/>
      <c r="W4" s="36"/>
      <c r="X4" s="30"/>
      <c r="Y4" s="30"/>
      <c r="Z4" s="30"/>
      <c r="AA4" s="30"/>
      <c r="AB4" s="30"/>
    </row>
    <row r="5" spans="2:28" ht="7.95" customHeight="1" thickBot="1" x14ac:dyDescent="0.3">
      <c r="D5" s="4"/>
      <c r="E5" s="4"/>
      <c r="F5" s="4"/>
      <c r="G5" s="4"/>
      <c r="H5" s="4"/>
      <c r="I5" s="4"/>
      <c r="J5" s="4"/>
      <c r="K5" s="6"/>
      <c r="L5" s="6"/>
      <c r="M5" s="6"/>
      <c r="N5" s="6"/>
      <c r="O5" s="6"/>
      <c r="P5" s="6"/>
      <c r="Q5" s="6"/>
      <c r="R5" s="6"/>
      <c r="S5" s="6"/>
      <c r="T5" s="6"/>
      <c r="U5" s="6"/>
      <c r="V5" s="6"/>
      <c r="W5" s="36"/>
      <c r="X5" s="30"/>
      <c r="Y5" s="30"/>
      <c r="Z5" s="30"/>
      <c r="AA5" s="30"/>
      <c r="AB5" s="30"/>
    </row>
    <row r="6" spans="2:28" ht="17.399999999999999" x14ac:dyDescent="0.3">
      <c r="B6" s="47"/>
      <c r="C6" s="48" t="str">
        <f>CONCATENATE(D62," = f (",F62," )")</f>
        <v>REF = f (yval )</v>
      </c>
      <c r="D6" s="49"/>
      <c r="E6" s="48"/>
      <c r="F6" s="48"/>
      <c r="G6" s="8"/>
      <c r="H6" s="65" t="s">
        <v>38</v>
      </c>
      <c r="I6" s="7"/>
      <c r="J6" s="8"/>
      <c r="M6" s="3"/>
      <c r="N6" s="3"/>
      <c r="O6" s="3"/>
      <c r="P6" s="3"/>
      <c r="Q6" s="3"/>
      <c r="R6" s="3"/>
      <c r="S6" s="3"/>
      <c r="T6" s="3"/>
      <c r="U6" s="3"/>
      <c r="V6" s="3"/>
      <c r="W6" s="36"/>
      <c r="X6" s="30"/>
      <c r="Y6" s="30"/>
      <c r="Z6" s="30"/>
      <c r="AA6" s="30"/>
      <c r="AB6" s="30"/>
    </row>
    <row r="7" spans="2:28" ht="17.399999999999999" x14ac:dyDescent="0.3">
      <c r="B7" s="50"/>
      <c r="C7" s="36"/>
      <c r="D7" s="45" t="str">
        <f>D62</f>
        <v>REF</v>
      </c>
      <c r="E7" s="45"/>
      <c r="F7" s="45" t="str">
        <f>F62</f>
        <v>yval</v>
      </c>
      <c r="G7" s="10"/>
      <c r="H7" s="66" t="s">
        <v>22</v>
      </c>
      <c r="I7" s="9">
        <v>500</v>
      </c>
      <c r="J7" s="10"/>
      <c r="M7" s="3"/>
      <c r="N7" s="3"/>
      <c r="O7" s="3"/>
      <c r="P7" s="3"/>
      <c r="Q7" s="3"/>
      <c r="R7" s="3"/>
      <c r="S7" s="3"/>
      <c r="T7" s="3"/>
      <c r="U7" s="3"/>
      <c r="V7" s="3"/>
      <c r="W7" s="36"/>
      <c r="X7" s="30" t="s">
        <v>30</v>
      </c>
      <c r="Y7" s="30"/>
      <c r="Z7" s="30"/>
      <c r="AA7" s="30"/>
      <c r="AB7" s="30"/>
    </row>
    <row r="8" spans="2:28" ht="17.399999999999999" x14ac:dyDescent="0.3">
      <c r="B8" s="50"/>
      <c r="C8" s="51" t="s">
        <v>22</v>
      </c>
      <c r="D8" s="23"/>
      <c r="E8" s="45">
        <f>COUNT(Table223421023[REF])</f>
        <v>80</v>
      </c>
      <c r="F8" s="23"/>
      <c r="G8" s="10"/>
      <c r="H8" s="66" t="s">
        <v>39</v>
      </c>
      <c r="I8" s="9">
        <v>1.2</v>
      </c>
      <c r="J8" s="10"/>
      <c r="M8" s="3"/>
      <c r="N8" s="3"/>
      <c r="O8" s="3"/>
      <c r="P8" s="3"/>
      <c r="Q8" s="3"/>
      <c r="R8" s="3"/>
      <c r="S8" s="3"/>
      <c r="T8" s="3"/>
      <c r="U8" s="3"/>
      <c r="V8" s="3"/>
      <c r="W8" s="36"/>
      <c r="X8" s="37">
        <f>62+E8</f>
        <v>142</v>
      </c>
      <c r="Y8" s="30"/>
      <c r="Z8" s="38"/>
      <c r="AA8" s="30"/>
      <c r="AB8" s="30"/>
    </row>
    <row r="9" spans="2:28" ht="16.2" thickBot="1" x14ac:dyDescent="0.35">
      <c r="B9" s="50"/>
      <c r="C9" s="51" t="s">
        <v>6</v>
      </c>
      <c r="D9" s="24">
        <f>AVERAGE(Table223421023[REF])</f>
        <v>11.109499980000002</v>
      </c>
      <c r="E9" s="24"/>
      <c r="F9" s="24">
        <f>AVERAGE(Table223421023[yval])</f>
        <v>11.88799696419999</v>
      </c>
      <c r="G9" s="69"/>
      <c r="H9" s="67" t="s">
        <v>43</v>
      </c>
      <c r="I9" s="13"/>
      <c r="J9" s="14">
        <v>12</v>
      </c>
      <c r="M9" s="3"/>
      <c r="N9" s="3"/>
      <c r="O9" s="3"/>
      <c r="P9" s="3"/>
      <c r="Q9" s="3"/>
      <c r="R9" s="3"/>
      <c r="S9" s="3"/>
      <c r="T9" s="3"/>
      <c r="U9" s="3"/>
      <c r="V9" s="3"/>
      <c r="W9" s="56"/>
      <c r="X9" s="30"/>
      <c r="Y9" s="30"/>
      <c r="Z9" s="30"/>
      <c r="AA9" s="30"/>
      <c r="AB9" s="30"/>
    </row>
    <row r="10" spans="2:28" ht="16.2" thickBot="1" x14ac:dyDescent="0.35">
      <c r="B10" s="50"/>
      <c r="C10" s="51" t="s">
        <v>7</v>
      </c>
      <c r="D10" s="24">
        <f>MIN(Table223421023[REF])</f>
        <v>8.9700003000000006</v>
      </c>
      <c r="E10" s="24">
        <f>ROUNDDOWN(MIN(D10,F10),0)</f>
        <v>5</v>
      </c>
      <c r="F10" s="24">
        <f>MIN(Table223421023[yval])</f>
        <v>5.7431370819267809</v>
      </c>
      <c r="G10" s="70"/>
      <c r="H10" s="68" t="s">
        <v>40</v>
      </c>
      <c r="I10" s="15">
        <v>0.05</v>
      </c>
      <c r="J10" s="16"/>
      <c r="M10" s="3"/>
      <c r="N10" s="3"/>
      <c r="O10" s="3"/>
      <c r="P10" s="3"/>
      <c r="Q10" s="3"/>
      <c r="R10" s="3"/>
      <c r="S10" s="3"/>
      <c r="T10" s="3"/>
      <c r="U10" s="3"/>
      <c r="V10" s="3"/>
      <c r="W10" s="56">
        <f>E10+E20</f>
        <v>5.7784969841999878</v>
      </c>
      <c r="X10" s="30"/>
      <c r="Y10" s="30"/>
      <c r="Z10" s="30"/>
      <c r="AA10" s="30"/>
      <c r="AB10" s="30"/>
    </row>
    <row r="11" spans="2:28" ht="15.6" x14ac:dyDescent="0.3">
      <c r="B11" s="50"/>
      <c r="C11" s="51" t="s">
        <v>8</v>
      </c>
      <c r="D11" s="24">
        <f>MAX(Table223421023[REF])</f>
        <v>14.4300003</v>
      </c>
      <c r="E11" s="24">
        <f>ROUNDUP(MAX(D11,F11),0)+1</f>
        <v>18</v>
      </c>
      <c r="F11" s="24">
        <f>MAX(Table223421023[yval])</f>
        <v>16.42485527504062</v>
      </c>
      <c r="G11" s="70"/>
      <c r="H11" s="28" t="s">
        <v>41</v>
      </c>
      <c r="I11" s="29">
        <f>TINV(I10,E8)</f>
        <v>1.9900634212544475</v>
      </c>
      <c r="J11" s="29"/>
      <c r="K11" s="36"/>
      <c r="M11" s="3"/>
      <c r="N11" s="3"/>
      <c r="O11" s="3"/>
      <c r="P11" s="3"/>
      <c r="Q11" s="3"/>
      <c r="R11" s="3"/>
      <c r="S11" s="3"/>
      <c r="T11" s="3"/>
      <c r="U11" s="3"/>
      <c r="V11" s="3"/>
      <c r="W11" s="56">
        <f>E11+E20</f>
        <v>18.77849698419999</v>
      </c>
      <c r="X11" s="30"/>
      <c r="Y11" s="30"/>
      <c r="Z11" s="30"/>
      <c r="AA11" s="30"/>
      <c r="AB11" s="30"/>
    </row>
    <row r="12" spans="2:28" ht="15.6" x14ac:dyDescent="0.3">
      <c r="B12" s="50"/>
      <c r="C12" s="51" t="s">
        <v>9</v>
      </c>
      <c r="D12" s="25">
        <f>STDEV(Table223421023[REF])</f>
        <v>1.1729049824811564</v>
      </c>
      <c r="E12" s="25"/>
      <c r="F12" s="24">
        <f>STDEV(Table223421023[yval])</f>
        <v>2.0323717957738516</v>
      </c>
      <c r="G12" s="69"/>
      <c r="H12" s="28" t="s">
        <v>42</v>
      </c>
      <c r="I12" s="29">
        <f>FINV(I10,E8-1,I7-1-J9)</f>
        <v>1.305795130911809</v>
      </c>
      <c r="J12" s="30"/>
      <c r="K12" s="36"/>
      <c r="M12" s="3"/>
      <c r="N12" s="3"/>
      <c r="O12" s="3"/>
      <c r="P12" s="3"/>
      <c r="Q12" s="3"/>
      <c r="R12" s="3"/>
      <c r="S12" s="3"/>
      <c r="T12" s="3"/>
      <c r="U12" s="3"/>
      <c r="V12" s="3"/>
      <c r="W12" s="36"/>
      <c r="X12" s="30"/>
      <c r="Y12" s="30"/>
      <c r="Z12" s="30"/>
      <c r="AA12" s="30"/>
      <c r="AB12" s="30"/>
    </row>
    <row r="13" spans="2:28" ht="15.6" x14ac:dyDescent="0.3">
      <c r="B13" s="50"/>
      <c r="C13" s="51" t="s">
        <v>56</v>
      </c>
      <c r="D13" s="24">
        <f>MEDIAN(Table223421023[REF])</f>
        <v>11.010000250000001</v>
      </c>
      <c r="E13" s="25"/>
      <c r="F13" s="24">
        <f>MEDIAN(Table223421023[yval])</f>
        <v>11.967787398004202</v>
      </c>
      <c r="G13" s="69"/>
      <c r="H13" s="28"/>
      <c r="I13" s="29"/>
      <c r="J13" s="30"/>
      <c r="K13" s="36"/>
      <c r="M13" s="3"/>
      <c r="N13" s="3"/>
      <c r="O13" s="3"/>
      <c r="P13" s="3"/>
      <c r="Q13" s="3"/>
      <c r="R13" s="3"/>
      <c r="S13" s="3"/>
      <c r="T13" s="3"/>
      <c r="U13" s="3"/>
      <c r="V13" s="3"/>
      <c r="W13" s="36"/>
      <c r="X13" s="30"/>
      <c r="Y13" s="30"/>
      <c r="Z13" s="30"/>
      <c r="AA13" s="30"/>
      <c r="AB13" s="30"/>
    </row>
    <row r="14" spans="2:28" ht="15.6" x14ac:dyDescent="0.3">
      <c r="B14" s="50"/>
      <c r="C14" s="51" t="s">
        <v>57</v>
      </c>
      <c r="D14" s="25">
        <f>1.4826*(MEDIAN(Table223421023[abs(lab)]))</f>
        <v>1.4677736293499986</v>
      </c>
      <c r="E14" s="25"/>
      <c r="F14" s="24">
        <f>1.4826*MEDIAN(Table223421023[abs(anl)])</f>
        <v>1.860566472613997</v>
      </c>
      <c r="G14" s="75"/>
      <c r="H14" s="28"/>
      <c r="I14" s="29"/>
      <c r="J14" s="30"/>
      <c r="K14" s="36"/>
      <c r="M14" s="3"/>
      <c r="N14" s="3"/>
      <c r="O14" s="3"/>
      <c r="P14" s="3"/>
      <c r="Q14" s="3"/>
      <c r="R14" s="3"/>
      <c r="S14" s="3"/>
      <c r="T14" s="3"/>
      <c r="U14" s="3"/>
      <c r="V14" s="3"/>
      <c r="W14" s="36"/>
      <c r="X14" s="30"/>
      <c r="Y14" s="30"/>
      <c r="Z14" s="30"/>
      <c r="AA14" s="30"/>
      <c r="AB14" s="30"/>
    </row>
    <row r="15" spans="2:28" ht="15.6" x14ac:dyDescent="0.3">
      <c r="B15" s="50"/>
      <c r="C15" s="51"/>
      <c r="D15" s="25"/>
      <c r="E15" s="25"/>
      <c r="F15" s="24" t="s">
        <v>63</v>
      </c>
      <c r="G15" s="69"/>
      <c r="H15" s="28"/>
      <c r="I15" s="29"/>
      <c r="J15" s="30"/>
      <c r="K15" s="36"/>
      <c r="M15" s="3"/>
      <c r="N15" s="3"/>
      <c r="O15" s="3"/>
      <c r="P15" s="3"/>
      <c r="Q15" s="3"/>
      <c r="R15" s="3"/>
      <c r="S15" s="3"/>
      <c r="T15" s="3"/>
      <c r="U15" s="3"/>
      <c r="V15" s="3"/>
      <c r="W15" s="36"/>
      <c r="X15" s="30"/>
      <c r="Y15" s="30"/>
      <c r="Z15" s="30"/>
      <c r="AA15" s="30"/>
      <c r="AB15" s="30"/>
    </row>
    <row r="16" spans="2:28" ht="17.399999999999999" x14ac:dyDescent="0.3">
      <c r="B16" s="50"/>
      <c r="C16" s="51" t="s">
        <v>10</v>
      </c>
      <c r="D16" s="25"/>
      <c r="E16" s="26">
        <f>SQRT(AVERAGE(Table223421023[dif^2]))</f>
        <v>2.2456575561908934</v>
      </c>
      <c r="F16" s="72">
        <f>SQRT(F18^2+E20^2)</f>
        <v>2.2116704801224003</v>
      </c>
      <c r="G16" s="10"/>
      <c r="H16" s="31"/>
      <c r="I16" s="30"/>
      <c r="J16" s="31"/>
      <c r="K16" s="44"/>
      <c r="M16" s="3"/>
      <c r="N16" s="3"/>
      <c r="O16" s="3"/>
      <c r="P16" s="3"/>
      <c r="Q16" s="3"/>
      <c r="R16" s="3"/>
      <c r="S16" s="3"/>
      <c r="T16" s="3"/>
      <c r="U16" s="3"/>
      <c r="V16" s="3"/>
      <c r="W16" s="36"/>
      <c r="X16" s="30"/>
      <c r="Y16" s="30"/>
      <c r="Z16" s="30"/>
      <c r="AA16" s="30"/>
      <c r="AB16" s="30"/>
    </row>
    <row r="17" spans="2:28" ht="21" x14ac:dyDescent="0.4">
      <c r="B17" s="50"/>
      <c r="C17" s="51" t="s">
        <v>55</v>
      </c>
      <c r="D17" s="3"/>
      <c r="E17" s="26"/>
      <c r="F17" s="26">
        <f>MEDIAN(Table223421023[abs_errors])</f>
        <v>1.3962820150012512</v>
      </c>
      <c r="G17" s="10"/>
      <c r="H17" s="32"/>
      <c r="I17" s="33"/>
      <c r="J17" s="34"/>
      <c r="K17" s="54"/>
      <c r="M17" s="3"/>
      <c r="N17" s="3"/>
      <c r="O17" s="3"/>
      <c r="P17" s="3"/>
      <c r="Q17" s="3"/>
      <c r="R17" s="3"/>
      <c r="S17" s="3"/>
      <c r="T17" s="3"/>
      <c r="U17" s="3"/>
      <c r="V17" s="3"/>
      <c r="W17" s="36"/>
      <c r="X17" s="30"/>
      <c r="Y17" s="30"/>
      <c r="Z17" s="30"/>
      <c r="AA17" s="30"/>
      <c r="AB17" s="30"/>
    </row>
    <row r="18" spans="2:28" ht="21" x14ac:dyDescent="0.4">
      <c r="B18" s="50"/>
      <c r="C18" s="51" t="s">
        <v>11</v>
      </c>
      <c r="D18" s="25"/>
      <c r="E18" s="26">
        <f>STDEV(Table223421023[X-Y])</f>
        <v>2.1196895653460044</v>
      </c>
      <c r="F18" s="26">
        <f>1.4826*MEDIAN(Table223421023[abs_errors])</f>
        <v>2.0701277154408548</v>
      </c>
      <c r="G18" s="10"/>
      <c r="H18" s="32" t="s">
        <v>44</v>
      </c>
      <c r="I18" s="33">
        <f>I8*I12</f>
        <v>1.5669541570941707</v>
      </c>
      <c r="J18" s="34" t="str">
        <f>IF(E18&gt;I18,"S"," ns ")</f>
        <v>S</v>
      </c>
      <c r="K18" s="36"/>
      <c r="M18" s="3"/>
      <c r="N18" s="3"/>
      <c r="O18" s="3"/>
      <c r="P18" s="3"/>
      <c r="Q18" s="3"/>
      <c r="R18" s="3"/>
      <c r="S18" s="3"/>
      <c r="T18" s="3"/>
      <c r="U18" s="3"/>
      <c r="V18" s="3"/>
      <c r="W18" s="36"/>
      <c r="X18" s="30" t="s">
        <v>28</v>
      </c>
      <c r="Y18" s="30" t="s">
        <v>27</v>
      </c>
      <c r="Z18" s="30"/>
      <c r="AA18" s="30"/>
      <c r="AB18" s="30"/>
    </row>
    <row r="19" spans="2:28" ht="17.399999999999999" x14ac:dyDescent="0.3">
      <c r="B19" s="50"/>
      <c r="C19" s="51" t="s">
        <v>12</v>
      </c>
      <c r="D19" s="25"/>
      <c r="E19" s="26">
        <f>STEYX(Table223421023[REF],Table223421023[yval])</f>
        <v>1.1534378287108253</v>
      </c>
      <c r="F19" s="26">
        <f>1.4826*MEDIAN(Table223421023[Abs_erroryx])</f>
        <v>1.2699536180683348</v>
      </c>
      <c r="G19" s="10"/>
      <c r="H19" s="32"/>
      <c r="I19" s="33"/>
      <c r="J19" s="30"/>
      <c r="K19" s="36"/>
      <c r="M19" s="3"/>
      <c r="N19" s="3"/>
      <c r="O19" s="3"/>
      <c r="P19" s="3"/>
      <c r="Q19" s="3"/>
      <c r="R19" s="3"/>
      <c r="S19" s="3"/>
      <c r="T19" s="3"/>
      <c r="U19" s="3"/>
      <c r="V19" s="3"/>
      <c r="W19" s="36" t="s">
        <v>24</v>
      </c>
      <c r="X19" s="35">
        <f>E$26+E$25*E10</f>
        <v>7.134358238993368</v>
      </c>
      <c r="Y19" s="30">
        <f>E10</f>
        <v>5</v>
      </c>
      <c r="Z19" s="30"/>
      <c r="AA19" s="30"/>
      <c r="AB19" s="30"/>
    </row>
    <row r="20" spans="2:28" ht="21" x14ac:dyDescent="0.4">
      <c r="B20" s="50"/>
      <c r="C20" s="51" t="s">
        <v>16</v>
      </c>
      <c r="D20" s="25"/>
      <c r="E20" s="72">
        <f>F9-D9</f>
        <v>0.77849698419998781</v>
      </c>
      <c r="F20" s="26">
        <f>F13-D13</f>
        <v>0.95778714800420062</v>
      </c>
      <c r="G20" s="10"/>
      <c r="H20" s="32" t="s">
        <v>46</v>
      </c>
      <c r="I20" s="33">
        <f>ABS(E20/(SQRT(SUM(Table223421023[dif^2])/(E8*(E8-1)))))</f>
        <v>3.0812500907752667</v>
      </c>
      <c r="J20" s="34" t="str">
        <f>IF(I20&gt;I11,"S","ns")</f>
        <v>S</v>
      </c>
      <c r="K20" s="36"/>
      <c r="M20" s="3"/>
      <c r="N20" s="3"/>
      <c r="O20" s="3"/>
      <c r="P20" s="3"/>
      <c r="Q20" s="3"/>
      <c r="R20" s="3"/>
      <c r="S20" s="3"/>
      <c r="T20" s="3"/>
      <c r="U20" s="3"/>
      <c r="V20" s="3"/>
      <c r="W20" s="36" t="s">
        <v>25</v>
      </c>
      <c r="X20" s="35">
        <f>E$26+E$25*E11</f>
        <v>14.636806759466587</v>
      </c>
      <c r="Y20" s="30">
        <f>E11</f>
        <v>18</v>
      </c>
      <c r="Z20" s="30"/>
      <c r="AA20" s="30"/>
      <c r="AB20" s="30"/>
    </row>
    <row r="21" spans="2:28" ht="21" x14ac:dyDescent="0.4">
      <c r="B21" s="50"/>
      <c r="C21" s="51" t="s">
        <v>13</v>
      </c>
      <c r="D21" s="25"/>
      <c r="E21" s="26">
        <f>SLOPE(Table223421023[REF],Table223421023[yval])</f>
        <v>0.12264238557878845</v>
      </c>
      <c r="F21" s="26"/>
      <c r="G21" s="10"/>
      <c r="H21" s="32" t="s">
        <v>45</v>
      </c>
      <c r="I21" s="33">
        <f>ABS(E21-1)*SQRT((E8-1)*F12^2/E19^2)</f>
        <v>13.740393299084866</v>
      </c>
      <c r="J21" s="34" t="str">
        <f>IF(I21&gt;I11,"S"," ns  ")</f>
        <v>S</v>
      </c>
      <c r="K21" s="55"/>
      <c r="M21" s="3"/>
      <c r="N21" s="3"/>
      <c r="O21" s="3"/>
      <c r="P21" s="3"/>
      <c r="Q21" s="3"/>
      <c r="R21" s="3"/>
      <c r="S21" s="3"/>
      <c r="T21" s="3"/>
      <c r="U21" s="3"/>
      <c r="V21" s="3"/>
      <c r="W21" s="36" t="s">
        <v>26</v>
      </c>
      <c r="X21" s="30">
        <f>E$26+E$25*F9</f>
        <v>11.109499980000002</v>
      </c>
      <c r="Y21" s="29">
        <f>F9</f>
        <v>11.88799696419999</v>
      </c>
      <c r="Z21" s="30"/>
      <c r="AA21" s="30"/>
      <c r="AB21" s="30"/>
    </row>
    <row r="22" spans="2:28" ht="17.399999999999999" x14ac:dyDescent="0.3">
      <c r="B22" s="50"/>
      <c r="C22" s="51" t="s">
        <v>14</v>
      </c>
      <c r="D22" s="25"/>
      <c r="E22" s="26">
        <f>INTERCEPT(Table223421023[REF],Table223421023[yval])</f>
        <v>9.6515276725571209</v>
      </c>
      <c r="F22" s="26"/>
      <c r="G22" s="10"/>
      <c r="H22" s="30"/>
      <c r="I22" s="30"/>
      <c r="J22" s="30"/>
      <c r="K22" s="36"/>
      <c r="M22" s="3"/>
      <c r="N22" s="3"/>
      <c r="O22" s="3"/>
      <c r="P22" s="3"/>
      <c r="Q22" s="3"/>
      <c r="R22" s="3"/>
      <c r="S22" s="3"/>
      <c r="T22" s="3"/>
      <c r="U22" s="3"/>
      <c r="V22" s="3"/>
      <c r="W22" s="36"/>
      <c r="X22" s="30"/>
      <c r="Y22" s="30"/>
      <c r="Z22" s="30"/>
      <c r="AA22" s="30"/>
      <c r="AB22" s="30"/>
    </row>
    <row r="23" spans="2:28" ht="22.8" x14ac:dyDescent="0.4">
      <c r="B23" s="50"/>
      <c r="C23" s="51" t="s">
        <v>15</v>
      </c>
      <c r="D23" s="25"/>
      <c r="E23" s="80">
        <f>RSQ(Table223421023[REF],Table223421023[yval])</f>
        <v>4.5160821732221294E-2</v>
      </c>
      <c r="F23" s="26">
        <f>(D12^2-F19^2)/D12^2</f>
        <v>-0.1723304813961411</v>
      </c>
      <c r="G23" s="10"/>
      <c r="H23" s="32"/>
      <c r="I23" s="33"/>
      <c r="J23" s="30"/>
      <c r="K23" s="36"/>
      <c r="M23" s="3"/>
      <c r="N23" s="3"/>
      <c r="O23" s="3"/>
      <c r="P23" s="3"/>
      <c r="Q23" s="3"/>
      <c r="R23" s="3"/>
      <c r="S23" s="3"/>
      <c r="T23" s="3"/>
      <c r="U23" s="3"/>
      <c r="V23" s="3"/>
      <c r="W23" s="36"/>
      <c r="X23" s="30"/>
      <c r="Y23" s="30"/>
      <c r="Z23" s="30"/>
      <c r="AA23" s="30"/>
      <c r="AB23" s="30"/>
    </row>
    <row r="24" spans="2:28" ht="17.399999999999999" x14ac:dyDescent="0.3">
      <c r="B24" s="50"/>
      <c r="C24" s="51" t="s">
        <v>29</v>
      </c>
      <c r="D24" s="23"/>
      <c r="E24" s="26">
        <f>1/SQRT(1-E23)</f>
        <v>1.023375191868956</v>
      </c>
      <c r="F24" s="26">
        <f>1/SQRT(1-F23)</f>
        <v>0.9235809605906754</v>
      </c>
      <c r="G24" s="10"/>
      <c r="H24" s="76" t="s">
        <v>64</v>
      </c>
      <c r="I24" s="77">
        <f>D12/E19</f>
        <v>1.0168775059095201</v>
      </c>
      <c r="J24" s="30"/>
      <c r="K24" s="36"/>
      <c r="M24" s="3"/>
      <c r="N24" s="3"/>
      <c r="O24" s="3"/>
      <c r="P24" s="3"/>
      <c r="Q24" s="3"/>
      <c r="R24" s="3"/>
      <c r="S24" s="3"/>
      <c r="T24" s="3"/>
      <c r="U24" s="3"/>
      <c r="V24" s="3"/>
      <c r="W24" s="36"/>
      <c r="X24" s="30"/>
      <c r="Y24" s="30"/>
      <c r="Z24" s="30"/>
      <c r="AA24" s="30"/>
      <c r="AB24" s="30"/>
    </row>
    <row r="25" spans="2:28" ht="17.399999999999999" x14ac:dyDescent="0.3">
      <c r="B25" s="50"/>
      <c r="C25" s="51" t="s">
        <v>17</v>
      </c>
      <c r="D25" s="23"/>
      <c r="E25" s="26">
        <f>(D12/F12)</f>
        <v>0.57711142465178611</v>
      </c>
      <c r="F25" s="45"/>
      <c r="G25" s="10"/>
      <c r="H25" s="32" t="s">
        <v>47</v>
      </c>
      <c r="I25" s="62">
        <f>QUARTILE(Table223421023[abs_errors],3)</f>
        <v>2.3849212235437349</v>
      </c>
      <c r="J25" s="30"/>
      <c r="K25" s="36"/>
      <c r="M25" s="3"/>
      <c r="N25" s="3"/>
      <c r="O25" s="3"/>
      <c r="P25" s="3"/>
      <c r="Q25" s="3"/>
      <c r="R25" s="3"/>
      <c r="S25" s="3"/>
      <c r="T25" s="3"/>
      <c r="U25" s="3"/>
      <c r="V25" s="3"/>
      <c r="W25" s="36" t="s">
        <v>19</v>
      </c>
      <c r="X25" s="30">
        <f>COVAR(Table223421023[REF],Table223421023[yval])</f>
        <v>0.50024644687003095</v>
      </c>
      <c r="Y25" s="30"/>
      <c r="Z25" s="30"/>
      <c r="AA25" s="30"/>
      <c r="AB25" s="30"/>
    </row>
    <row r="26" spans="2:28" ht="17.399999999999999" x14ac:dyDescent="0.3">
      <c r="B26" s="50"/>
      <c r="C26" s="51" t="s">
        <v>18</v>
      </c>
      <c r="D26" s="23"/>
      <c r="E26" s="26">
        <f>D9-E25*F9</f>
        <v>4.2488011157344374</v>
      </c>
      <c r="F26" s="45"/>
      <c r="G26" s="10"/>
      <c r="M26" s="3"/>
      <c r="N26" s="3"/>
      <c r="O26" s="3"/>
      <c r="P26" s="3"/>
      <c r="Q26" s="3"/>
      <c r="R26" s="3"/>
      <c r="S26" s="3"/>
      <c r="T26" s="3"/>
      <c r="U26" s="3"/>
      <c r="V26" s="3"/>
      <c r="W26" s="36" t="s">
        <v>20</v>
      </c>
      <c r="X26" s="30">
        <f>SIGN(X25)</f>
        <v>1</v>
      </c>
      <c r="Y26" s="30"/>
      <c r="Z26" s="30"/>
      <c r="AA26" s="30"/>
      <c r="AB26" s="30"/>
    </row>
    <row r="27" spans="2:28" ht="18" thickBot="1" x14ac:dyDescent="0.35">
      <c r="B27" s="52"/>
      <c r="C27" s="53" t="s">
        <v>21</v>
      </c>
      <c r="D27" s="27"/>
      <c r="E27" s="73">
        <f>SQRT(AVERAGE(Table223421023[dif_rec^2]))</f>
        <v>1.462745249231644</v>
      </c>
      <c r="F27" s="74"/>
      <c r="G27" s="71"/>
      <c r="M27" s="3"/>
      <c r="N27" s="3"/>
      <c r="O27" s="3"/>
      <c r="P27" s="3"/>
      <c r="Q27" s="3"/>
      <c r="R27" s="3"/>
      <c r="S27" s="3"/>
      <c r="T27" s="3"/>
      <c r="U27" s="3"/>
      <c r="V27" s="3"/>
      <c r="W27" s="36"/>
      <c r="X27" s="30"/>
      <c r="Y27" s="30"/>
      <c r="Z27" s="30"/>
      <c r="AA27" s="30"/>
      <c r="AB27" s="30"/>
    </row>
    <row r="28" spans="2:28" ht="15.6" x14ac:dyDescent="0.3">
      <c r="B28" s="3"/>
      <c r="C28" s="11"/>
      <c r="D28" s="12"/>
      <c r="E28" s="18"/>
      <c r="F28" s="12"/>
      <c r="M28" s="3"/>
      <c r="N28" s="3"/>
      <c r="O28" s="3"/>
      <c r="P28" s="3"/>
      <c r="Q28" s="3"/>
      <c r="R28" s="3"/>
      <c r="S28" s="3"/>
      <c r="T28" s="3"/>
      <c r="U28" s="3"/>
      <c r="V28" s="3"/>
      <c r="W28" s="36"/>
      <c r="X28" s="30"/>
      <c r="Y28" s="30"/>
      <c r="Z28" s="30"/>
      <c r="AA28" s="30"/>
      <c r="AB28" s="30"/>
    </row>
    <row r="29" spans="2:28" ht="17.399999999999999" x14ac:dyDescent="0.3">
      <c r="C29" s="19"/>
      <c r="D29" s="3"/>
      <c r="E29" s="17"/>
      <c r="F29" s="3"/>
      <c r="M29" s="3"/>
      <c r="N29" s="3"/>
      <c r="O29" s="3"/>
      <c r="P29" s="3"/>
      <c r="Q29" s="3"/>
      <c r="R29" s="3"/>
      <c r="S29" s="3"/>
      <c r="T29" s="3"/>
      <c r="U29" s="3"/>
      <c r="V29" s="3"/>
      <c r="W29" s="44" t="s">
        <v>54</v>
      </c>
      <c r="X29" s="37">
        <f>MIN(Table223421023[X-Y])</f>
        <v>-6.9568627180732197</v>
      </c>
      <c r="Y29" s="30">
        <f>X29</f>
        <v>-6.9568627180732197</v>
      </c>
      <c r="Z29" s="30"/>
      <c r="AA29" s="30"/>
      <c r="AB29" s="30"/>
    </row>
    <row r="30" spans="2:28" ht="17.399999999999999" x14ac:dyDescent="0.3">
      <c r="C30" s="19"/>
      <c r="D30" s="3"/>
      <c r="E30" s="17"/>
      <c r="F30" s="3"/>
      <c r="M30" s="3"/>
      <c r="N30" s="3"/>
      <c r="O30" s="3"/>
      <c r="P30" s="3"/>
      <c r="Q30" s="3"/>
      <c r="R30" s="3"/>
      <c r="S30" s="3"/>
      <c r="T30" s="3"/>
      <c r="U30" s="3"/>
      <c r="V30" s="3"/>
      <c r="W30" s="39" t="s">
        <v>37</v>
      </c>
      <c r="X30" s="63">
        <f>MAX(Table223421023[X-Y])</f>
        <v>6.3248548750406197</v>
      </c>
      <c r="Y30" s="30">
        <f>X30</f>
        <v>6.3248548750406197</v>
      </c>
      <c r="Z30" s="30"/>
      <c r="AA30" s="30"/>
      <c r="AB30" s="30"/>
    </row>
    <row r="31" spans="2:28" ht="15.6" x14ac:dyDescent="0.3">
      <c r="C31" s="19"/>
      <c r="D31" s="3"/>
      <c r="E31" s="17"/>
      <c r="F31" s="3"/>
      <c r="M31" s="3"/>
      <c r="N31" s="3"/>
      <c r="O31" s="3"/>
      <c r="P31" s="3"/>
      <c r="Q31" s="3"/>
      <c r="R31" s="3"/>
      <c r="S31" s="3"/>
      <c r="T31" s="3"/>
      <c r="U31" s="3"/>
      <c r="V31" s="3"/>
      <c r="W31" s="36"/>
      <c r="X31" s="30"/>
      <c r="Y31" s="30"/>
      <c r="Z31" s="40"/>
      <c r="AA31" s="30"/>
      <c r="AB31" s="30"/>
    </row>
    <row r="32" spans="2:28" x14ac:dyDescent="0.25">
      <c r="C32" s="19"/>
      <c r="D32" s="3"/>
      <c r="E32" s="17"/>
      <c r="F32" s="3"/>
      <c r="M32" s="3"/>
      <c r="N32" s="3"/>
      <c r="O32" s="3"/>
      <c r="P32" s="3"/>
      <c r="Q32" s="3"/>
      <c r="R32" s="3"/>
      <c r="S32" s="3"/>
      <c r="T32" s="3"/>
      <c r="U32" s="3"/>
      <c r="V32" s="3"/>
      <c r="W32" s="36"/>
      <c r="X32" s="30"/>
      <c r="Y32" s="30"/>
      <c r="Z32" s="30"/>
      <c r="AA32" s="30"/>
      <c r="AB32" s="30"/>
    </row>
    <row r="33" spans="3:28" x14ac:dyDescent="0.25">
      <c r="C33" s="19"/>
      <c r="D33" s="3"/>
      <c r="E33" s="17"/>
      <c r="F33" s="3"/>
      <c r="M33" s="3"/>
      <c r="N33" s="3"/>
      <c r="O33" s="3"/>
      <c r="P33" s="3"/>
      <c r="Q33" s="3"/>
      <c r="R33" s="3"/>
      <c r="S33" s="3"/>
      <c r="T33" s="3"/>
      <c r="U33" s="3"/>
      <c r="V33" s="3"/>
      <c r="W33" s="36"/>
      <c r="X33" s="30"/>
      <c r="Y33" s="30"/>
      <c r="Z33" s="30"/>
      <c r="AA33" s="30"/>
      <c r="AB33" s="30"/>
    </row>
    <row r="34" spans="3:28" x14ac:dyDescent="0.25">
      <c r="C34" s="19"/>
      <c r="D34" s="3"/>
      <c r="E34" s="17"/>
      <c r="F34" s="3"/>
      <c r="M34" s="3"/>
      <c r="N34" s="3"/>
      <c r="O34" s="3"/>
      <c r="P34" s="3"/>
      <c r="Q34" s="3"/>
      <c r="R34" s="3"/>
      <c r="S34" s="3"/>
      <c r="T34" s="3"/>
      <c r="U34" s="3"/>
      <c r="V34" s="3"/>
      <c r="W34" s="36"/>
      <c r="X34" s="30"/>
      <c r="Y34" s="30"/>
      <c r="Z34" s="30"/>
      <c r="AA34" s="30"/>
      <c r="AB34" s="30"/>
    </row>
    <row r="35" spans="3:28" x14ac:dyDescent="0.25">
      <c r="C35" s="19"/>
      <c r="D35" s="3"/>
      <c r="E35" s="17"/>
      <c r="F35" s="3"/>
      <c r="M35" s="3"/>
      <c r="N35" s="3"/>
      <c r="O35" s="3"/>
      <c r="P35" s="3"/>
      <c r="Q35" s="3"/>
      <c r="R35" s="3"/>
      <c r="S35" s="3"/>
      <c r="T35" s="3"/>
      <c r="U35" s="3"/>
      <c r="V35" s="3"/>
      <c r="W35" s="36"/>
      <c r="X35" s="30"/>
      <c r="Y35" s="30"/>
      <c r="Z35" s="30"/>
      <c r="AA35" s="30"/>
      <c r="AB35" s="30"/>
    </row>
    <row r="36" spans="3:28" x14ac:dyDescent="0.25">
      <c r="C36" s="19"/>
      <c r="D36" s="3"/>
      <c r="E36" s="17"/>
      <c r="F36" s="3"/>
      <c r="M36" s="3"/>
      <c r="N36" s="3"/>
      <c r="O36" s="3"/>
      <c r="P36" s="3"/>
      <c r="Q36" s="3"/>
      <c r="R36" s="3"/>
      <c r="S36" s="3"/>
      <c r="T36" s="3"/>
      <c r="U36" s="3"/>
      <c r="V36" s="3"/>
      <c r="W36" s="36"/>
      <c r="X36" s="30"/>
      <c r="Y36" s="30"/>
      <c r="Z36" s="30"/>
      <c r="AA36" s="30"/>
      <c r="AB36" s="30"/>
    </row>
    <row r="37" spans="3:28" x14ac:dyDescent="0.25">
      <c r="C37" s="19"/>
      <c r="D37" s="3"/>
      <c r="E37" s="17"/>
      <c r="F37" s="3"/>
      <c r="M37" s="3"/>
      <c r="N37" s="3"/>
      <c r="O37" s="3"/>
      <c r="P37" s="3"/>
      <c r="Q37" s="3"/>
      <c r="R37" s="3"/>
      <c r="S37" s="3"/>
      <c r="T37" s="3"/>
      <c r="U37" s="3"/>
      <c r="V37" s="3"/>
      <c r="W37" s="36"/>
      <c r="X37" s="30"/>
      <c r="Y37" s="30"/>
      <c r="Z37" s="30"/>
      <c r="AA37" s="30"/>
      <c r="AB37" s="30"/>
    </row>
    <row r="38" spans="3:28" x14ac:dyDescent="0.25">
      <c r="C38" s="19"/>
      <c r="D38" s="3"/>
      <c r="E38" s="17"/>
      <c r="F38" s="3"/>
      <c r="M38" s="3"/>
      <c r="N38" s="3"/>
      <c r="O38" s="3"/>
      <c r="P38" s="3"/>
      <c r="Q38" s="3"/>
      <c r="R38" s="3"/>
      <c r="S38" s="3"/>
      <c r="T38" s="3"/>
      <c r="U38" s="3"/>
      <c r="V38" s="3"/>
      <c r="W38" s="36"/>
      <c r="X38" s="30" t="s">
        <v>30</v>
      </c>
      <c r="Y38" s="30"/>
      <c r="Z38" s="30"/>
      <c r="AA38" s="30"/>
      <c r="AB38" s="30"/>
    </row>
    <row r="39" spans="3:28" ht="17.399999999999999" x14ac:dyDescent="0.3">
      <c r="C39" s="19"/>
      <c r="D39" s="3"/>
      <c r="E39" s="17"/>
      <c r="F39" s="3"/>
      <c r="M39" s="3"/>
      <c r="N39" s="3"/>
      <c r="O39" s="3"/>
      <c r="P39" s="3"/>
      <c r="Q39" s="3"/>
      <c r="R39" s="3"/>
      <c r="S39" s="3"/>
      <c r="T39" s="3"/>
      <c r="U39" s="3"/>
      <c r="V39" s="3"/>
      <c r="W39" s="36"/>
      <c r="X39" s="37">
        <f>X8</f>
        <v>142</v>
      </c>
      <c r="Y39" s="41" t="s">
        <v>34</v>
      </c>
      <c r="Z39" s="30"/>
      <c r="AA39" s="30"/>
      <c r="AB39" s="30"/>
    </row>
    <row r="40" spans="3:28" x14ac:dyDescent="0.25">
      <c r="C40" s="19"/>
      <c r="D40" s="3"/>
      <c r="E40" s="17"/>
      <c r="F40" s="3"/>
      <c r="M40" s="3"/>
      <c r="N40" s="3"/>
      <c r="O40" s="3"/>
      <c r="P40" s="3"/>
      <c r="Q40" s="3"/>
      <c r="R40" s="3"/>
      <c r="S40" s="3"/>
      <c r="T40" s="3"/>
      <c r="U40" s="3"/>
      <c r="V40" s="3"/>
      <c r="W40" s="36"/>
      <c r="X40" s="30"/>
      <c r="Y40" s="30" t="s">
        <v>35</v>
      </c>
      <c r="Z40" s="30"/>
      <c r="AA40" s="30"/>
      <c r="AB40" s="30"/>
    </row>
    <row r="41" spans="3:28" x14ac:dyDescent="0.25">
      <c r="C41" s="19"/>
      <c r="D41" s="3"/>
      <c r="E41" s="17"/>
      <c r="F41" s="3"/>
      <c r="M41" s="3"/>
      <c r="N41" s="3"/>
      <c r="O41" s="3"/>
      <c r="P41" s="3"/>
      <c r="Q41" s="3"/>
      <c r="R41" s="3"/>
      <c r="S41" s="3"/>
      <c r="T41" s="3"/>
      <c r="U41" s="3"/>
      <c r="V41" s="3"/>
      <c r="W41" s="36"/>
      <c r="X41" s="30"/>
      <c r="Y41" s="30" t="s">
        <v>36</v>
      </c>
      <c r="Z41" s="30"/>
      <c r="AA41" s="30"/>
      <c r="AB41" s="30"/>
    </row>
    <row r="42" spans="3:28" x14ac:dyDescent="0.25">
      <c r="C42" s="19"/>
      <c r="D42" s="3"/>
      <c r="E42" s="17"/>
      <c r="F42" s="3"/>
      <c r="M42" s="3"/>
      <c r="N42" s="3"/>
      <c r="O42" s="3"/>
      <c r="P42" s="3"/>
      <c r="Q42" s="3"/>
      <c r="R42" s="3"/>
      <c r="S42" s="3"/>
      <c r="T42" s="3"/>
      <c r="U42" s="3"/>
      <c r="V42" s="3"/>
      <c r="W42" s="36"/>
      <c r="X42" s="30"/>
      <c r="Y42" s="30"/>
      <c r="Z42" s="30"/>
      <c r="AA42" s="30"/>
      <c r="AB42" s="30"/>
    </row>
    <row r="43" spans="3:28" x14ac:dyDescent="0.25">
      <c r="C43" s="19"/>
      <c r="D43" s="3"/>
      <c r="E43" s="17"/>
      <c r="F43" s="3"/>
      <c r="M43" s="3"/>
      <c r="N43" s="3"/>
      <c r="O43" s="3"/>
      <c r="P43" s="3"/>
      <c r="Q43" s="3"/>
      <c r="R43" s="3"/>
      <c r="S43" s="3"/>
      <c r="T43" s="3"/>
      <c r="U43" s="3"/>
      <c r="V43" s="3"/>
      <c r="W43" s="36"/>
      <c r="X43" s="30"/>
      <c r="Y43" s="30"/>
      <c r="Z43" s="30"/>
      <c r="AA43" s="30"/>
      <c r="AB43" s="30"/>
    </row>
    <row r="44" spans="3:28" x14ac:dyDescent="0.25">
      <c r="C44" s="19"/>
      <c r="D44" s="3"/>
      <c r="E44" s="17"/>
      <c r="F44" s="3"/>
      <c r="M44" s="3"/>
      <c r="N44" s="3"/>
      <c r="O44" s="3"/>
      <c r="P44" s="3"/>
      <c r="Q44" s="3"/>
      <c r="R44" s="3"/>
      <c r="S44" s="3"/>
      <c r="T44" s="3"/>
      <c r="U44" s="3"/>
      <c r="V44" s="3"/>
      <c r="W44" s="36"/>
      <c r="X44" s="30"/>
      <c r="Y44" s="30"/>
      <c r="Z44" s="30"/>
      <c r="AA44" s="30"/>
      <c r="AB44" s="30"/>
    </row>
    <row r="45" spans="3:28" ht="15" x14ac:dyDescent="0.25">
      <c r="C45" s="19"/>
      <c r="D45" s="3"/>
      <c r="E45" s="17"/>
      <c r="F45" s="3"/>
      <c r="M45" s="3"/>
      <c r="N45" s="3"/>
      <c r="O45" s="3"/>
      <c r="P45" s="3"/>
      <c r="Q45" s="3"/>
      <c r="R45" s="3"/>
      <c r="S45" s="3"/>
      <c r="T45" s="3"/>
      <c r="U45" s="3"/>
      <c r="V45" s="3"/>
      <c r="W45" s="36"/>
      <c r="X45" s="58"/>
      <c r="Y45" s="30"/>
      <c r="Z45" s="30"/>
      <c r="AA45" s="30"/>
      <c r="AB45" s="30"/>
    </row>
    <row r="46" spans="3:28" x14ac:dyDescent="0.25">
      <c r="C46" s="19"/>
      <c r="D46" s="3"/>
      <c r="E46" s="17"/>
      <c r="F46" s="3"/>
      <c r="M46" s="3"/>
      <c r="N46" s="3"/>
      <c r="O46" s="3"/>
      <c r="P46" s="3"/>
      <c r="Q46" s="3"/>
      <c r="R46" s="3"/>
      <c r="S46" s="3"/>
      <c r="T46" s="3"/>
      <c r="U46" s="3"/>
      <c r="V46" s="3"/>
      <c r="W46" s="36"/>
      <c r="X46" s="30"/>
      <c r="Y46" s="30"/>
      <c r="Z46" s="30"/>
      <c r="AA46" s="30"/>
      <c r="AB46" s="30"/>
    </row>
    <row r="47" spans="3:28" x14ac:dyDescent="0.25">
      <c r="C47" s="19"/>
      <c r="D47" s="3"/>
      <c r="E47" s="17"/>
      <c r="F47" s="3"/>
      <c r="M47" s="3"/>
      <c r="N47" s="3"/>
      <c r="O47" s="3"/>
      <c r="P47" s="3"/>
      <c r="Q47" s="3"/>
      <c r="R47" s="3"/>
      <c r="S47" s="3"/>
      <c r="T47" s="3"/>
      <c r="U47" s="3"/>
      <c r="V47" s="3"/>
      <c r="W47" s="36"/>
      <c r="X47" s="30"/>
      <c r="Y47" s="30"/>
      <c r="Z47" s="30"/>
      <c r="AA47" s="30"/>
      <c r="AB47" s="30"/>
    </row>
    <row r="48" spans="3:28" x14ac:dyDescent="0.25">
      <c r="C48" s="19"/>
      <c r="D48" s="3"/>
      <c r="E48" s="17"/>
      <c r="F48" s="3"/>
      <c r="M48" s="3"/>
      <c r="N48" s="3"/>
      <c r="O48" s="3"/>
      <c r="P48" s="3"/>
      <c r="Q48" s="3"/>
      <c r="R48" s="3"/>
      <c r="S48" s="3"/>
      <c r="T48" s="3"/>
      <c r="U48" s="3"/>
      <c r="V48" s="3"/>
      <c r="W48" s="36"/>
      <c r="X48" s="30"/>
      <c r="Y48" s="30"/>
      <c r="Z48" s="30"/>
      <c r="AA48" s="30"/>
      <c r="AB48" s="30"/>
    </row>
    <row r="49" spans="2:28" x14ac:dyDescent="0.25">
      <c r="C49" s="19"/>
      <c r="D49" s="3"/>
      <c r="E49" s="17"/>
      <c r="F49" s="3"/>
      <c r="M49" s="3"/>
      <c r="N49" s="3"/>
      <c r="O49" s="3"/>
      <c r="P49" s="3"/>
      <c r="Q49" s="3"/>
      <c r="R49" s="3"/>
      <c r="S49" s="3"/>
      <c r="T49" s="3"/>
      <c r="U49" s="3"/>
      <c r="V49" s="3"/>
      <c r="W49" s="36"/>
      <c r="X49" s="30"/>
      <c r="Y49" s="30"/>
      <c r="Z49" s="30"/>
      <c r="AA49" s="30"/>
      <c r="AB49" s="30"/>
    </row>
    <row r="50" spans="2:28" x14ac:dyDescent="0.25">
      <c r="C50" s="19"/>
      <c r="D50" s="3"/>
      <c r="E50" s="17"/>
      <c r="F50" s="3"/>
      <c r="M50" s="3"/>
      <c r="N50" s="3"/>
      <c r="O50" s="3"/>
      <c r="P50" s="3"/>
      <c r="Q50" s="3"/>
      <c r="R50" s="3"/>
      <c r="S50" s="3"/>
      <c r="T50" s="3"/>
      <c r="U50" s="3"/>
      <c r="V50" s="3"/>
      <c r="W50" s="36"/>
      <c r="X50" s="30"/>
      <c r="Y50" s="30"/>
      <c r="Z50" s="30"/>
      <c r="AA50" s="30"/>
      <c r="AB50" s="30"/>
    </row>
    <row r="51" spans="2:28" x14ac:dyDescent="0.25">
      <c r="C51" s="19"/>
      <c r="D51" s="3"/>
      <c r="E51" s="17"/>
      <c r="F51" s="3"/>
      <c r="M51" s="3"/>
      <c r="N51" s="3"/>
      <c r="O51" s="3"/>
      <c r="P51" s="3"/>
      <c r="Q51" s="3"/>
      <c r="R51" s="3"/>
      <c r="S51" s="3"/>
      <c r="T51" s="3"/>
      <c r="U51" s="3"/>
      <c r="V51" s="3"/>
      <c r="W51" s="36"/>
      <c r="X51" s="30"/>
      <c r="Y51" s="30"/>
      <c r="Z51" s="30"/>
      <c r="AA51" s="30"/>
      <c r="AB51" s="30"/>
    </row>
    <row r="52" spans="2:28" x14ac:dyDescent="0.25">
      <c r="C52" s="19"/>
      <c r="D52" s="3"/>
      <c r="E52" s="17"/>
      <c r="F52" s="3"/>
      <c r="M52" s="3"/>
      <c r="N52" s="3"/>
      <c r="O52" s="3"/>
      <c r="P52" s="3"/>
      <c r="Q52" s="3"/>
      <c r="R52" s="3"/>
      <c r="S52" s="3"/>
      <c r="T52" s="3"/>
      <c r="U52" s="3"/>
      <c r="V52" s="3"/>
      <c r="W52" s="36"/>
      <c r="X52" s="30"/>
      <c r="Y52" s="30"/>
      <c r="Z52" s="30"/>
      <c r="AA52" s="30"/>
      <c r="AB52" s="30"/>
    </row>
    <row r="53" spans="2:28" x14ac:dyDescent="0.25">
      <c r="C53" s="19"/>
      <c r="D53" s="3"/>
      <c r="E53" s="17"/>
      <c r="F53" s="3"/>
      <c r="M53" s="3"/>
      <c r="N53" s="3"/>
      <c r="O53" s="3"/>
      <c r="P53" s="3"/>
      <c r="Q53" s="3"/>
      <c r="R53" s="3"/>
      <c r="S53" s="3"/>
      <c r="T53" s="3"/>
      <c r="U53" s="3"/>
      <c r="V53" s="3"/>
      <c r="W53" s="36"/>
      <c r="X53" s="30"/>
      <c r="Y53" s="30"/>
      <c r="Z53" s="30"/>
      <c r="AA53" s="30"/>
      <c r="AB53" s="30"/>
    </row>
    <row r="54" spans="2:28" x14ac:dyDescent="0.25">
      <c r="C54" s="19"/>
      <c r="D54" s="3"/>
      <c r="E54" s="17"/>
      <c r="F54" s="3"/>
      <c r="M54" s="3"/>
      <c r="N54" s="3"/>
      <c r="O54" s="3"/>
      <c r="P54" s="3"/>
      <c r="Q54" s="3"/>
      <c r="R54" s="3"/>
      <c r="S54" s="3"/>
      <c r="T54" s="3"/>
      <c r="U54" s="3"/>
      <c r="V54" s="3"/>
      <c r="W54" s="36"/>
      <c r="X54" s="30"/>
      <c r="Y54" s="30"/>
      <c r="Z54" s="30"/>
      <c r="AA54" s="30"/>
      <c r="AB54" s="30"/>
    </row>
    <row r="55" spans="2:28" ht="15.75" customHeight="1" x14ac:dyDescent="0.3">
      <c r="C55" s="19"/>
      <c r="D55" s="3"/>
      <c r="E55" s="17"/>
      <c r="F55" s="3"/>
      <c r="M55" s="3"/>
      <c r="N55" s="3"/>
      <c r="O55" s="3"/>
      <c r="P55" s="3"/>
      <c r="Q55" s="3"/>
      <c r="R55" s="3"/>
      <c r="S55" s="3"/>
      <c r="T55" s="3"/>
      <c r="U55" s="3"/>
      <c r="V55" s="3"/>
      <c r="W55" s="36"/>
      <c r="X55" s="30"/>
      <c r="Y55" s="30"/>
      <c r="Z55" s="40"/>
      <c r="AA55" s="30"/>
      <c r="AB55" s="30"/>
    </row>
    <row r="56" spans="2:28" ht="15.75" customHeight="1" x14ac:dyDescent="0.3">
      <c r="C56" s="19"/>
      <c r="D56" s="3"/>
      <c r="E56" s="17"/>
      <c r="F56" s="3"/>
      <c r="M56" s="3"/>
      <c r="N56" s="3"/>
      <c r="O56" s="3"/>
      <c r="P56" s="3"/>
      <c r="Q56" s="3"/>
      <c r="R56" s="3"/>
      <c r="S56" s="3"/>
      <c r="T56" s="3"/>
      <c r="U56" s="3"/>
      <c r="V56" s="3"/>
      <c r="W56" s="36"/>
      <c r="X56" s="30"/>
      <c r="Y56" s="30"/>
      <c r="Z56" s="59"/>
      <c r="AA56" s="30"/>
      <c r="AB56" s="30"/>
    </row>
    <row r="57" spans="2:28" ht="15.75" customHeight="1" x14ac:dyDescent="0.3">
      <c r="C57" s="19"/>
      <c r="D57" s="3"/>
      <c r="E57" s="17"/>
      <c r="F57" s="3"/>
      <c r="M57" s="3"/>
      <c r="N57" s="3"/>
      <c r="O57" s="3"/>
      <c r="P57" s="3"/>
      <c r="Q57" s="3"/>
      <c r="R57" s="3"/>
      <c r="S57" s="3"/>
      <c r="T57" s="3"/>
      <c r="U57" s="3"/>
      <c r="V57" s="3"/>
      <c r="W57" s="36"/>
      <c r="X57" s="30"/>
      <c r="Y57" s="30"/>
      <c r="Z57" s="59"/>
      <c r="AA57" s="30"/>
      <c r="AB57" s="30"/>
    </row>
    <row r="58" spans="2:28" ht="15.75" customHeight="1" x14ac:dyDescent="0.3">
      <c r="C58" s="19"/>
      <c r="D58" s="3"/>
      <c r="E58" s="17"/>
      <c r="F58" s="3"/>
      <c r="M58" s="3"/>
      <c r="N58" s="3"/>
      <c r="O58" s="3"/>
      <c r="P58" s="3"/>
      <c r="Q58" s="3"/>
      <c r="R58" s="3"/>
      <c r="S58" s="3"/>
      <c r="T58" s="3"/>
      <c r="U58" s="3"/>
      <c r="V58" s="3"/>
      <c r="W58" s="36"/>
      <c r="X58" s="30" t="s">
        <v>30</v>
      </c>
      <c r="Y58" s="30"/>
      <c r="Z58" s="60"/>
      <c r="AA58" s="30"/>
      <c r="AB58" s="30"/>
    </row>
    <row r="59" spans="2:28" ht="17.399999999999999" x14ac:dyDescent="0.3">
      <c r="C59" s="19"/>
      <c r="D59" s="3"/>
      <c r="E59" s="17"/>
      <c r="F59" s="3"/>
      <c r="M59" s="3"/>
      <c r="N59" s="3"/>
      <c r="O59" s="3"/>
      <c r="P59" s="3"/>
      <c r="Q59" s="3"/>
      <c r="R59" s="3"/>
      <c r="S59" s="3"/>
      <c r="T59" s="3"/>
      <c r="U59" s="3"/>
      <c r="V59" s="3"/>
      <c r="W59" s="36">
        <f>W60*E8</f>
        <v>2.7529601768695366</v>
      </c>
      <c r="X59" s="37">
        <f>X39</f>
        <v>142</v>
      </c>
      <c r="Y59" s="30"/>
      <c r="Z59" s="30"/>
      <c r="AA59" s="30"/>
      <c r="AB59" s="30"/>
    </row>
    <row r="60" spans="2:28" ht="17.399999999999999" x14ac:dyDescent="0.3">
      <c r="C60" s="19"/>
      <c r="D60" s="3"/>
      <c r="E60" s="17"/>
      <c r="F60" s="3"/>
      <c r="M60" s="3"/>
      <c r="N60" s="42"/>
      <c r="O60" s="3"/>
      <c r="P60" s="3"/>
      <c r="Q60" s="3"/>
      <c r="R60" s="3"/>
      <c r="S60" s="3"/>
      <c r="T60" s="3">
        <f>MEDIAN(Table223421023[abs(lab)])</f>
        <v>0.98999974999999907</v>
      </c>
      <c r="U60" s="3"/>
      <c r="V60" s="3">
        <f>MEDIAN(Table223421023[abs(anl)])</f>
        <v>1.2549348931701045</v>
      </c>
      <c r="W60" s="2">
        <f>MEDIAN(Table223421023[Produits Lab x Anl])</f>
        <v>3.4412002210869208E-2</v>
      </c>
      <c r="X60" s="37"/>
      <c r="Z60" s="60"/>
      <c r="AA60" s="30"/>
      <c r="AB60" s="30"/>
    </row>
    <row r="61" spans="2:28" ht="13.8" x14ac:dyDescent="0.25">
      <c r="D61" s="43" t="s">
        <v>1</v>
      </c>
      <c r="E61" s="1"/>
      <c r="F61" s="43" t="s">
        <v>2</v>
      </c>
      <c r="G61" s="4"/>
      <c r="M61" s="3"/>
      <c r="W61" s="22"/>
      <c r="Y61" s="22"/>
    </row>
    <row r="62" spans="2:28" s="22" customFormat="1" ht="42.75" customHeight="1" x14ac:dyDescent="0.3">
      <c r="B62" s="20" t="s">
        <v>0</v>
      </c>
      <c r="C62" t="s">
        <v>67</v>
      </c>
      <c r="D62" t="s">
        <v>65</v>
      </c>
      <c r="E62" t="s">
        <v>66</v>
      </c>
      <c r="F62" s="85" t="s">
        <v>155</v>
      </c>
      <c r="G62" s="20" t="s">
        <v>48</v>
      </c>
      <c r="H62" s="20" t="s">
        <v>3</v>
      </c>
      <c r="I62" s="20" t="s">
        <v>23</v>
      </c>
      <c r="J62" s="20" t="s">
        <v>4</v>
      </c>
      <c r="K62" s="20" t="s">
        <v>51</v>
      </c>
      <c r="L62" s="20" t="s">
        <v>52</v>
      </c>
      <c r="M62" s="21" t="s">
        <v>5</v>
      </c>
      <c r="N62" s="21" t="s">
        <v>32</v>
      </c>
      <c r="O62" s="21" t="s">
        <v>31</v>
      </c>
      <c r="P62" s="21" t="s">
        <v>33</v>
      </c>
      <c r="Q62" s="21" t="s">
        <v>50</v>
      </c>
      <c r="R62" s="21" t="s">
        <v>49</v>
      </c>
      <c r="S62" s="21" t="s">
        <v>58</v>
      </c>
      <c r="T62" s="21" t="s">
        <v>60</v>
      </c>
      <c r="U62" s="64" t="s">
        <v>59</v>
      </c>
      <c r="V62" s="64" t="s">
        <v>61</v>
      </c>
      <c r="W62" s="21" t="s">
        <v>62</v>
      </c>
      <c r="X62" s="22" t="str">
        <f>D62</f>
        <v>REF</v>
      </c>
      <c r="Z62" s="2"/>
      <c r="AA62" s="22" t="str">
        <f>F62</f>
        <v>yval</v>
      </c>
      <c r="AB62" s="2"/>
    </row>
    <row r="63" spans="2:28" ht="14.4" x14ac:dyDescent="0.3">
      <c r="B63" s="46">
        <f ca="1">VALUE((Table223421023[[#This Row],[Column3]]-62))</f>
        <v>1</v>
      </c>
      <c r="C63" t="s">
        <v>69</v>
      </c>
      <c r="D63">
        <v>9.9399996000000002</v>
      </c>
      <c r="E63"/>
      <c r="F63" s="84">
        <v>9.1510476458345558</v>
      </c>
      <c r="G63" s="29">
        <f>Table223421023[[#This Row],[yval]]-Table223421023[[#This Row],[REF]]</f>
        <v>-0.78895195416544439</v>
      </c>
      <c r="H63" s="29">
        <f>Table223421023[[#This Row],[X-Y]]-E$20</f>
        <v>-1.5674489383654322</v>
      </c>
      <c r="I63" s="29">
        <f>Table223421023[[#This Row],[yval]]-E$20</f>
        <v>8.372550661634568</v>
      </c>
      <c r="J63" s="29">
        <f>Table223421023[[#This Row],[yval]]*E$21+E$22</f>
        <v>10.773833986387427</v>
      </c>
      <c r="K63" s="56">
        <f>Table223421023[[#This Row],[Yest]]-Table223421023[[#This Row],[REF]]</f>
        <v>0.83383438638742646</v>
      </c>
      <c r="L63" s="56">
        <f>ABS(Table223421023[[#This Row],[RESyx]])</f>
        <v>0.83383438638742646</v>
      </c>
      <c r="M63" s="29">
        <f>Table223421023[[#This Row],[yval]]*E$25+E$26</f>
        <v>9.5299752596783911</v>
      </c>
      <c r="N63" s="29">
        <f>Table223421023[[#This Row],[X-Y]]^2</f>
        <v>0.62244518598147347</v>
      </c>
      <c r="O63" s="57">
        <f>Table223421023[[#This Row],[yest_rect]]-Table223421023[[#This Row],[REF]]</f>
        <v>-0.41002434032160906</v>
      </c>
      <c r="P63" s="57">
        <f>Table223421023[[#This Row],[dif rec]]^2</f>
        <v>0.16811995965617069</v>
      </c>
      <c r="Q63" s="57">
        <f>ABS(Table223421023[[#This Row],[diff-bias]])</f>
        <v>1.5674489383654322</v>
      </c>
      <c r="R63" s="57">
        <f ca="1">CELL("row",Table223421023[[#This Row],[Position]])</f>
        <v>63</v>
      </c>
      <c r="S63" s="4">
        <f>Table223421023[[#This Row],[REF]]-D$13</f>
        <v>-1.0700006500000008</v>
      </c>
      <c r="T63" s="4">
        <f>ABS(Table223421023[[#This Row],[lab-med]])</f>
        <v>1.0700006500000008</v>
      </c>
      <c r="U63" s="4">
        <f>Table223421023[[#This Row],[yval]]-F$13</f>
        <v>-2.8167397521696458</v>
      </c>
      <c r="V63" s="4">
        <f>ABS(Table223421023[[#This Row],[anl-med]])</f>
        <v>2.8167397521696458</v>
      </c>
      <c r="W63" s="4">
        <f>Table223421023[[#This Row],[lab-med]]*Table223421023[[#This Row],[anl-med]]</f>
        <v>3.0139133657023622</v>
      </c>
    </row>
    <row r="64" spans="2:28" ht="14.4" x14ac:dyDescent="0.3">
      <c r="B64" s="46">
        <f ca="1">VALUE((Table223421023[[#This Row],[Column3]]-62))</f>
        <v>2</v>
      </c>
      <c r="C64" t="s">
        <v>70</v>
      </c>
      <c r="D64">
        <v>10.0200005</v>
      </c>
      <c r="E64"/>
      <c r="F64" s="84">
        <v>13.22396877197639</v>
      </c>
      <c r="G64" s="29">
        <f>Table223421023[[#This Row],[yval]]-Table223421023[[#This Row],[REF]]</f>
        <v>3.2039682719763896</v>
      </c>
      <c r="H64" s="29">
        <f>Table223421023[[#This Row],[X-Y]]-E$20</f>
        <v>2.4254712877764018</v>
      </c>
      <c r="I64" s="29">
        <f>Table223421023[[#This Row],[yval]]-E$20</f>
        <v>12.445471787776402</v>
      </c>
      <c r="J64" s="29">
        <f>Table223421023[[#This Row],[yval]]*E$21+E$22</f>
        <v>11.273346749571706</v>
      </c>
      <c r="K64" s="56">
        <f>Table223421023[[#This Row],[Yest]]-Table223421023[[#This Row],[REF]]</f>
        <v>1.253346249571706</v>
      </c>
      <c r="L64" s="56">
        <f>ABS(Table223421023[[#This Row],[RESyx]])</f>
        <v>1.253346249571706</v>
      </c>
      <c r="M64" s="29">
        <f>Table223421023[[#This Row],[yval]]*E$25+E$26</f>
        <v>11.880504573280461</v>
      </c>
      <c r="N64" s="29">
        <f>Table223421023[[#This Row],[X-Y]]^2</f>
        <v>10.265412687831372</v>
      </c>
      <c r="O64" s="57">
        <f>Table223421023[[#This Row],[yest_rect]]-Table223421023[[#This Row],[REF]]</f>
        <v>1.8605040732804614</v>
      </c>
      <c r="P64" s="57">
        <f>Table223421023[[#This Row],[dif rec]]^2</f>
        <v>3.4614754066931885</v>
      </c>
      <c r="Q64" s="57">
        <f>ABS(Table223421023[[#This Row],[diff-bias]])</f>
        <v>2.4254712877764018</v>
      </c>
      <c r="R64" s="57">
        <f ca="1">CELL("row",Table223421023[[#This Row],[Position]])</f>
        <v>64</v>
      </c>
      <c r="S64" s="4">
        <f>Table223421023[[#This Row],[REF]]-D$13</f>
        <v>-0.98999975000000084</v>
      </c>
      <c r="T64" s="4">
        <f>ABS(Table223421023[[#This Row],[lab-med]])</f>
        <v>0.98999975000000084</v>
      </c>
      <c r="U64" s="4">
        <f>Table223421023[[#This Row],[yval]]-F$13</f>
        <v>1.2561813739721881</v>
      </c>
      <c r="V64" s="4">
        <f>ABS(Table223421023[[#This Row],[anl-med]])</f>
        <v>1.2561813739721881</v>
      </c>
      <c r="W64" s="4">
        <f>Table223421023[[#This Row],[lab-med]]*Table223421023[[#This Row],[anl-med]]</f>
        <v>-1.2436192461871238</v>
      </c>
    </row>
    <row r="65" spans="2:23" ht="14.4" x14ac:dyDescent="0.3">
      <c r="B65" s="46">
        <f ca="1">VALUE((Table223421023[[#This Row],[Column3]]-62))</f>
        <v>3</v>
      </c>
      <c r="C65" t="s">
        <v>71</v>
      </c>
      <c r="D65">
        <v>10</v>
      </c>
      <c r="E65"/>
      <c r="F65" s="84">
        <v>7.8469075491417586</v>
      </c>
      <c r="G65" s="29">
        <f>Table223421023[[#This Row],[yval]]-Table223421023[[#This Row],[REF]]</f>
        <v>-2.1530924508582414</v>
      </c>
      <c r="H65" s="29">
        <f>Table223421023[[#This Row],[X-Y]]-E$20</f>
        <v>-2.9315894350582292</v>
      </c>
      <c r="I65" s="29">
        <f>Table223421023[[#This Row],[yval]]-E$20</f>
        <v>7.0684105649417708</v>
      </c>
      <c r="J65" s="29">
        <f>Table223421023[[#This Row],[yval]]*E$21+E$22</f>
        <v>10.61389113380007</v>
      </c>
      <c r="K65" s="56">
        <f>Table223421023[[#This Row],[Yest]]-Table223421023[[#This Row],[REF]]</f>
        <v>0.61389113380007032</v>
      </c>
      <c r="L65" s="56">
        <f>ABS(Table223421023[[#This Row],[RESyx]])</f>
        <v>0.61389113380007032</v>
      </c>
      <c r="M65" s="29">
        <f>Table223421023[[#This Row],[yval]]*E$25+E$26</f>
        <v>8.777341110530493</v>
      </c>
      <c r="N65" s="29">
        <f>Table223421023[[#This Row],[X-Y]]^2</f>
        <v>4.6358071019427491</v>
      </c>
      <c r="O65" s="57">
        <f>Table223421023[[#This Row],[yest_rect]]-Table223421023[[#This Row],[REF]]</f>
        <v>-1.222658889469507</v>
      </c>
      <c r="P65" s="57">
        <f>Table223421023[[#This Row],[dif rec]]^2</f>
        <v>1.4948947599988081</v>
      </c>
      <c r="Q65" s="57">
        <f>ABS(Table223421023[[#This Row],[diff-bias]])</f>
        <v>2.9315894350582292</v>
      </c>
      <c r="R65" s="57">
        <f ca="1">CELL("row",Table223421023[[#This Row],[Position]])</f>
        <v>65</v>
      </c>
      <c r="S65" s="4">
        <f>Table223421023[[#This Row],[REF]]-D$13</f>
        <v>-1.0100002500000009</v>
      </c>
      <c r="T65" s="4">
        <f>ABS(Table223421023[[#This Row],[lab-med]])</f>
        <v>1.0100002500000009</v>
      </c>
      <c r="U65" s="4">
        <f>Table223421023[[#This Row],[yval]]-F$13</f>
        <v>-4.120879848862443</v>
      </c>
      <c r="V65" s="4">
        <f>ABS(Table223421023[[#This Row],[anl-med]])</f>
        <v>4.120879848862443</v>
      </c>
      <c r="W65" s="4">
        <f>Table223421023[[#This Row],[lab-med]]*Table223421023[[#This Row],[anl-med]]</f>
        <v>4.1620896775710339</v>
      </c>
    </row>
    <row r="66" spans="2:23" ht="14.4" x14ac:dyDescent="0.3">
      <c r="B66" s="46">
        <f ca="1">VALUE((Table223421023[[#This Row],[Column3]]-62))</f>
        <v>4</v>
      </c>
      <c r="C66" t="s">
        <v>72</v>
      </c>
      <c r="D66">
        <v>10.5</v>
      </c>
      <c r="E66"/>
      <c r="F66" s="84">
        <v>14.062268402263349</v>
      </c>
      <c r="G66" s="29">
        <f>Table223421023[[#This Row],[yval]]-Table223421023[[#This Row],[REF]]</f>
        <v>3.5622684022633493</v>
      </c>
      <c r="H66" s="29">
        <f>Table223421023[[#This Row],[X-Y]]-E$20</f>
        <v>2.7837714180633615</v>
      </c>
      <c r="I66" s="29">
        <f>Table223421023[[#This Row],[yval]]-E$20</f>
        <v>13.283771418063361</v>
      </c>
      <c r="J66" s="29">
        <f>Table223421023[[#This Row],[yval]]*E$21+E$22</f>
        <v>11.376157816059916</v>
      </c>
      <c r="K66" s="56">
        <f>Table223421023[[#This Row],[Yest]]-Table223421023[[#This Row],[REF]]</f>
        <v>0.87615781605991572</v>
      </c>
      <c r="L66" s="56">
        <f>ABS(Table223421023[[#This Row],[RESyx]])</f>
        <v>0.87615781605991572</v>
      </c>
      <c r="M66" s="29">
        <f>Table223421023[[#This Row],[yval]]*E$25+E$26</f>
        <v>12.364296867200435</v>
      </c>
      <c r="N66" s="29">
        <f>Table223421023[[#This Row],[X-Y]]^2</f>
        <v>12.689756169763875</v>
      </c>
      <c r="O66" s="57">
        <f>Table223421023[[#This Row],[yest_rect]]-Table223421023[[#This Row],[REF]]</f>
        <v>1.8642968672004354</v>
      </c>
      <c r="P66" s="57">
        <f>Table223421023[[#This Row],[dif rec]]^2</f>
        <v>3.4756028090533579</v>
      </c>
      <c r="Q66" s="57">
        <f>ABS(Table223421023[[#This Row],[diff-bias]])</f>
        <v>2.7837714180633615</v>
      </c>
      <c r="R66" s="57">
        <f ca="1">CELL("row",Table223421023[[#This Row],[Position]])</f>
        <v>66</v>
      </c>
      <c r="S66" s="4">
        <f>Table223421023[[#This Row],[REF]]-D$13</f>
        <v>-0.51000025000000093</v>
      </c>
      <c r="T66" s="4">
        <f>ABS(Table223421023[[#This Row],[lab-med]])</f>
        <v>0.51000025000000093</v>
      </c>
      <c r="U66" s="4">
        <f>Table223421023[[#This Row],[yval]]-F$13</f>
        <v>2.0944810042591477</v>
      </c>
      <c r="V66" s="4">
        <f>ABS(Table223421023[[#This Row],[anl-med]])</f>
        <v>2.0944810042591477</v>
      </c>
      <c r="W66" s="4">
        <f>Table223421023[[#This Row],[lab-med]]*Table223421023[[#This Row],[anl-med]]</f>
        <v>-1.0681858357924183</v>
      </c>
    </row>
    <row r="67" spans="2:23" ht="14.4" x14ac:dyDescent="0.3">
      <c r="B67" s="46">
        <f ca="1">VALUE((Table223421023[[#This Row],[Column3]]-62))</f>
        <v>5</v>
      </c>
      <c r="C67" t="s">
        <v>73</v>
      </c>
      <c r="D67">
        <v>10.779999699999999</v>
      </c>
      <c r="E67"/>
      <c r="F67" s="84">
        <v>7.9940291742065144</v>
      </c>
      <c r="G67" s="29">
        <f>Table223421023[[#This Row],[yval]]-Table223421023[[#This Row],[REF]]</f>
        <v>-2.785970525793485</v>
      </c>
      <c r="H67" s="29">
        <f>Table223421023[[#This Row],[X-Y]]-E$20</f>
        <v>-3.5644675099934728</v>
      </c>
      <c r="I67" s="29">
        <f>Table223421023[[#This Row],[yval]]-E$20</f>
        <v>7.2155321900065266</v>
      </c>
      <c r="J67" s="29">
        <f>Table223421023[[#This Row],[yval]]*E$21+E$22</f>
        <v>10.631934480868241</v>
      </c>
      <c r="K67" s="56">
        <f>Table223421023[[#This Row],[Yest]]-Table223421023[[#This Row],[REF]]</f>
        <v>-0.14806521913175885</v>
      </c>
      <c r="L67" s="56">
        <f>ABS(Table223421023[[#This Row],[RESyx]])</f>
        <v>0.14806521913175885</v>
      </c>
      <c r="M67" s="29">
        <f>Table223421023[[#This Row],[yval]]*E$25+E$26</f>
        <v>8.8622466811686991</v>
      </c>
      <c r="N67" s="29">
        <f>Table223421023[[#This Row],[X-Y]]^2</f>
        <v>7.7616317705900277</v>
      </c>
      <c r="O67" s="57">
        <f>Table223421023[[#This Row],[yest_rect]]-Table223421023[[#This Row],[REF]]</f>
        <v>-1.9177530188313003</v>
      </c>
      <c r="P67" s="57">
        <f>Table223421023[[#This Row],[dif rec]]^2</f>
        <v>3.6777766412365658</v>
      </c>
      <c r="Q67" s="57">
        <f>ABS(Table223421023[[#This Row],[diff-bias]])</f>
        <v>3.5644675099934728</v>
      </c>
      <c r="R67" s="57">
        <f ca="1">CELL("row",Table223421023[[#This Row],[Position]])</f>
        <v>67</v>
      </c>
      <c r="S67" s="4">
        <f>Table223421023[[#This Row],[REF]]-D$13</f>
        <v>-0.23000055000000152</v>
      </c>
      <c r="T67" s="4">
        <f>ABS(Table223421023[[#This Row],[lab-med]])</f>
        <v>0.23000055000000152</v>
      </c>
      <c r="U67" s="4">
        <f>Table223421023[[#This Row],[yval]]-F$13</f>
        <v>-3.9737582237976872</v>
      </c>
      <c r="V67" s="4">
        <f>ABS(Table223421023[[#This Row],[anl-med]])</f>
        <v>3.9737582237976872</v>
      </c>
      <c r="W67" s="4">
        <f>Table223421023[[#This Row],[lab-med]]*Table223421023[[#This Row],[anl-med]]</f>
        <v>0.91396657704049722</v>
      </c>
    </row>
    <row r="68" spans="2:23" ht="14.4" x14ac:dyDescent="0.3">
      <c r="B68" s="46">
        <f ca="1">VALUE((Table223421023[[#This Row],[Column3]]-62))</f>
        <v>6</v>
      </c>
      <c r="C68" t="s">
        <v>74</v>
      </c>
      <c r="D68">
        <v>10.449999800000001</v>
      </c>
      <c r="E68"/>
      <c r="F68" s="84">
        <v>12.621575882153341</v>
      </c>
      <c r="G68" s="29">
        <f>Table223421023[[#This Row],[yval]]-Table223421023[[#This Row],[REF]]</f>
        <v>2.1715760821533401</v>
      </c>
      <c r="H68" s="29">
        <f>Table223421023[[#This Row],[X-Y]]-E$20</f>
        <v>1.3930790979533523</v>
      </c>
      <c r="I68" s="29">
        <f>Table223421023[[#This Row],[yval]]-E$20</f>
        <v>11.843078897953353</v>
      </c>
      <c r="J68" s="29">
        <f>Table223421023[[#This Row],[yval]]*E$21+E$22</f>
        <v>11.199467848508109</v>
      </c>
      <c r="K68" s="56">
        <f>Table223421023[[#This Row],[Yest]]-Table223421023[[#This Row],[REF]]</f>
        <v>0.749468048508108</v>
      </c>
      <c r="L68" s="56">
        <f>ABS(Table223421023[[#This Row],[RESyx]])</f>
        <v>0.749468048508108</v>
      </c>
      <c r="M68" s="29">
        <f>Table223421023[[#This Row],[yval]]*E$25+E$26</f>
        <v>11.532856754434576</v>
      </c>
      <c r="N68" s="29">
        <f>Table223421023[[#This Row],[X-Y]]^2</f>
        <v>4.7157426805804503</v>
      </c>
      <c r="O68" s="57">
        <f>Table223421023[[#This Row],[yest_rect]]-Table223421023[[#This Row],[REF]]</f>
        <v>1.0828569544345754</v>
      </c>
      <c r="P68" s="57">
        <f>Table223421023[[#This Row],[dif rec]]^2</f>
        <v>1.1725791837673241</v>
      </c>
      <c r="Q68" s="57">
        <f>ABS(Table223421023[[#This Row],[diff-bias]])</f>
        <v>1.3930790979533523</v>
      </c>
      <c r="R68" s="57">
        <f ca="1">CELL("row",Table223421023[[#This Row],[Position]])</f>
        <v>68</v>
      </c>
      <c r="S68" s="4">
        <f>Table223421023[[#This Row],[REF]]-D$13</f>
        <v>-0.56000045000000043</v>
      </c>
      <c r="T68" s="4">
        <f>ABS(Table223421023[[#This Row],[lab-med]])</f>
        <v>0.56000045000000043</v>
      </c>
      <c r="U68" s="4">
        <f>Table223421023[[#This Row],[yval]]-F$13</f>
        <v>0.65378848414913904</v>
      </c>
      <c r="V68" s="4">
        <f>ABS(Table223421023[[#This Row],[anl-med]])</f>
        <v>0.65378848414913904</v>
      </c>
      <c r="W68" s="4">
        <f>Table223421023[[#This Row],[lab-med]]*Table223421023[[#This Row],[anl-med]]</f>
        <v>-0.36612184532833603</v>
      </c>
    </row>
    <row r="69" spans="2:23" ht="14.4" x14ac:dyDescent="0.3">
      <c r="B69" s="46">
        <f ca="1">VALUE((Table223421023[[#This Row],[Column3]]-62))</f>
        <v>7</v>
      </c>
      <c r="C69" t="s">
        <v>75</v>
      </c>
      <c r="D69">
        <v>11.0200005</v>
      </c>
      <c r="E69"/>
      <c r="F69" s="84">
        <v>9.6121604304485775</v>
      </c>
      <c r="G69" s="29">
        <f>Table223421023[[#This Row],[yval]]-Table223421023[[#This Row],[REF]]</f>
        <v>-1.4078400695514226</v>
      </c>
      <c r="H69" s="29">
        <f>Table223421023[[#This Row],[X-Y]]-E$20</f>
        <v>-2.1863370537514104</v>
      </c>
      <c r="I69" s="29">
        <f>Table223421023[[#This Row],[yval]]-E$20</f>
        <v>8.8336634462485897</v>
      </c>
      <c r="J69" s="29">
        <f>Table223421023[[#This Row],[yval]]*E$21+E$22</f>
        <v>10.830385958313368</v>
      </c>
      <c r="K69" s="56">
        <f>Table223421023[[#This Row],[Yest]]-Table223421023[[#This Row],[REF]]</f>
        <v>-0.18961454168663217</v>
      </c>
      <c r="L69" s="56">
        <f>ABS(Table223421023[[#This Row],[RESyx]])</f>
        <v>0.18961454168663217</v>
      </c>
      <c r="M69" s="29">
        <f>Table223421023[[#This Row],[yval]]*E$25+E$26</f>
        <v>9.7960887157321412</v>
      </c>
      <c r="N69" s="29">
        <f>Table223421023[[#This Row],[X-Y]]^2</f>
        <v>1.9820136614345545</v>
      </c>
      <c r="O69" s="57">
        <f>Table223421023[[#This Row],[yest_rect]]-Table223421023[[#This Row],[REF]]</f>
        <v>-1.2239117842678588</v>
      </c>
      <c r="P69" s="57">
        <f>Table223421023[[#This Row],[dif rec]]^2</f>
        <v>1.4979600556697339</v>
      </c>
      <c r="Q69" s="57">
        <f>ABS(Table223421023[[#This Row],[diff-bias]])</f>
        <v>2.1863370537514104</v>
      </c>
      <c r="R69" s="57">
        <f ca="1">CELL("row",Table223421023[[#This Row],[Position]])</f>
        <v>69</v>
      </c>
      <c r="S69" s="4">
        <f>Table223421023[[#This Row],[REF]]-D$13</f>
        <v>1.0000249999999156E-2</v>
      </c>
      <c r="T69" s="4">
        <f>ABS(Table223421023[[#This Row],[lab-med]])</f>
        <v>1.0000249999999156E-2</v>
      </c>
      <c r="U69" s="4">
        <f>Table223421023[[#This Row],[yval]]-F$13</f>
        <v>-2.3556269675556241</v>
      </c>
      <c r="V69" s="4">
        <f>ABS(Table223421023[[#This Row],[anl-med]])</f>
        <v>2.3556269675556241</v>
      </c>
      <c r="W69" s="4">
        <f>Table223421023[[#This Row],[lab-med]]*Table223421023[[#This Row],[anl-med]]</f>
        <v>-2.3556858582296142E-2</v>
      </c>
    </row>
    <row r="70" spans="2:23" ht="14.4" x14ac:dyDescent="0.3">
      <c r="B70" s="46">
        <f ca="1">VALUE((Table223421023[[#This Row],[Column3]]-62))</f>
        <v>8</v>
      </c>
      <c r="C70" t="s">
        <v>76</v>
      </c>
      <c r="D70">
        <v>10.800000199999999</v>
      </c>
      <c r="E70"/>
      <c r="F70" s="84">
        <v>10.538184071263951</v>
      </c>
      <c r="G70" s="29">
        <f>Table223421023[[#This Row],[yval]]-Table223421023[[#This Row],[REF]]</f>
        <v>-0.26181612873604898</v>
      </c>
      <c r="H70" s="29">
        <f>Table223421023[[#This Row],[X-Y]]-E$20</f>
        <v>-1.0403131129360368</v>
      </c>
      <c r="I70" s="29">
        <f>Table223421023[[#This Row],[yval]]-E$20</f>
        <v>9.7596870870639627</v>
      </c>
      <c r="J70" s="29">
        <f>Table223421023[[#This Row],[yval]]*E$21+E$22</f>
        <v>10.943955706725321</v>
      </c>
      <c r="K70" s="56">
        <f>Table223421023[[#This Row],[Yest]]-Table223421023[[#This Row],[REF]]</f>
        <v>0.14395550672532131</v>
      </c>
      <c r="L70" s="56">
        <f>ABS(Table223421023[[#This Row],[RESyx]])</f>
        <v>0.14395550672532131</v>
      </c>
      <c r="M70" s="29">
        <f>Table223421023[[#This Row],[yval]]*E$25+E$26</f>
        <v>10.330507538344335</v>
      </c>
      <c r="N70" s="29">
        <f>Table223421023[[#This Row],[X-Y]]^2</f>
        <v>6.8547685266331371E-2</v>
      </c>
      <c r="O70" s="57">
        <f>Table223421023[[#This Row],[yest_rect]]-Table223421023[[#This Row],[REF]]</f>
        <v>-0.46949266165566428</v>
      </c>
      <c r="P70" s="57">
        <f>Table223421023[[#This Row],[dif rec]]^2</f>
        <v>0.22042335934852006</v>
      </c>
      <c r="Q70" s="57">
        <f>ABS(Table223421023[[#This Row],[diff-bias]])</f>
        <v>1.0403131129360368</v>
      </c>
      <c r="R70" s="57">
        <f ca="1">CELL("row",Table223421023[[#This Row],[Position]])</f>
        <v>70</v>
      </c>
      <c r="S70" s="4">
        <f>Table223421023[[#This Row],[REF]]-D$13</f>
        <v>-0.21000005000000144</v>
      </c>
      <c r="T70" s="4">
        <f>ABS(Table223421023[[#This Row],[lab-med]])</f>
        <v>0.21000005000000144</v>
      </c>
      <c r="U70" s="4">
        <f>Table223421023[[#This Row],[yval]]-F$13</f>
        <v>-1.429603326740251</v>
      </c>
      <c r="V70" s="4">
        <f>ABS(Table223421023[[#This Row],[anl-med]])</f>
        <v>1.429603326740251</v>
      </c>
      <c r="W70" s="4">
        <f>Table223421023[[#This Row],[lab-med]]*Table223421023[[#This Row],[anl-med]]</f>
        <v>0.30021677009562109</v>
      </c>
    </row>
    <row r="71" spans="2:23" ht="14.4" x14ac:dyDescent="0.3">
      <c r="B71" s="46">
        <f ca="1">VALUE((Table223421023[[#This Row],[Column3]]-62))</f>
        <v>9</v>
      </c>
      <c r="C71" t="s">
        <v>77</v>
      </c>
      <c r="D71">
        <v>10.8800001</v>
      </c>
      <c r="E71"/>
      <c r="F71" s="84">
        <v>11.04939437603187</v>
      </c>
      <c r="G71" s="29">
        <f>Table223421023[[#This Row],[yval]]-Table223421023[[#This Row],[REF]]</f>
        <v>0.16939427603186985</v>
      </c>
      <c r="H71" s="29">
        <f>Table223421023[[#This Row],[X-Y]]-E$20</f>
        <v>-0.60910270816811796</v>
      </c>
      <c r="I71" s="29">
        <f>Table223421023[[#This Row],[yval]]-E$20</f>
        <v>10.270897391831882</v>
      </c>
      <c r="J71" s="29">
        <f>Table223421023[[#This Row],[yval]]*E$21+E$22</f>
        <v>11.006651758034518</v>
      </c>
      <c r="K71" s="56">
        <f>Table223421023[[#This Row],[Yest]]-Table223421023[[#This Row],[REF]]</f>
        <v>0.12665165803451828</v>
      </c>
      <c r="L71" s="56">
        <f>ABS(Table223421023[[#This Row],[RESyx]])</f>
        <v>0.12665165803451828</v>
      </c>
      <c r="M71" s="29">
        <f>Table223421023[[#This Row],[yval]]*E$25+E$26</f>
        <v>10.625532845625624</v>
      </c>
      <c r="N71" s="29">
        <f>Table223421023[[#This Row],[X-Y]]^2</f>
        <v>2.8694420752361317E-2</v>
      </c>
      <c r="O71" s="57">
        <f>Table223421023[[#This Row],[yest_rect]]-Table223421023[[#This Row],[REF]]</f>
        <v>-0.25446725437437578</v>
      </c>
      <c r="P71" s="57">
        <f>Table223421023[[#This Row],[dif rec]]^2</f>
        <v>6.4753583548833274E-2</v>
      </c>
      <c r="Q71" s="57">
        <f>ABS(Table223421023[[#This Row],[diff-bias]])</f>
        <v>0.60910270816811796</v>
      </c>
      <c r="R71" s="57">
        <f ca="1">CELL("row",Table223421023[[#This Row],[Position]])</f>
        <v>71</v>
      </c>
      <c r="S71" s="4">
        <f>Table223421023[[#This Row],[REF]]-D$13</f>
        <v>-0.13000015000000076</v>
      </c>
      <c r="T71" s="4">
        <f>ABS(Table223421023[[#This Row],[lab-med]])</f>
        <v>0.13000015000000076</v>
      </c>
      <c r="U71" s="4">
        <f>Table223421023[[#This Row],[yval]]-F$13</f>
        <v>-0.91839302197233152</v>
      </c>
      <c r="V71" s="4">
        <f>ABS(Table223421023[[#This Row],[anl-med]])</f>
        <v>0.91839302197233152</v>
      </c>
      <c r="W71" s="4">
        <f>Table223421023[[#This Row],[lab-med]]*Table223421023[[#This Row],[anl-med]]</f>
        <v>0.11939123061535709</v>
      </c>
    </row>
    <row r="72" spans="2:23" ht="14.4" x14ac:dyDescent="0.3">
      <c r="B72" s="46">
        <f ca="1">VALUE((Table223421023[[#This Row],[Column3]]-62))</f>
        <v>10</v>
      </c>
      <c r="C72" t="s">
        <v>78</v>
      </c>
      <c r="D72">
        <v>11.0600004</v>
      </c>
      <c r="E72"/>
      <c r="F72" s="84">
        <v>9.0639644088000928</v>
      </c>
      <c r="G72" s="29">
        <f>Table223421023[[#This Row],[yval]]-Table223421023[[#This Row],[REF]]</f>
        <v>-1.996035991199907</v>
      </c>
      <c r="H72" s="29">
        <f>Table223421023[[#This Row],[X-Y]]-E$20</f>
        <v>-2.7745329753998949</v>
      </c>
      <c r="I72" s="29">
        <f>Table223421023[[#This Row],[yval]]-E$20</f>
        <v>8.285467424600105</v>
      </c>
      <c r="J72" s="29">
        <f>Table223421023[[#This Row],[yval]]*E$21+E$22</f>
        <v>10.763153890453598</v>
      </c>
      <c r="K72" s="56">
        <f>Table223421023[[#This Row],[Yest]]-Table223421023[[#This Row],[REF]]</f>
        <v>-0.2968465095464019</v>
      </c>
      <c r="L72" s="56">
        <f>ABS(Table223421023[[#This Row],[RESyx]])</f>
        <v>0.2968465095464019</v>
      </c>
      <c r="M72" s="29">
        <f>Table223421023[[#This Row],[yval]]*E$25+E$26</f>
        <v>9.4797185286901424</v>
      </c>
      <c r="N72" s="29">
        <f>Table223421023[[#This Row],[X-Y]]^2</f>
        <v>3.9841596781653954</v>
      </c>
      <c r="O72" s="57">
        <f>Table223421023[[#This Row],[yest_rect]]-Table223421023[[#This Row],[REF]]</f>
        <v>-1.5802818713098574</v>
      </c>
      <c r="P72" s="57">
        <f>Table223421023[[#This Row],[dif rec]]^2</f>
        <v>2.4972907927905847</v>
      </c>
      <c r="Q72" s="57">
        <f>ABS(Table223421023[[#This Row],[diff-bias]])</f>
        <v>2.7745329753998949</v>
      </c>
      <c r="R72" s="57">
        <f ca="1">CELL("row",Table223421023[[#This Row],[Position]])</f>
        <v>72</v>
      </c>
      <c r="S72" s="4">
        <f>Table223421023[[#This Row],[REF]]-D$13</f>
        <v>5.0000149999998911E-2</v>
      </c>
      <c r="T72" s="4">
        <f>ABS(Table223421023[[#This Row],[lab-med]])</f>
        <v>5.0000149999998911E-2</v>
      </c>
      <c r="U72" s="4">
        <f>Table223421023[[#This Row],[yval]]-F$13</f>
        <v>-2.9038229892041088</v>
      </c>
      <c r="V72" s="4">
        <f>ABS(Table223421023[[#This Row],[anl-med]])</f>
        <v>2.9038229892041088</v>
      </c>
      <c r="W72" s="4">
        <f>Table223421023[[#This Row],[lab-med]]*Table223421023[[#This Row],[anl-med]]</f>
        <v>-0.14519158503365065</v>
      </c>
    </row>
    <row r="73" spans="2:23" ht="14.4" x14ac:dyDescent="0.3">
      <c r="B73" s="46">
        <f ca="1">VALUE((Table223421023[[#This Row],[Column3]]-62))</f>
        <v>11</v>
      </c>
      <c r="C73" t="s">
        <v>79</v>
      </c>
      <c r="D73">
        <v>11.0900002</v>
      </c>
      <c r="E73"/>
      <c r="F73" s="84">
        <v>12.468850709483769</v>
      </c>
      <c r="G73" s="29">
        <f>Table223421023[[#This Row],[yval]]-Table223421023[[#This Row],[REF]]</f>
        <v>1.3788505094837689</v>
      </c>
      <c r="H73" s="29">
        <f>Table223421023[[#This Row],[X-Y]]-E$20</f>
        <v>0.60035352528378105</v>
      </c>
      <c r="I73" s="29">
        <f>Table223421023[[#This Row],[yval]]-E$20</f>
        <v>11.690353725283781</v>
      </c>
      <c r="J73" s="29">
        <f>Table223421023[[#This Row],[yval]]*E$21+E$22</f>
        <v>11.18073726899398</v>
      </c>
      <c r="K73" s="56">
        <f>Table223421023[[#This Row],[Yest]]-Table223421023[[#This Row],[REF]]</f>
        <v>9.0737068993979264E-2</v>
      </c>
      <c r="L73" s="56">
        <f>ABS(Table223421023[[#This Row],[RESyx]])</f>
        <v>9.0737068993979264E-2</v>
      </c>
      <c r="M73" s="29">
        <f>Table223421023[[#This Row],[yval]]*E$25+E$26</f>
        <v>11.444717312455049</v>
      </c>
      <c r="N73" s="29">
        <f>Table223421023[[#This Row],[X-Y]]^2</f>
        <v>1.901228727503649</v>
      </c>
      <c r="O73" s="57">
        <f>Table223421023[[#This Row],[yest_rect]]-Table223421023[[#This Row],[REF]]</f>
        <v>0.35471711245504878</v>
      </c>
      <c r="P73" s="57">
        <f>Table223421023[[#This Row],[dif rec]]^2</f>
        <v>0.12582422986844771</v>
      </c>
      <c r="Q73" s="57">
        <f>ABS(Table223421023[[#This Row],[diff-bias]])</f>
        <v>0.60035352528378105</v>
      </c>
      <c r="R73" s="57">
        <f ca="1">CELL("row",Table223421023[[#This Row],[Position]])</f>
        <v>73</v>
      </c>
      <c r="S73" s="4">
        <f>Table223421023[[#This Row],[REF]]-D$13</f>
        <v>7.9999949999999487E-2</v>
      </c>
      <c r="T73" s="4">
        <f>ABS(Table223421023[[#This Row],[lab-med]])</f>
        <v>7.9999949999999487E-2</v>
      </c>
      <c r="U73" s="4">
        <f>Table223421023[[#This Row],[yval]]-F$13</f>
        <v>0.50106331147956773</v>
      </c>
      <c r="V73" s="4">
        <f>ABS(Table223421023[[#This Row],[anl-med]])</f>
        <v>0.50106331147956773</v>
      </c>
      <c r="W73" s="4">
        <f>Table223421023[[#This Row],[lab-med]]*Table223421023[[#This Row],[anl-med]]</f>
        <v>4.0085039865199588E-2</v>
      </c>
    </row>
    <row r="74" spans="2:23" ht="14.4" x14ac:dyDescent="0.3">
      <c r="B74" s="46">
        <f ca="1">VALUE((Table223421023[[#This Row],[Column3]]-62))</f>
        <v>12</v>
      </c>
      <c r="C74" t="s">
        <v>80</v>
      </c>
      <c r="D74">
        <v>11.6199999</v>
      </c>
      <c r="E74"/>
      <c r="F74" s="84">
        <v>12.134379195170681</v>
      </c>
      <c r="G74" s="29">
        <f>Table223421023[[#This Row],[yval]]-Table223421023[[#This Row],[REF]]</f>
        <v>0.51437929517068071</v>
      </c>
      <c r="H74" s="29">
        <f>Table223421023[[#This Row],[X-Y]]-E$20</f>
        <v>-0.2641176890293071</v>
      </c>
      <c r="I74" s="29">
        <f>Table223421023[[#This Row],[yval]]-E$20</f>
        <v>11.355882210970693</v>
      </c>
      <c r="J74" s="29">
        <f>Table223421023[[#This Row],[yval]]*E$21+E$22</f>
        <v>11.139716884570472</v>
      </c>
      <c r="K74" s="56">
        <f>Table223421023[[#This Row],[Yest]]-Table223421023[[#This Row],[REF]]</f>
        <v>-0.48028301542952789</v>
      </c>
      <c r="L74" s="56">
        <f>ABS(Table223421023[[#This Row],[RESyx]])</f>
        <v>0.48028301542952789</v>
      </c>
      <c r="M74" s="29">
        <f>Table223421023[[#This Row],[yval]]*E$25+E$26</f>
        <v>11.251689980324382</v>
      </c>
      <c r="N74" s="29">
        <f>Table223421023[[#This Row],[X-Y]]^2</f>
        <v>0.26458605930028628</v>
      </c>
      <c r="O74" s="57">
        <f>Table223421023[[#This Row],[yest_rect]]-Table223421023[[#This Row],[REF]]</f>
        <v>-0.36830991967561744</v>
      </c>
      <c r="P74" s="57">
        <f>Table223421023[[#This Row],[dif rec]]^2</f>
        <v>0.13565219693145977</v>
      </c>
      <c r="Q74" s="57">
        <f>ABS(Table223421023[[#This Row],[diff-bias]])</f>
        <v>0.2641176890293071</v>
      </c>
      <c r="R74" s="57">
        <f ca="1">CELL("row",Table223421023[[#This Row],[Position]])</f>
        <v>74</v>
      </c>
      <c r="S74" s="4">
        <f>Table223421023[[#This Row],[REF]]-D$13</f>
        <v>0.60999964999999889</v>
      </c>
      <c r="T74" s="4">
        <f>ABS(Table223421023[[#This Row],[lab-med]])</f>
        <v>0.60999964999999889</v>
      </c>
      <c r="U74" s="4">
        <f>Table223421023[[#This Row],[yval]]-F$13</f>
        <v>0.16659179716647898</v>
      </c>
      <c r="V74" s="4">
        <f>ABS(Table223421023[[#This Row],[anl-med]])</f>
        <v>0.16659179716647898</v>
      </c>
      <c r="W74" s="4">
        <f>Table223421023[[#This Row],[lab-med]]*Table223421023[[#This Row],[anl-med]]</f>
        <v>0.10162093796442298</v>
      </c>
    </row>
    <row r="75" spans="2:23" ht="14.4" x14ac:dyDescent="0.3">
      <c r="B75" s="46">
        <f ca="1">VALUE((Table223421023[[#This Row],[Column3]]-62))</f>
        <v>13</v>
      </c>
      <c r="C75" t="s">
        <v>81</v>
      </c>
      <c r="D75">
        <v>9.9600000000000009</v>
      </c>
      <c r="E75"/>
      <c r="F75" s="84">
        <v>8.3660186389140492</v>
      </c>
      <c r="G75" s="29">
        <f>Table223421023[[#This Row],[yval]]-Table223421023[[#This Row],[REF]]</f>
        <v>-1.5939813610859517</v>
      </c>
      <c r="H75" s="29">
        <f>Table223421023[[#This Row],[X-Y]]-E$20</f>
        <v>-2.3724783452859395</v>
      </c>
      <c r="I75" s="29">
        <f>Table223421023[[#This Row],[yval]]-E$20</f>
        <v>7.5875216547140614</v>
      </c>
      <c r="J75" s="29">
        <f>Table223421023[[#This Row],[yval]]*E$21+E$22</f>
        <v>10.677556156230148</v>
      </c>
      <c r="K75" s="56">
        <f>Table223421023[[#This Row],[Yest]]-Table223421023[[#This Row],[REF]]</f>
        <v>0.71755615623014712</v>
      </c>
      <c r="L75" s="56">
        <f>ABS(Table223421023[[#This Row],[RESyx]])</f>
        <v>0.71755615623014712</v>
      </c>
      <c r="M75" s="29">
        <f>Table223421023[[#This Row],[yval]]*E$25+E$26</f>
        <v>9.0769260511015197</v>
      </c>
      <c r="N75" s="29">
        <f>Table223421023[[#This Row],[X-Y]]^2</f>
        <v>2.5407765794894233</v>
      </c>
      <c r="O75" s="57">
        <f>Table223421023[[#This Row],[yest_rect]]-Table223421023[[#This Row],[REF]]</f>
        <v>-0.88307394889848112</v>
      </c>
      <c r="P75" s="57">
        <f>Table223421023[[#This Row],[dif rec]]^2</f>
        <v>0.77981959922315724</v>
      </c>
      <c r="Q75" s="57">
        <f>ABS(Table223421023[[#This Row],[diff-bias]])</f>
        <v>2.3724783452859395</v>
      </c>
      <c r="R75" s="57">
        <f ca="1">CELL("row",Table223421023[[#This Row],[Position]])</f>
        <v>75</v>
      </c>
      <c r="S75" s="4">
        <f>Table223421023[[#This Row],[REF]]-D$13</f>
        <v>-1.0500002500000001</v>
      </c>
      <c r="T75" s="4">
        <f>ABS(Table223421023[[#This Row],[lab-med]])</f>
        <v>1.0500002500000001</v>
      </c>
      <c r="U75" s="4">
        <f>Table223421023[[#This Row],[yval]]-F$13</f>
        <v>-3.6017687590901524</v>
      </c>
      <c r="V75" s="4">
        <f>ABS(Table223421023[[#This Row],[anl-med]])</f>
        <v>3.6017687590901524</v>
      </c>
      <c r="W75" s="4">
        <f>Table223421023[[#This Row],[lab-med]]*Table223421023[[#This Row],[anl-med]]</f>
        <v>3.7818580974868499</v>
      </c>
    </row>
    <row r="76" spans="2:23" ht="14.4" x14ac:dyDescent="0.3">
      <c r="B76" s="46">
        <f ca="1">VALUE((Table223421023[[#This Row],[Column3]]-62))</f>
        <v>14</v>
      </c>
      <c r="C76" t="s">
        <v>82</v>
      </c>
      <c r="D76">
        <v>9.5</v>
      </c>
      <c r="E76"/>
      <c r="F76" s="84">
        <v>12.447517210997249</v>
      </c>
      <c r="G76" s="29">
        <f>Table223421023[[#This Row],[yval]]-Table223421023[[#This Row],[REF]]</f>
        <v>2.9475172109972494</v>
      </c>
      <c r="H76" s="29">
        <f>Table223421023[[#This Row],[X-Y]]-E$20</f>
        <v>2.1690202267972616</v>
      </c>
      <c r="I76" s="29">
        <f>Table223421023[[#This Row],[yval]]-E$20</f>
        <v>11.669020226797262</v>
      </c>
      <c r="J76" s="29">
        <f>Table223421023[[#This Row],[yval]]*E$21+E$22</f>
        <v>11.178120877846851</v>
      </c>
      <c r="K76" s="56">
        <f>Table223421023[[#This Row],[Yest]]-Table223421023[[#This Row],[REF]]</f>
        <v>1.678120877846851</v>
      </c>
      <c r="L76" s="56">
        <f>ABS(Table223421023[[#This Row],[RESyx]])</f>
        <v>1.678120877846851</v>
      </c>
      <c r="M76" s="29">
        <f>Table223421023[[#This Row],[yval]]*E$25+E$26</f>
        <v>11.432405506750687</v>
      </c>
      <c r="N76" s="29">
        <f>Table223421023[[#This Row],[X-Y]]^2</f>
        <v>8.6878577091250033</v>
      </c>
      <c r="O76" s="57">
        <f>Table223421023[[#This Row],[yest_rect]]-Table223421023[[#This Row],[REF]]</f>
        <v>1.9324055067506869</v>
      </c>
      <c r="P76" s="57">
        <f>Table223421023[[#This Row],[dif rec]]^2</f>
        <v>3.7341910425203788</v>
      </c>
      <c r="Q76" s="57">
        <f>ABS(Table223421023[[#This Row],[diff-bias]])</f>
        <v>2.1690202267972616</v>
      </c>
      <c r="R76" s="57">
        <f ca="1">CELL("row",Table223421023[[#This Row],[Position]])</f>
        <v>76</v>
      </c>
      <c r="S76" s="4">
        <f>Table223421023[[#This Row],[REF]]-D$13</f>
        <v>-1.5100002500000009</v>
      </c>
      <c r="T76" s="4">
        <f>ABS(Table223421023[[#This Row],[lab-med]])</f>
        <v>1.5100002500000009</v>
      </c>
      <c r="U76" s="4">
        <f>Table223421023[[#This Row],[yval]]-F$13</f>
        <v>0.47972981299304784</v>
      </c>
      <c r="V76" s="4">
        <f>ABS(Table223421023[[#This Row],[anl-med]])</f>
        <v>0.47972981299304784</v>
      </c>
      <c r="W76" s="4">
        <f>Table223421023[[#This Row],[lab-med]]*Table223421023[[#This Row],[anl-med]]</f>
        <v>-0.72439213755195597</v>
      </c>
    </row>
    <row r="77" spans="2:23" ht="14.4" x14ac:dyDescent="0.3">
      <c r="B77" s="46">
        <f ca="1">VALUE((Table223421023[[#This Row],[Column3]]-62))</f>
        <v>15</v>
      </c>
      <c r="C77" t="s">
        <v>83</v>
      </c>
      <c r="D77">
        <v>9.9899997999999997</v>
      </c>
      <c r="E77"/>
      <c r="F77" s="84">
        <v>9.3690118521508374</v>
      </c>
      <c r="G77" s="29">
        <f>Table223421023[[#This Row],[yval]]-Table223421023[[#This Row],[REF]]</f>
        <v>-0.62098794784916223</v>
      </c>
      <c r="H77" s="29">
        <f>Table223421023[[#This Row],[X-Y]]-E$20</f>
        <v>-1.39948493204915</v>
      </c>
      <c r="I77" s="29">
        <f>Table223421023[[#This Row],[yval]]-E$20</f>
        <v>8.5905148679508496</v>
      </c>
      <c r="J77" s="29">
        <f>Table223421023[[#This Row],[yval]]*E$21+E$22</f>
        <v>10.800565636620842</v>
      </c>
      <c r="K77" s="56">
        <f>Table223421023[[#This Row],[Yest]]-Table223421023[[#This Row],[REF]]</f>
        <v>0.81056583662084236</v>
      </c>
      <c r="L77" s="56">
        <f>ABS(Table223421023[[#This Row],[RESyx]])</f>
        <v>0.81056583662084236</v>
      </c>
      <c r="M77" s="29">
        <f>Table223421023[[#This Row],[yval]]*E$25+E$26</f>
        <v>9.6557648933086764</v>
      </c>
      <c r="N77" s="29">
        <f>Table223421023[[#This Row],[X-Y]]^2</f>
        <v>0.38562603137391382</v>
      </c>
      <c r="O77" s="57">
        <f>Table223421023[[#This Row],[yest_rect]]-Table223421023[[#This Row],[REF]]</f>
        <v>-0.33423490669132327</v>
      </c>
      <c r="P77" s="57">
        <f>Table223421023[[#This Row],[dif rec]]^2</f>
        <v>0.11171297285095758</v>
      </c>
      <c r="Q77" s="57">
        <f>ABS(Table223421023[[#This Row],[diff-bias]])</f>
        <v>1.39948493204915</v>
      </c>
      <c r="R77" s="57">
        <f ca="1">CELL("row",Table223421023[[#This Row],[Position]])</f>
        <v>77</v>
      </c>
      <c r="S77" s="4">
        <f>Table223421023[[#This Row],[REF]]-D$13</f>
        <v>-1.0200004500000013</v>
      </c>
      <c r="T77" s="4">
        <f>ABS(Table223421023[[#This Row],[lab-med]])</f>
        <v>1.0200004500000013</v>
      </c>
      <c r="U77" s="4">
        <f>Table223421023[[#This Row],[yval]]-F$13</f>
        <v>-2.5987755458533641</v>
      </c>
      <c r="V77" s="4">
        <f>ABS(Table223421023[[#This Row],[anl-med]])</f>
        <v>2.5987755458533641</v>
      </c>
      <c r="W77" s="4">
        <f>Table223421023[[#This Row],[lab-med]]*Table223421023[[#This Row],[anl-med]]</f>
        <v>2.6507522262194305</v>
      </c>
    </row>
    <row r="78" spans="2:23" ht="14.4" x14ac:dyDescent="0.3">
      <c r="B78" s="46">
        <f ca="1">VALUE((Table223421023[[#This Row],[Column3]]-62))</f>
        <v>16</v>
      </c>
      <c r="C78" t="s">
        <v>84</v>
      </c>
      <c r="D78">
        <v>10.0100002</v>
      </c>
      <c r="E78"/>
      <c r="F78" s="84">
        <v>10.714098985636181</v>
      </c>
      <c r="G78" s="29">
        <f>Table223421023[[#This Row],[yval]]-Table223421023[[#This Row],[REF]]</f>
        <v>0.70409878563618022</v>
      </c>
      <c r="H78" s="29">
        <f>Table223421023[[#This Row],[X-Y]]-E$20</f>
        <v>-7.4398198563807583E-2</v>
      </c>
      <c r="I78" s="29">
        <f>Table223421023[[#This Row],[yval]]-E$20</f>
        <v>9.9356020014361928</v>
      </c>
      <c r="J78" s="29">
        <f>Table223421023[[#This Row],[yval]]*E$21+E$22</f>
        <v>10.965530331482819</v>
      </c>
      <c r="K78" s="56">
        <f>Table223421023[[#This Row],[Yest]]-Table223421023[[#This Row],[REF]]</f>
        <v>0.95553013148281885</v>
      </c>
      <c r="L78" s="56">
        <f>ABS(Table223421023[[#This Row],[RESyx]])</f>
        <v>0.95553013148281885</v>
      </c>
      <c r="M78" s="29">
        <f>Table223421023[[#This Row],[yval]]*E$25+E$26</f>
        <v>10.432030045195191</v>
      </c>
      <c r="N78" s="29">
        <f>Table223421023[[#This Row],[X-Y]]^2</f>
        <v>0.49575509993434369</v>
      </c>
      <c r="O78" s="57">
        <f>Table223421023[[#This Row],[yest_rect]]-Table223421023[[#This Row],[REF]]</f>
        <v>0.42202984519519049</v>
      </c>
      <c r="P78" s="57">
        <f>Table223421023[[#This Row],[dif rec]]^2</f>
        <v>0.17810919023547644</v>
      </c>
      <c r="Q78" s="57">
        <f>ABS(Table223421023[[#This Row],[diff-bias]])</f>
        <v>7.4398198563807583E-2</v>
      </c>
      <c r="R78" s="57">
        <f ca="1">CELL("row",Table223421023[[#This Row],[Position]])</f>
        <v>78</v>
      </c>
      <c r="S78" s="4">
        <f>Table223421023[[#This Row],[REF]]-D$13</f>
        <v>-1.0000000500000006</v>
      </c>
      <c r="T78" s="4">
        <f>ABS(Table223421023[[#This Row],[lab-med]])</f>
        <v>1.0000000500000006</v>
      </c>
      <c r="U78" s="4">
        <f>Table223421023[[#This Row],[yval]]-F$13</f>
        <v>-1.253688412368021</v>
      </c>
      <c r="V78" s="4">
        <f>ABS(Table223421023[[#This Row],[anl-med]])</f>
        <v>1.253688412368021</v>
      </c>
      <c r="W78" s="4">
        <f>Table223421023[[#This Row],[lab-med]]*Table223421023[[#This Row],[anl-med]]</f>
        <v>1.2536884750524424</v>
      </c>
    </row>
    <row r="79" spans="2:23" ht="14.4" x14ac:dyDescent="0.3">
      <c r="B79" s="46">
        <f ca="1">VALUE((Table223421023[[#This Row],[Column3]]-62))</f>
        <v>17</v>
      </c>
      <c r="C79" t="s">
        <v>85</v>
      </c>
      <c r="D79">
        <v>9.8299999000000007</v>
      </c>
      <c r="E79"/>
      <c r="F79" s="84">
        <v>12.44493285637056</v>
      </c>
      <c r="G79" s="29">
        <f>Table223421023[[#This Row],[yval]]-Table223421023[[#This Row],[REF]]</f>
        <v>2.6149329563705592</v>
      </c>
      <c r="H79" s="29">
        <f>Table223421023[[#This Row],[X-Y]]-E$20</f>
        <v>1.8364359721705714</v>
      </c>
      <c r="I79" s="29">
        <f>Table223421023[[#This Row],[yval]]-E$20</f>
        <v>11.666435872170572</v>
      </c>
      <c r="J79" s="29">
        <f>Table223421023[[#This Row],[yval]]*E$21+E$22</f>
        <v>11.177803926430252</v>
      </c>
      <c r="K79" s="56">
        <f>Table223421023[[#This Row],[Yest]]-Table223421023[[#This Row],[REF]]</f>
        <v>1.3478040264302518</v>
      </c>
      <c r="L79" s="56">
        <f>ABS(Table223421023[[#This Row],[RESyx]])</f>
        <v>1.3478040264302518</v>
      </c>
      <c r="M79" s="29">
        <f>Table223421023[[#This Row],[yval]]*E$25+E$26</f>
        <v>11.430914046170273</v>
      </c>
      <c r="N79" s="29">
        <f>Table223421023[[#This Row],[X-Y]]^2</f>
        <v>6.8378743663128727</v>
      </c>
      <c r="O79" s="57">
        <f>Table223421023[[#This Row],[yest_rect]]-Table223421023[[#This Row],[REF]]</f>
        <v>1.6009141461702718</v>
      </c>
      <c r="P79" s="57">
        <f>Table223421023[[#This Row],[dif rec]]^2</f>
        <v>2.5629261034080906</v>
      </c>
      <c r="Q79" s="57">
        <f>ABS(Table223421023[[#This Row],[diff-bias]])</f>
        <v>1.8364359721705714</v>
      </c>
      <c r="R79" s="57">
        <f ca="1">CELL("row",Table223421023[[#This Row],[Position]])</f>
        <v>79</v>
      </c>
      <c r="S79" s="4">
        <f>Table223421023[[#This Row],[REF]]-D$13</f>
        <v>-1.1800003500000003</v>
      </c>
      <c r="T79" s="4">
        <f>ABS(Table223421023[[#This Row],[lab-med]])</f>
        <v>1.1800003500000003</v>
      </c>
      <c r="U79" s="4">
        <f>Table223421023[[#This Row],[yval]]-F$13</f>
        <v>0.47714545836635835</v>
      </c>
      <c r="V79" s="4">
        <f>ABS(Table223421023[[#This Row],[anl-med]])</f>
        <v>0.47714545836635835</v>
      </c>
      <c r="W79" s="4">
        <f>Table223421023[[#This Row],[lab-med]]*Table223421023[[#This Row],[anl-med]]</f>
        <v>-0.56303180787321339</v>
      </c>
    </row>
    <row r="80" spans="2:23" ht="14.4" x14ac:dyDescent="0.3">
      <c r="B80" s="46">
        <f ca="1">VALUE((Table223421023[[#This Row],[Column3]]-62))</f>
        <v>18</v>
      </c>
      <c r="C80" t="s">
        <v>86</v>
      </c>
      <c r="D80">
        <v>9.5699997000000003</v>
      </c>
      <c r="E80"/>
      <c r="F80" s="84">
        <v>12.906566910844839</v>
      </c>
      <c r="G80" s="29">
        <f>Table223421023[[#This Row],[yval]]-Table223421023[[#This Row],[REF]]</f>
        <v>3.336567210844839</v>
      </c>
      <c r="H80" s="29">
        <f>Table223421023[[#This Row],[X-Y]]-E$20</f>
        <v>2.5580702266448512</v>
      </c>
      <c r="I80" s="29">
        <f>Table223421023[[#This Row],[yval]]-E$20</f>
        <v>12.128069926644852</v>
      </c>
      <c r="J80" s="29">
        <f>Table223421023[[#This Row],[yval]]*E$21+E$22</f>
        <v>11.234419828135387</v>
      </c>
      <c r="K80" s="56">
        <f>Table223421023[[#This Row],[Yest]]-Table223421023[[#This Row],[REF]]</f>
        <v>1.6644201281353865</v>
      </c>
      <c r="L80" s="56">
        <f>ABS(Table223421023[[#This Row],[RESyx]])</f>
        <v>1.6644201281353865</v>
      </c>
      <c r="M80" s="29">
        <f>Table223421023[[#This Row],[yval]]*E$25+E$26</f>
        <v>11.697328333015705</v>
      </c>
      <c r="N80" s="29">
        <f>Table223421023[[#This Row],[X-Y]]^2</f>
        <v>11.132680752484909</v>
      </c>
      <c r="O80" s="57">
        <f>Table223421023[[#This Row],[yest_rect]]-Table223421023[[#This Row],[REF]]</f>
        <v>2.1273286330157042</v>
      </c>
      <c r="P80" s="57">
        <f>Table223421023[[#This Row],[dif rec]]^2</f>
        <v>4.5255271128484642</v>
      </c>
      <c r="Q80" s="57">
        <f>ABS(Table223421023[[#This Row],[diff-bias]])</f>
        <v>2.5580702266448512</v>
      </c>
      <c r="R80" s="57">
        <f ca="1">CELL("row",Table223421023[[#This Row],[Position]])</f>
        <v>80</v>
      </c>
      <c r="S80" s="4">
        <f>Table223421023[[#This Row],[REF]]-D$13</f>
        <v>-1.4400005500000006</v>
      </c>
      <c r="T80" s="4">
        <f>ABS(Table223421023[[#This Row],[lab-med]])</f>
        <v>1.4400005500000006</v>
      </c>
      <c r="U80" s="4">
        <f>Table223421023[[#This Row],[yval]]-F$13</f>
        <v>0.93877951284063776</v>
      </c>
      <c r="V80" s="4">
        <f>ABS(Table223421023[[#This Row],[anl-med]])</f>
        <v>0.93877951284063776</v>
      </c>
      <c r="W80" s="4">
        <f>Table223421023[[#This Row],[lab-med]]*Table223421023[[#This Row],[anl-med]]</f>
        <v>-1.3518430148192511</v>
      </c>
    </row>
    <row r="81" spans="2:23" ht="14.4" x14ac:dyDescent="0.3">
      <c r="B81" s="46">
        <f ca="1">VALUE((Table223421023[[#This Row],[Column3]]-62))</f>
        <v>19</v>
      </c>
      <c r="C81" t="s">
        <v>87</v>
      </c>
      <c r="D81">
        <v>9.9200000999999993</v>
      </c>
      <c r="E81"/>
      <c r="F81" s="84">
        <v>11.964026913429951</v>
      </c>
      <c r="G81" s="29">
        <f>Table223421023[[#This Row],[yval]]-Table223421023[[#This Row],[REF]]</f>
        <v>2.0440268134299515</v>
      </c>
      <c r="H81" s="29">
        <f>Table223421023[[#This Row],[X-Y]]-E$20</f>
        <v>1.2655298292299637</v>
      </c>
      <c r="I81" s="29">
        <f>Table223421023[[#This Row],[yval]]-E$20</f>
        <v>11.185529929229963</v>
      </c>
      <c r="J81" s="29">
        <f>Table223421023[[#This Row],[yval]]*E$21+E$22</f>
        <v>11.118824474348999</v>
      </c>
      <c r="K81" s="56">
        <f>Table223421023[[#This Row],[Yest]]-Table223421023[[#This Row],[REF]]</f>
        <v>1.1988243743489999</v>
      </c>
      <c r="L81" s="56">
        <f>ABS(Table223421023[[#This Row],[RESyx]])</f>
        <v>1.1988243743489999</v>
      </c>
      <c r="M81" s="29">
        <f>Table223421023[[#This Row],[yval]]*E$25+E$26</f>
        <v>11.153377732316308</v>
      </c>
      <c r="N81" s="29">
        <f>Table223421023[[#This Row],[X-Y]]^2</f>
        <v>4.1780456140206015</v>
      </c>
      <c r="O81" s="57">
        <f>Table223421023[[#This Row],[yest_rect]]-Table223421023[[#This Row],[REF]]</f>
        <v>1.2333776323163086</v>
      </c>
      <c r="P81" s="57">
        <f>Table223421023[[#This Row],[dif rec]]^2</f>
        <v>1.5212203838981833</v>
      </c>
      <c r="Q81" s="57">
        <f>ABS(Table223421023[[#This Row],[diff-bias]])</f>
        <v>1.2655298292299637</v>
      </c>
      <c r="R81" s="57">
        <f ca="1">CELL("row",Table223421023[[#This Row],[Position]])</f>
        <v>81</v>
      </c>
      <c r="S81" s="4">
        <f>Table223421023[[#This Row],[REF]]-D$13</f>
        <v>-1.0900001500000016</v>
      </c>
      <c r="T81" s="4">
        <f>ABS(Table223421023[[#This Row],[lab-med]])</f>
        <v>1.0900001500000016</v>
      </c>
      <c r="U81" s="4">
        <f>Table223421023[[#This Row],[yval]]-F$13</f>
        <v>-3.7604845742507109E-3</v>
      </c>
      <c r="V81" s="4">
        <f>ABS(Table223421023[[#This Row],[anl-med]])</f>
        <v>3.7604845742507109E-3</v>
      </c>
      <c r="W81" s="4">
        <f>Table223421023[[#This Row],[lab-med]]*Table223421023[[#This Row],[anl-med]]</f>
        <v>4.098928750005967E-3</v>
      </c>
    </row>
    <row r="82" spans="2:23" ht="14.4" x14ac:dyDescent="0.3">
      <c r="B82" s="46">
        <f ca="1">VALUE((Table223421023[[#This Row],[Column3]]-62))</f>
        <v>20</v>
      </c>
      <c r="C82" t="s">
        <v>88</v>
      </c>
      <c r="D82">
        <v>11.670000099999999</v>
      </c>
      <c r="E82"/>
      <c r="F82" s="84">
        <v>10.168167717309119</v>
      </c>
      <c r="G82" s="29">
        <f>Table223421023[[#This Row],[yval]]-Table223421023[[#This Row],[REF]]</f>
        <v>-1.5018323826908802</v>
      </c>
      <c r="H82" s="29">
        <f>Table223421023[[#This Row],[X-Y]]-E$20</f>
        <v>-2.280329366890868</v>
      </c>
      <c r="I82" s="29">
        <f>Table223421023[[#This Row],[yval]]-E$20</f>
        <v>9.3896707331091314</v>
      </c>
      <c r="J82" s="29">
        <f>Table223421023[[#This Row],[yval]]*E$21+E$22</f>
        <v>10.898576018373134</v>
      </c>
      <c r="K82" s="56">
        <f>Table223421023[[#This Row],[Yest]]-Table223421023[[#This Row],[REF]]</f>
        <v>-0.77142408162686493</v>
      </c>
      <c r="L82" s="56">
        <f>ABS(Table223421023[[#This Row],[RESyx]])</f>
        <v>0.77142408162686493</v>
      </c>
      <c r="M82" s="29">
        <f>Table223421023[[#This Row],[yval]]*E$25+E$26</f>
        <v>10.116966873169003</v>
      </c>
      <c r="N82" s="29">
        <f>Table223421023[[#This Row],[X-Y]]^2</f>
        <v>2.2555005056989663</v>
      </c>
      <c r="O82" s="57">
        <f>Table223421023[[#This Row],[yest_rect]]-Table223421023[[#This Row],[REF]]</f>
        <v>-1.5530332268309959</v>
      </c>
      <c r="P82" s="57">
        <f>Table223421023[[#This Row],[dif rec]]^2</f>
        <v>2.4119122036410956</v>
      </c>
      <c r="Q82" s="57">
        <f>ABS(Table223421023[[#This Row],[diff-bias]])</f>
        <v>2.280329366890868</v>
      </c>
      <c r="R82" s="57">
        <f ca="1">CELL("row",Table223421023[[#This Row],[Position]])</f>
        <v>82</v>
      </c>
      <c r="S82" s="4">
        <f>Table223421023[[#This Row],[REF]]-D$13</f>
        <v>0.65999984999999839</v>
      </c>
      <c r="T82" s="4">
        <f>ABS(Table223421023[[#This Row],[lab-med]])</f>
        <v>0.65999984999999839</v>
      </c>
      <c r="U82" s="4">
        <f>Table223421023[[#This Row],[yval]]-F$13</f>
        <v>-1.7996196806950824</v>
      </c>
      <c r="V82" s="4">
        <f>ABS(Table223421023[[#This Row],[anl-med]])</f>
        <v>1.7996196806950824</v>
      </c>
      <c r="W82" s="4">
        <f>Table223421023[[#This Row],[lab-med]]*Table223421023[[#This Row],[anl-med]]</f>
        <v>-1.1877487193157994</v>
      </c>
    </row>
    <row r="83" spans="2:23" ht="14.4" x14ac:dyDescent="0.3">
      <c r="B83" s="46">
        <f ca="1">VALUE((Table223421023[[#This Row],[Column3]]-62))</f>
        <v>21</v>
      </c>
      <c r="C83" t="s">
        <v>89</v>
      </c>
      <c r="D83">
        <v>11.5</v>
      </c>
      <c r="E83"/>
      <c r="F83" s="84">
        <v>9.2710417746237503</v>
      </c>
      <c r="G83" s="29">
        <f>Table223421023[[#This Row],[yval]]-Table223421023[[#This Row],[REF]]</f>
        <v>-2.2289582253762497</v>
      </c>
      <c r="H83" s="29">
        <f>Table223421023[[#This Row],[X-Y]]-E$20</f>
        <v>-3.0074552095762375</v>
      </c>
      <c r="I83" s="29">
        <f>Table223421023[[#This Row],[yval]]-E$20</f>
        <v>8.4925447904237625</v>
      </c>
      <c r="J83" s="29">
        <f>Table223421023[[#This Row],[yval]]*E$21+E$22</f>
        <v>10.788550352597582</v>
      </c>
      <c r="K83" s="56">
        <f>Table223421023[[#This Row],[Yest]]-Table223421023[[#This Row],[REF]]</f>
        <v>-0.7114496474024179</v>
      </c>
      <c r="L83" s="56">
        <f>ABS(Table223421023[[#This Row],[RESyx]])</f>
        <v>0.7114496474024179</v>
      </c>
      <c r="M83" s="29">
        <f>Table223421023[[#This Row],[yval]]*E$25+E$26</f>
        <v>9.5992252422937732</v>
      </c>
      <c r="N83" s="29">
        <f>Table223421023[[#This Row],[X-Y]]^2</f>
        <v>4.9682547704724405</v>
      </c>
      <c r="O83" s="57">
        <f>Table223421023[[#This Row],[yest_rect]]-Table223421023[[#This Row],[REF]]</f>
        <v>-1.9007747577062268</v>
      </c>
      <c r="P83" s="57">
        <f>Table223421023[[#This Row],[dif rec]]^2</f>
        <v>3.6129446795331654</v>
      </c>
      <c r="Q83" s="57">
        <f>ABS(Table223421023[[#This Row],[diff-bias]])</f>
        <v>3.0074552095762375</v>
      </c>
      <c r="R83" s="57">
        <f ca="1">CELL("row",Table223421023[[#This Row],[Position]])</f>
        <v>83</v>
      </c>
      <c r="S83" s="4">
        <f>Table223421023[[#This Row],[REF]]-D$13</f>
        <v>0.48999974999999907</v>
      </c>
      <c r="T83" s="4">
        <f>ABS(Table223421023[[#This Row],[lab-med]])</f>
        <v>0.48999974999999907</v>
      </c>
      <c r="U83" s="4">
        <f>Table223421023[[#This Row],[yval]]-F$13</f>
        <v>-2.6967456233804512</v>
      </c>
      <c r="V83" s="4">
        <f>ABS(Table223421023[[#This Row],[anl-med]])</f>
        <v>2.6967456233804512</v>
      </c>
      <c r="W83" s="4">
        <f>Table223421023[[#This Row],[lab-med]]*Table223421023[[#This Row],[anl-med]]</f>
        <v>-1.3214046812700126</v>
      </c>
    </row>
    <row r="84" spans="2:23" ht="14.4" x14ac:dyDescent="0.3">
      <c r="B84" s="46">
        <f ca="1">VALUE((Table223421023[[#This Row],[Column3]]-62))</f>
        <v>22</v>
      </c>
      <c r="C84" t="s">
        <v>90</v>
      </c>
      <c r="D84">
        <v>11.3699999</v>
      </c>
      <c r="E84"/>
      <c r="F84" s="84">
        <v>11.97154788257845</v>
      </c>
      <c r="G84" s="29">
        <f>Table223421023[[#This Row],[yval]]-Table223421023[[#This Row],[REF]]</f>
        <v>0.60154798257845066</v>
      </c>
      <c r="H84" s="29">
        <f>Table223421023[[#This Row],[X-Y]]-E$20</f>
        <v>-0.17694900162153715</v>
      </c>
      <c r="I84" s="29">
        <f>Table223421023[[#This Row],[yval]]-E$20</f>
        <v>11.193050898378463</v>
      </c>
      <c r="J84" s="29">
        <f>Table223421023[[#This Row],[yval]]*E$21+E$22</f>
        <v>11.119746863947235</v>
      </c>
      <c r="K84" s="56">
        <f>Table223421023[[#This Row],[Yest]]-Table223421023[[#This Row],[REF]]</f>
        <v>-0.25025303605276505</v>
      </c>
      <c r="L84" s="56">
        <f>ABS(Table223421023[[#This Row],[RESyx]])</f>
        <v>0.25025303605276505</v>
      </c>
      <c r="M84" s="29">
        <f>Table223421023[[#This Row],[yval]]*E$25+E$26</f>
        <v>11.157718169536359</v>
      </c>
      <c r="N84" s="29">
        <f>Table223421023[[#This Row],[X-Y]]^2</f>
        <v>0.361859975344204</v>
      </c>
      <c r="O84" s="57">
        <f>Table223421023[[#This Row],[yest_rect]]-Table223421023[[#This Row],[REF]]</f>
        <v>-0.21228173046364063</v>
      </c>
      <c r="P84" s="57">
        <f>Table223421023[[#This Row],[dif rec]]^2</f>
        <v>4.5063533088637767E-2</v>
      </c>
      <c r="Q84" s="57">
        <f>ABS(Table223421023[[#This Row],[diff-bias]])</f>
        <v>0.17694900162153715</v>
      </c>
      <c r="R84" s="57">
        <f ca="1">CELL("row",Table223421023[[#This Row],[Position]])</f>
        <v>84</v>
      </c>
      <c r="S84" s="4">
        <f>Table223421023[[#This Row],[REF]]-D$13</f>
        <v>0.35999964999999889</v>
      </c>
      <c r="T84" s="4">
        <f>ABS(Table223421023[[#This Row],[lab-med]])</f>
        <v>0.35999964999999889</v>
      </c>
      <c r="U84" s="4">
        <f>Table223421023[[#This Row],[yval]]-F$13</f>
        <v>3.7604845742489346E-3</v>
      </c>
      <c r="V84" s="4">
        <f>ABS(Table223421023[[#This Row],[anl-med]])</f>
        <v>3.7604845742489346E-3</v>
      </c>
      <c r="W84" s="4">
        <f>Table223421023[[#This Row],[lab-med]]*Table223421023[[#This Row],[anl-med]]</f>
        <v>1.3537731305600113E-3</v>
      </c>
    </row>
    <row r="85" spans="2:23" ht="14.4" x14ac:dyDescent="0.3">
      <c r="B85" s="46">
        <f ca="1">VALUE((Table223421023[[#This Row],[Column3]]-62))</f>
        <v>23</v>
      </c>
      <c r="C85" t="s">
        <v>91</v>
      </c>
      <c r="D85">
        <v>11.5900002</v>
      </c>
      <c r="E85"/>
      <c r="F85" s="84">
        <v>12.92162308965375</v>
      </c>
      <c r="G85" s="29">
        <f>Table223421023[[#This Row],[yval]]-Table223421023[[#This Row],[REF]]</f>
        <v>1.3316228896537492</v>
      </c>
      <c r="H85" s="29">
        <f>Table223421023[[#This Row],[X-Y]]-E$20</f>
        <v>0.55312590545376139</v>
      </c>
      <c r="I85" s="29">
        <f>Table223421023[[#This Row],[yval]]-E$20</f>
        <v>12.143126105453762</v>
      </c>
      <c r="J85" s="29">
        <f>Table223421023[[#This Row],[yval]]*E$21+E$22</f>
        <v>11.236266353822211</v>
      </c>
      <c r="K85" s="56">
        <f>Table223421023[[#This Row],[Yest]]-Table223421023[[#This Row],[REF]]</f>
        <v>-0.35373384617778925</v>
      </c>
      <c r="L85" s="56">
        <f>ABS(Table223421023[[#This Row],[RESyx]])</f>
        <v>0.35373384617778925</v>
      </c>
      <c r="M85" s="29">
        <f>Table223421023[[#This Row],[yval]]*E$25+E$26</f>
        <v>11.706017425817926</v>
      </c>
      <c r="N85" s="29">
        <f>Table223421023[[#This Row],[X-Y]]^2</f>
        <v>1.7732195202498011</v>
      </c>
      <c r="O85" s="57">
        <f>Table223421023[[#This Row],[yest_rect]]-Table223421023[[#This Row],[REF]]</f>
        <v>0.11601722581792551</v>
      </c>
      <c r="P85" s="57">
        <f>Table223421023[[#This Row],[dif rec]]^2</f>
        <v>1.3459996686487521E-2</v>
      </c>
      <c r="Q85" s="57">
        <f>ABS(Table223421023[[#This Row],[diff-bias]])</f>
        <v>0.55312590545376139</v>
      </c>
      <c r="R85" s="57">
        <f ca="1">CELL("row",Table223421023[[#This Row],[Position]])</f>
        <v>85</v>
      </c>
      <c r="S85" s="4">
        <f>Table223421023[[#This Row],[REF]]-D$13</f>
        <v>0.57999994999999949</v>
      </c>
      <c r="T85" s="4">
        <f>ABS(Table223421023[[#This Row],[lab-med]])</f>
        <v>0.57999994999999949</v>
      </c>
      <c r="U85" s="4">
        <f>Table223421023[[#This Row],[yval]]-F$13</f>
        <v>0.95383569164954807</v>
      </c>
      <c r="V85" s="4">
        <f>ABS(Table223421023[[#This Row],[anl-med]])</f>
        <v>0.95383569164954807</v>
      </c>
      <c r="W85" s="4">
        <f>Table223421023[[#This Row],[lab-med]]*Table223421023[[#This Row],[anl-med]]</f>
        <v>0.55322465346495275</v>
      </c>
    </row>
    <row r="86" spans="2:23" ht="14.4" x14ac:dyDescent="0.3">
      <c r="B86" s="46">
        <f ca="1">VALUE((Table223421023[[#This Row],[Column3]]-62))</f>
        <v>24</v>
      </c>
      <c r="C86" t="s">
        <v>92</v>
      </c>
      <c r="D86">
        <v>9.8800001000000002</v>
      </c>
      <c r="E86"/>
      <c r="F86" s="84">
        <v>13.313125921168041</v>
      </c>
      <c r="G86" s="29">
        <f>Table223421023[[#This Row],[yval]]-Table223421023[[#This Row],[REF]]</f>
        <v>3.4331258211680407</v>
      </c>
      <c r="H86" s="29">
        <f>Table223421023[[#This Row],[X-Y]]-E$20</f>
        <v>2.6546288369680529</v>
      </c>
      <c r="I86" s="29">
        <f>Table223421023[[#This Row],[yval]]-E$20</f>
        <v>12.534628936968053</v>
      </c>
      <c r="J86" s="29">
        <f>Table223421023[[#This Row],[yval]]*E$21+E$22</f>
        <v>11.284281195039975</v>
      </c>
      <c r="K86" s="56">
        <f>Table223421023[[#This Row],[Yest]]-Table223421023[[#This Row],[REF]]</f>
        <v>1.4042810950399751</v>
      </c>
      <c r="L86" s="56">
        <f>ABS(Table223421023[[#This Row],[RESyx]])</f>
        <v>1.4042810950399751</v>
      </c>
      <c r="M86" s="29">
        <f>Table223421023[[#This Row],[yval]]*E$25+E$26</f>
        <v>11.931958182668348</v>
      </c>
      <c r="N86" s="29">
        <f>Table223421023[[#This Row],[X-Y]]^2</f>
        <v>11.786352903970734</v>
      </c>
      <c r="O86" s="57">
        <f>Table223421023[[#This Row],[yest_rect]]-Table223421023[[#This Row],[REF]]</f>
        <v>2.0519580826683477</v>
      </c>
      <c r="P86" s="57">
        <f>Table223421023[[#This Row],[dif rec]]^2</f>
        <v>4.2105319730279618</v>
      </c>
      <c r="Q86" s="57">
        <f>ABS(Table223421023[[#This Row],[diff-bias]])</f>
        <v>2.6546288369680529</v>
      </c>
      <c r="R86" s="57">
        <f ca="1">CELL("row",Table223421023[[#This Row],[Position]])</f>
        <v>86</v>
      </c>
      <c r="S86" s="4">
        <f>Table223421023[[#This Row],[REF]]-D$13</f>
        <v>-1.1300001500000008</v>
      </c>
      <c r="T86" s="4">
        <f>ABS(Table223421023[[#This Row],[lab-med]])</f>
        <v>1.1300001500000008</v>
      </c>
      <c r="U86" s="4">
        <f>Table223421023[[#This Row],[yval]]-F$13</f>
        <v>1.3453385231638393</v>
      </c>
      <c r="V86" s="4">
        <f>ABS(Table223421023[[#This Row],[anl-med]])</f>
        <v>1.3453385231638393</v>
      </c>
      <c r="W86" s="4">
        <f>Table223421023[[#This Row],[lab-med]]*Table223421023[[#This Row],[anl-med]]</f>
        <v>-1.520232732975918</v>
      </c>
    </row>
    <row r="87" spans="2:23" ht="14.4" x14ac:dyDescent="0.3">
      <c r="B87" s="46">
        <f ca="1">VALUE((Table223421023[[#This Row],[Column3]]-62))</f>
        <v>25</v>
      </c>
      <c r="C87" t="s">
        <v>93</v>
      </c>
      <c r="D87">
        <v>11.8400002</v>
      </c>
      <c r="E87"/>
      <c r="F87" s="84">
        <v>12.92334256244372</v>
      </c>
      <c r="G87" s="29">
        <f>Table223421023[[#This Row],[yval]]-Table223421023[[#This Row],[REF]]</f>
        <v>1.0833423624437195</v>
      </c>
      <c r="H87" s="29">
        <f>Table223421023[[#This Row],[X-Y]]-E$20</f>
        <v>0.3048453782437317</v>
      </c>
      <c r="I87" s="29">
        <f>Table223421023[[#This Row],[yval]]-E$20</f>
        <v>12.144845578243732</v>
      </c>
      <c r="J87" s="29">
        <f>Table223421023[[#This Row],[yval]]*E$21+E$22</f>
        <v>11.236477234067111</v>
      </c>
      <c r="K87" s="56">
        <f>Table223421023[[#This Row],[Yest]]-Table223421023[[#This Row],[REF]]</f>
        <v>-0.60352296593288912</v>
      </c>
      <c r="L87" s="56">
        <f>ABS(Table223421023[[#This Row],[RESyx]])</f>
        <v>0.60352296593288912</v>
      </c>
      <c r="M87" s="29">
        <f>Table223421023[[#This Row],[yval]]*E$25+E$26</f>
        <v>11.707009753209396</v>
      </c>
      <c r="N87" s="29">
        <f>Table223421023[[#This Row],[X-Y]]^2</f>
        <v>1.1736306742651392</v>
      </c>
      <c r="O87" s="57">
        <f>Table223421023[[#This Row],[yest_rect]]-Table223421023[[#This Row],[REF]]</f>
        <v>-0.13299044679060401</v>
      </c>
      <c r="P87" s="57">
        <f>Table223421023[[#This Row],[dif rec]]^2</f>
        <v>1.7686458937564476E-2</v>
      </c>
      <c r="Q87" s="57">
        <f>ABS(Table223421023[[#This Row],[diff-bias]])</f>
        <v>0.3048453782437317</v>
      </c>
      <c r="R87" s="57">
        <f ca="1">CELL("row",Table223421023[[#This Row],[Position]])</f>
        <v>87</v>
      </c>
      <c r="S87" s="4">
        <f>Table223421023[[#This Row],[REF]]-D$13</f>
        <v>0.82999994999999949</v>
      </c>
      <c r="T87" s="4">
        <f>ABS(Table223421023[[#This Row],[lab-med]])</f>
        <v>0.82999994999999949</v>
      </c>
      <c r="U87" s="4">
        <f>Table223421023[[#This Row],[yval]]-F$13</f>
        <v>0.95555516443951838</v>
      </c>
      <c r="V87" s="4">
        <f>ABS(Table223421023[[#This Row],[anl-med]])</f>
        <v>0.95555516443951838</v>
      </c>
      <c r="W87" s="4">
        <f>Table223421023[[#This Row],[lab-med]]*Table223421023[[#This Row],[anl-med]]</f>
        <v>0.79311073870704152</v>
      </c>
    </row>
    <row r="88" spans="2:23" ht="14.4" x14ac:dyDescent="0.3">
      <c r="B88" s="46">
        <f ca="1">VALUE((Table223421023[[#This Row],[Column3]]-62))</f>
        <v>26</v>
      </c>
      <c r="C88" t="s">
        <v>94</v>
      </c>
      <c r="D88">
        <v>10</v>
      </c>
      <c r="E88"/>
      <c r="F88" s="84">
        <v>10.25792352490596</v>
      </c>
      <c r="G88" s="29">
        <f>Table223421023[[#This Row],[yval]]-Table223421023[[#This Row],[REF]]</f>
        <v>0.25792352490596038</v>
      </c>
      <c r="H88" s="29">
        <f>Table223421023[[#This Row],[X-Y]]-E$20</f>
        <v>-0.52057345929402743</v>
      </c>
      <c r="I88" s="29">
        <f>Table223421023[[#This Row],[yval]]-E$20</f>
        <v>9.4794265407059726</v>
      </c>
      <c r="J88" s="29">
        <f>Table223421023[[#This Row],[yval]]*E$21+E$22</f>
        <v>10.909583884736362</v>
      </c>
      <c r="K88" s="56">
        <f>Table223421023[[#This Row],[Yest]]-Table223421023[[#This Row],[REF]]</f>
        <v>0.90958388473636198</v>
      </c>
      <c r="L88" s="56">
        <f>ABS(Table223421023[[#This Row],[RESyx]])</f>
        <v>0.90958388473636198</v>
      </c>
      <c r="M88" s="29">
        <f>Table223421023[[#This Row],[yval]]*E$25+E$26</f>
        <v>10.168765975161989</v>
      </c>
      <c r="N88" s="29">
        <f>Table223421023[[#This Row],[X-Y]]^2</f>
        <v>6.6524544699915561E-2</v>
      </c>
      <c r="O88" s="57">
        <f>Table223421023[[#This Row],[yest_rect]]-Table223421023[[#This Row],[REF]]</f>
        <v>0.16876597516198899</v>
      </c>
      <c r="P88" s="57">
        <f>Table223421023[[#This Row],[dif rec]]^2</f>
        <v>2.8481954372377084E-2</v>
      </c>
      <c r="Q88" s="57">
        <f>ABS(Table223421023[[#This Row],[diff-bias]])</f>
        <v>0.52057345929402743</v>
      </c>
      <c r="R88" s="57">
        <f ca="1">CELL("row",Table223421023[[#This Row],[Position]])</f>
        <v>88</v>
      </c>
      <c r="S88" s="4">
        <f>Table223421023[[#This Row],[REF]]-D$13</f>
        <v>-1.0100002500000009</v>
      </c>
      <c r="T88" s="4">
        <f>ABS(Table223421023[[#This Row],[lab-med]])</f>
        <v>1.0100002500000009</v>
      </c>
      <c r="U88" s="4">
        <f>Table223421023[[#This Row],[yval]]-F$13</f>
        <v>-1.7098638730982412</v>
      </c>
      <c r="V88" s="4">
        <f>ABS(Table223421023[[#This Row],[anl-med]])</f>
        <v>1.7098638730982412</v>
      </c>
      <c r="W88" s="4">
        <f>Table223421023[[#This Row],[lab-med]]*Table223421023[[#This Row],[anl-med]]</f>
        <v>1.7269629392951935</v>
      </c>
    </row>
    <row r="89" spans="2:23" ht="14.4" x14ac:dyDescent="0.3">
      <c r="B89" s="46">
        <f ca="1">VALUE((Table223421023[[#This Row],[Column3]]-62))</f>
        <v>27</v>
      </c>
      <c r="C89" t="s">
        <v>95</v>
      </c>
      <c r="D89">
        <v>10.100000400000001</v>
      </c>
      <c r="E89"/>
      <c r="F89" s="84">
        <v>16.42485527504062</v>
      </c>
      <c r="G89" s="29">
        <f>Table223421023[[#This Row],[yval]]-Table223421023[[#This Row],[REF]]</f>
        <v>6.3248548750406197</v>
      </c>
      <c r="H89" s="29">
        <f>Table223421023[[#This Row],[X-Y]]-E$20</f>
        <v>5.5463578908406319</v>
      </c>
      <c r="I89" s="29">
        <f>Table223421023[[#This Row],[yval]]-E$20</f>
        <v>15.646358290840633</v>
      </c>
      <c r="J89" s="29">
        <f>Table223421023[[#This Row],[yval]]*E$21+E$22</f>
        <v>11.66591110627445</v>
      </c>
      <c r="K89" s="56">
        <f>Table223421023[[#This Row],[Yest]]-Table223421023[[#This Row],[REF]]</f>
        <v>1.5659107062744493</v>
      </c>
      <c r="L89" s="56">
        <f>ABS(Table223421023[[#This Row],[RESyx]])</f>
        <v>1.5659107062744493</v>
      </c>
      <c r="M89" s="29">
        <f>Table223421023[[#This Row],[yval]]*E$25+E$26</f>
        <v>13.727772743212535</v>
      </c>
      <c r="N89" s="29">
        <f>Table223421023[[#This Row],[X-Y]]^2</f>
        <v>40.003789190325094</v>
      </c>
      <c r="O89" s="57">
        <f>Table223421023[[#This Row],[yest_rect]]-Table223421023[[#This Row],[REF]]</f>
        <v>3.6277723432125342</v>
      </c>
      <c r="P89" s="57">
        <f>Table223421023[[#This Row],[dif rec]]^2</f>
        <v>13.160732174177761</v>
      </c>
      <c r="Q89" s="57">
        <f>ABS(Table223421023[[#This Row],[diff-bias]])</f>
        <v>5.5463578908406319</v>
      </c>
      <c r="R89" s="57">
        <f ca="1">CELL("row",Table223421023[[#This Row],[Position]])</f>
        <v>89</v>
      </c>
      <c r="S89" s="4">
        <f>Table223421023[[#This Row],[REF]]-D$13</f>
        <v>-0.90999985000000017</v>
      </c>
      <c r="T89" s="4">
        <f>ABS(Table223421023[[#This Row],[lab-med]])</f>
        <v>0.90999985000000017</v>
      </c>
      <c r="U89" s="4">
        <f>Table223421023[[#This Row],[yval]]-F$13</f>
        <v>4.4570678770364189</v>
      </c>
      <c r="V89" s="4">
        <f>ABS(Table223421023[[#This Row],[anl-med]])</f>
        <v>4.4570678770364189</v>
      </c>
      <c r="W89" s="4">
        <f>Table223421023[[#This Row],[lab-med]]*Table223421023[[#This Row],[anl-med]]</f>
        <v>-4.0559310995429607</v>
      </c>
    </row>
    <row r="90" spans="2:23" ht="14.4" x14ac:dyDescent="0.3">
      <c r="B90" s="46">
        <f ca="1">VALUE((Table223421023[[#This Row],[Column3]]-62))</f>
        <v>28</v>
      </c>
      <c r="C90" t="s">
        <v>96</v>
      </c>
      <c r="D90">
        <v>11.399999599999999</v>
      </c>
      <c r="E90"/>
      <c r="F90" s="84">
        <v>11.135292162577191</v>
      </c>
      <c r="G90" s="29">
        <f>Table223421023[[#This Row],[yval]]-Table223421023[[#This Row],[REF]]</f>
        <v>-0.26470743742280867</v>
      </c>
      <c r="H90" s="29">
        <f>Table223421023[[#This Row],[X-Y]]-E$20</f>
        <v>-1.0432044216227965</v>
      </c>
      <c r="I90" s="29">
        <f>Table223421023[[#This Row],[yval]]-E$20</f>
        <v>10.356795178377203</v>
      </c>
      <c r="J90" s="29">
        <f>Table223421023[[#This Row],[yval]]*E$21+E$22</f>
        <v>11.017186467492374</v>
      </c>
      <c r="K90" s="56">
        <f>Table223421023[[#This Row],[Yest]]-Table223421023[[#This Row],[REF]]</f>
        <v>-0.38281313250762494</v>
      </c>
      <c r="L90" s="56">
        <f>ABS(Table223421023[[#This Row],[RESyx]])</f>
        <v>0.38281313250762494</v>
      </c>
      <c r="M90" s="29">
        <f>Table223421023[[#This Row],[yval]]*E$25+E$26</f>
        <v>10.675105439593228</v>
      </c>
      <c r="N90" s="29">
        <f>Table223421023[[#This Row],[X-Y]]^2</f>
        <v>7.0070027426950163E-2</v>
      </c>
      <c r="O90" s="57">
        <f>Table223421023[[#This Row],[yest_rect]]-Table223421023[[#This Row],[REF]]</f>
        <v>-0.72489416040677135</v>
      </c>
      <c r="P90" s="57">
        <f>Table223421023[[#This Row],[dif rec]]^2</f>
        <v>0.52547154379183791</v>
      </c>
      <c r="Q90" s="57">
        <f>ABS(Table223421023[[#This Row],[diff-bias]])</f>
        <v>1.0432044216227965</v>
      </c>
      <c r="R90" s="57">
        <f ca="1">CELL("row",Table223421023[[#This Row],[Position]])</f>
        <v>90</v>
      </c>
      <c r="S90" s="4">
        <f>Table223421023[[#This Row],[REF]]-D$13</f>
        <v>0.3899993499999983</v>
      </c>
      <c r="T90" s="4">
        <f>ABS(Table223421023[[#This Row],[lab-med]])</f>
        <v>0.3899993499999983</v>
      </c>
      <c r="U90" s="4">
        <f>Table223421023[[#This Row],[yval]]-F$13</f>
        <v>-0.83249523542701098</v>
      </c>
      <c r="V90" s="4">
        <f>ABS(Table223421023[[#This Row],[anl-med]])</f>
        <v>0.83249523542701098</v>
      </c>
      <c r="W90" s="4">
        <f>Table223421023[[#This Row],[lab-med]]*Table223421023[[#This Row],[anl-med]]</f>
        <v>-0.32467260069462983</v>
      </c>
    </row>
    <row r="91" spans="2:23" ht="14.4" x14ac:dyDescent="0.3">
      <c r="B91" s="46">
        <f ca="1">VALUE((Table223421023[[#This Row],[Column3]]-62))</f>
        <v>29</v>
      </c>
      <c r="C91" t="s">
        <v>97</v>
      </c>
      <c r="D91">
        <v>10.279999699999999</v>
      </c>
      <c r="E91"/>
      <c r="F91" s="84">
        <v>13.55800305679387</v>
      </c>
      <c r="G91" s="29">
        <f>Table223421023[[#This Row],[yval]]-Table223421023[[#This Row],[REF]]</f>
        <v>3.2780033567938709</v>
      </c>
      <c r="H91" s="29">
        <f>Table223421023[[#This Row],[X-Y]]-E$20</f>
        <v>2.4995063725938831</v>
      </c>
      <c r="I91" s="29">
        <f>Table223421023[[#This Row],[yval]]-E$20</f>
        <v>12.779506072593882</v>
      </c>
      <c r="J91" s="29">
        <f>Table223421023[[#This Row],[yval]]*E$21+E$22</f>
        <v>11.314313511126826</v>
      </c>
      <c r="K91" s="56">
        <f>Table223421023[[#This Row],[Yest]]-Table223421023[[#This Row],[REF]]</f>
        <v>1.0343138111268271</v>
      </c>
      <c r="L91" s="56">
        <f>ABS(Table223421023[[#This Row],[RESyx]])</f>
        <v>1.0343138111268271</v>
      </c>
      <c r="M91" s="29">
        <f>Table223421023[[#This Row],[yval]]*E$25+E$26</f>
        <v>12.073279575274018</v>
      </c>
      <c r="N91" s="29">
        <f>Table223421023[[#This Row],[X-Y]]^2</f>
        <v>10.745306007151886</v>
      </c>
      <c r="O91" s="57">
        <f>Table223421023[[#This Row],[yest_rect]]-Table223421023[[#This Row],[REF]]</f>
        <v>1.7932798752740187</v>
      </c>
      <c r="P91" s="57">
        <f>Table223421023[[#This Row],[dif rec]]^2</f>
        <v>3.2158527110628001</v>
      </c>
      <c r="Q91" s="57">
        <f>ABS(Table223421023[[#This Row],[diff-bias]])</f>
        <v>2.4995063725938831</v>
      </c>
      <c r="R91" s="57">
        <f ca="1">CELL("row",Table223421023[[#This Row],[Position]])</f>
        <v>91</v>
      </c>
      <c r="S91" s="4">
        <f>Table223421023[[#This Row],[REF]]-D$13</f>
        <v>-0.73000055000000152</v>
      </c>
      <c r="T91" s="4">
        <f>ABS(Table223421023[[#This Row],[lab-med]])</f>
        <v>0.73000055000000152</v>
      </c>
      <c r="U91" s="4">
        <f>Table223421023[[#This Row],[yval]]-F$13</f>
        <v>1.5902156587896688</v>
      </c>
      <c r="V91" s="4">
        <f>ABS(Table223421023[[#This Row],[anl-med]])</f>
        <v>1.5902156587896688</v>
      </c>
      <c r="W91" s="4">
        <f>Table223421023[[#This Row],[lab-med]]*Table223421023[[#This Row],[anl-med]]</f>
        <v>-1.160858305535073</v>
      </c>
    </row>
    <row r="92" spans="2:23" ht="14.4" x14ac:dyDescent="0.3">
      <c r="B92" s="46">
        <f ca="1">VALUE((Table223421023[[#This Row],[Column3]]-62))</f>
        <v>30</v>
      </c>
      <c r="C92" t="s">
        <v>98</v>
      </c>
      <c r="D92">
        <v>12.21</v>
      </c>
      <c r="E92"/>
      <c r="F92" s="84">
        <v>11.58193300362184</v>
      </c>
      <c r="G92" s="29">
        <f>Table223421023[[#This Row],[yval]]-Table223421023[[#This Row],[REF]]</f>
        <v>-0.62806699637816088</v>
      </c>
      <c r="H92" s="29">
        <f>Table223421023[[#This Row],[X-Y]]-E$20</f>
        <v>-1.4065639805781487</v>
      </c>
      <c r="I92" s="29">
        <f>Table223421023[[#This Row],[yval]]-E$20</f>
        <v>10.803436019421852</v>
      </c>
      <c r="J92" s="29">
        <f>Table223421023[[#This Row],[yval]]*E$21+E$22</f>
        <v>11.071963565735006</v>
      </c>
      <c r="K92" s="56">
        <f>Table223421023[[#This Row],[Yest]]-Table223421023[[#This Row],[REF]]</f>
        <v>-1.1380364342649951</v>
      </c>
      <c r="L92" s="56">
        <f>ABS(Table223421023[[#This Row],[RESyx]])</f>
        <v>1.1380364342649951</v>
      </c>
      <c r="M92" s="29">
        <f>Table223421023[[#This Row],[yval]]*E$25+E$26</f>
        <v>10.932866971676177</v>
      </c>
      <c r="N92" s="29">
        <f>Table223421023[[#This Row],[X-Y]]^2</f>
        <v>0.39446815193948476</v>
      </c>
      <c r="O92" s="57">
        <f>Table223421023[[#This Row],[yest_rect]]-Table223421023[[#This Row],[REF]]</f>
        <v>-1.2771330283238242</v>
      </c>
      <c r="P92" s="57">
        <f>Table223421023[[#This Row],[dif rec]]^2</f>
        <v>1.6310687720355821</v>
      </c>
      <c r="Q92" s="57">
        <f>ABS(Table223421023[[#This Row],[diff-bias]])</f>
        <v>1.4065639805781487</v>
      </c>
      <c r="R92" s="57">
        <f ca="1">CELL("row",Table223421023[[#This Row],[Position]])</f>
        <v>92</v>
      </c>
      <c r="S92" s="4">
        <f>Table223421023[[#This Row],[REF]]-D$13</f>
        <v>1.1999997499999999</v>
      </c>
      <c r="T92" s="4">
        <f>ABS(Table223421023[[#This Row],[lab-med]])</f>
        <v>1.1999997499999999</v>
      </c>
      <c r="U92" s="4">
        <f>Table223421023[[#This Row],[yval]]-F$13</f>
        <v>-0.38585439438236158</v>
      </c>
      <c r="V92" s="4">
        <f>ABS(Table223421023[[#This Row],[anl-med]])</f>
        <v>0.38585439438236158</v>
      </c>
      <c r="W92" s="4">
        <f>Table223421023[[#This Row],[lab-med]]*Table223421023[[#This Row],[anl-med]]</f>
        <v>-0.46302517679523525</v>
      </c>
    </row>
    <row r="93" spans="2:23" ht="14.4" x14ac:dyDescent="0.3">
      <c r="B93" s="46">
        <f ca="1">VALUE((Table223421023[[#This Row],[Column3]]-62))</f>
        <v>31</v>
      </c>
      <c r="C93" t="s">
        <v>99</v>
      </c>
      <c r="D93">
        <v>11.9399996</v>
      </c>
      <c r="E93"/>
      <c r="F93" s="84">
        <v>11.769532255969031</v>
      </c>
      <c r="G93" s="29">
        <f>Table223421023[[#This Row],[yval]]-Table223421023[[#This Row],[REF]]</f>
        <v>-0.17046734403096941</v>
      </c>
      <c r="H93" s="29">
        <f>Table223421023[[#This Row],[X-Y]]-E$20</f>
        <v>-0.94896432823095722</v>
      </c>
      <c r="I93" s="29">
        <f>Table223421023[[#This Row],[yval]]-E$20</f>
        <v>10.991035271769043</v>
      </c>
      <c r="J93" s="29">
        <f>Table223421023[[#This Row],[yval]]*E$21+E$22</f>
        <v>11.094971185575663</v>
      </c>
      <c r="K93" s="56">
        <f>Table223421023[[#This Row],[Yest]]-Table223421023[[#This Row],[REF]]</f>
        <v>-0.84502841442433763</v>
      </c>
      <c r="L93" s="56">
        <f>ABS(Table223421023[[#This Row],[RESyx]])</f>
        <v>0.84502841442433763</v>
      </c>
      <c r="M93" s="29">
        <f>Table223421023[[#This Row],[yval]]*E$25+E$26</f>
        <v>11.041132643461875</v>
      </c>
      <c r="N93" s="29">
        <f>Table223421023[[#This Row],[X-Y]]^2</f>
        <v>2.9059115380972885E-2</v>
      </c>
      <c r="O93" s="57">
        <f>Table223421023[[#This Row],[yest_rect]]-Table223421023[[#This Row],[REF]]</f>
        <v>-0.89886695653812509</v>
      </c>
      <c r="P93" s="57">
        <f>Table223421023[[#This Row],[dif rec]]^2</f>
        <v>0.80796180555611163</v>
      </c>
      <c r="Q93" s="57">
        <f>ABS(Table223421023[[#This Row],[diff-bias]])</f>
        <v>0.94896432823095722</v>
      </c>
      <c r="R93" s="57">
        <f ca="1">CELL("row",Table223421023[[#This Row],[Position]])</f>
        <v>93</v>
      </c>
      <c r="S93" s="4">
        <f>Table223421023[[#This Row],[REF]]-D$13</f>
        <v>0.92999934999999923</v>
      </c>
      <c r="T93" s="4">
        <f>ABS(Table223421023[[#This Row],[lab-med]])</f>
        <v>0.92999934999999923</v>
      </c>
      <c r="U93" s="4">
        <f>Table223421023[[#This Row],[yval]]-F$13</f>
        <v>-0.19825514203517081</v>
      </c>
      <c r="V93" s="4">
        <f>ABS(Table223421023[[#This Row],[anl-med]])</f>
        <v>0.19825514203517081</v>
      </c>
      <c r="W93" s="4">
        <f>Table223421023[[#This Row],[lab-med]]*Table223421023[[#This Row],[anl-med]]</f>
        <v>-0.18437715322686637</v>
      </c>
    </row>
    <row r="94" spans="2:23" ht="14.4" x14ac:dyDescent="0.3">
      <c r="B94" s="46">
        <f ca="1">VALUE((Table223421023[[#This Row],[Column3]]-62))</f>
        <v>32</v>
      </c>
      <c r="C94" t="s">
        <v>100</v>
      </c>
      <c r="D94">
        <v>10.3699999</v>
      </c>
      <c r="E94"/>
      <c r="F94" s="84">
        <v>11.24348617194387</v>
      </c>
      <c r="G94" s="29">
        <f>Table223421023[[#This Row],[yval]]-Table223421023[[#This Row],[REF]]</f>
        <v>0.87348627194386985</v>
      </c>
      <c r="H94" s="29">
        <f>Table223421023[[#This Row],[X-Y]]-E$20</f>
        <v>9.4989287743882045E-2</v>
      </c>
      <c r="I94" s="29">
        <f>Table223421023[[#This Row],[yval]]-E$20</f>
        <v>10.464989187743882</v>
      </c>
      <c r="J94" s="29">
        <f>Table223421023[[#This Row],[yval]]*E$21+E$22</f>
        <v>11.030455638906437</v>
      </c>
      <c r="K94" s="56">
        <f>Table223421023[[#This Row],[Yest]]-Table223421023[[#This Row],[REF]]</f>
        <v>0.66045573890643716</v>
      </c>
      <c r="L94" s="56">
        <f>ABS(Table223421023[[#This Row],[RESyx]])</f>
        <v>0.66045573890643716</v>
      </c>
      <c r="M94" s="29">
        <f>Table223421023[[#This Row],[yval]]*E$25+E$26</f>
        <v>10.737545438477621</v>
      </c>
      <c r="N94" s="29">
        <f>Table223421023[[#This Row],[X-Y]]^2</f>
        <v>0.7629782672744001</v>
      </c>
      <c r="O94" s="57">
        <f>Table223421023[[#This Row],[yest_rect]]-Table223421023[[#This Row],[REF]]</f>
        <v>0.36754553847762139</v>
      </c>
      <c r="P94" s="57">
        <f>Table223421023[[#This Row],[dif rec]]^2</f>
        <v>0.13508972285480467</v>
      </c>
      <c r="Q94" s="57">
        <f>ABS(Table223421023[[#This Row],[diff-bias]])</f>
        <v>9.4989287743882045E-2</v>
      </c>
      <c r="R94" s="57">
        <f ca="1">CELL("row",Table223421023[[#This Row],[Position]])</f>
        <v>94</v>
      </c>
      <c r="S94" s="4">
        <f>Table223421023[[#This Row],[REF]]-D$13</f>
        <v>-0.64000035000000111</v>
      </c>
      <c r="T94" s="4">
        <f>ABS(Table223421023[[#This Row],[lab-med]])</f>
        <v>0.64000035000000111</v>
      </c>
      <c r="U94" s="4">
        <f>Table223421023[[#This Row],[yval]]-F$13</f>
        <v>-0.72430122606033187</v>
      </c>
      <c r="V94" s="4">
        <f>ABS(Table223421023[[#This Row],[anl-med]])</f>
        <v>0.72430122606033187</v>
      </c>
      <c r="W94" s="4">
        <f>Table223421023[[#This Row],[lab-med]]*Table223421023[[#This Row],[anl-med]]</f>
        <v>0.46355303818404231</v>
      </c>
    </row>
    <row r="95" spans="2:23" ht="14.4" x14ac:dyDescent="0.3">
      <c r="B95" s="46">
        <f ca="1">VALUE((Table223421023[[#This Row],[Column3]]-62))</f>
        <v>33</v>
      </c>
      <c r="C95" t="s">
        <v>101</v>
      </c>
      <c r="D95">
        <v>10.3800001</v>
      </c>
      <c r="E95"/>
      <c r="F95" s="84">
        <v>12.38604206940594</v>
      </c>
      <c r="G95" s="29">
        <f>Table223421023[[#This Row],[yval]]-Table223421023[[#This Row],[REF]]</f>
        <v>2.0060419694059402</v>
      </c>
      <c r="H95" s="29">
        <f>Table223421023[[#This Row],[X-Y]]-E$20</f>
        <v>1.2275449852059523</v>
      </c>
      <c r="I95" s="29">
        <f>Table223421023[[#This Row],[yval]]-E$20</f>
        <v>11.607545085205953</v>
      </c>
      <c r="J95" s="29">
        <f>Table223421023[[#This Row],[yval]]*E$21+E$22</f>
        <v>11.170581419828299</v>
      </c>
      <c r="K95" s="56">
        <f>Table223421023[[#This Row],[Yest]]-Table223421023[[#This Row],[REF]]</f>
        <v>0.79058131982829849</v>
      </c>
      <c r="L95" s="56">
        <f>ABS(Table223421023[[#This Row],[RESyx]])</f>
        <v>0.79058131982829849</v>
      </c>
      <c r="M95" s="29">
        <f>Table223421023[[#This Row],[yval]]*E$25+E$26</f>
        <v>11.396927500206257</v>
      </c>
      <c r="N95" s="29">
        <f>Table223421023[[#This Row],[X-Y]]^2</f>
        <v>4.0242043830180627</v>
      </c>
      <c r="O95" s="57">
        <f>Table223421023[[#This Row],[yest_rect]]-Table223421023[[#This Row],[REF]]</f>
        <v>1.0169274002062565</v>
      </c>
      <c r="P95" s="57">
        <f>Table223421023[[#This Row],[dif rec]]^2</f>
        <v>1.0341413372902557</v>
      </c>
      <c r="Q95" s="57">
        <f>ABS(Table223421023[[#This Row],[diff-bias]])</f>
        <v>1.2275449852059523</v>
      </c>
      <c r="R95" s="57">
        <f ca="1">CELL("row",Table223421023[[#This Row],[Position]])</f>
        <v>95</v>
      </c>
      <c r="S95" s="4">
        <f>Table223421023[[#This Row],[REF]]-D$13</f>
        <v>-0.63000015000000076</v>
      </c>
      <c r="T95" s="4">
        <f>ABS(Table223421023[[#This Row],[lab-med]])</f>
        <v>0.63000015000000076</v>
      </c>
      <c r="U95" s="4">
        <f>Table223421023[[#This Row],[yval]]-F$13</f>
        <v>0.41825467140173878</v>
      </c>
      <c r="V95" s="4">
        <f>ABS(Table223421023[[#This Row],[anl-med]])</f>
        <v>0.41825467140173878</v>
      </c>
      <c r="W95" s="4">
        <f>Table223421023[[#This Row],[lab-med]]*Table223421023[[#This Row],[anl-med]]</f>
        <v>-0.26350050572129646</v>
      </c>
    </row>
    <row r="96" spans="2:23" ht="14.4" x14ac:dyDescent="0.3">
      <c r="B96" s="46">
        <f ca="1">VALUE((Table223421023[[#This Row],[Column3]]-62))</f>
        <v>34</v>
      </c>
      <c r="C96" t="s">
        <v>102</v>
      </c>
      <c r="D96">
        <v>9.8800001000000002</v>
      </c>
      <c r="E96"/>
      <c r="F96" s="84">
        <v>14.166535178452079</v>
      </c>
      <c r="G96" s="29">
        <f>Table223421023[[#This Row],[yval]]-Table223421023[[#This Row],[REF]]</f>
        <v>4.2865350784520793</v>
      </c>
      <c r="H96" s="29">
        <f>Table223421023[[#This Row],[X-Y]]-E$20</f>
        <v>3.5080380942520915</v>
      </c>
      <c r="I96" s="29">
        <f>Table223421023[[#This Row],[yval]]-E$20</f>
        <v>13.388038194252092</v>
      </c>
      <c r="J96" s="29">
        <f>Table223421023[[#This Row],[yval]]*E$21+E$22</f>
        <v>11.388945342228311</v>
      </c>
      <c r="K96" s="56">
        <f>Table223421023[[#This Row],[Yest]]-Table223421023[[#This Row],[REF]]</f>
        <v>1.5089452422283109</v>
      </c>
      <c r="L96" s="56">
        <f>ABS(Table223421023[[#This Row],[RESyx]])</f>
        <v>1.5089452422283109</v>
      </c>
      <c r="M96" s="29">
        <f>Table223421023[[#This Row],[yval]]*E$25+E$26</f>
        <v>12.424470414950562</v>
      </c>
      <c r="N96" s="29">
        <f>Table223421023[[#This Row],[X-Y]]^2</f>
        <v>18.374382978800174</v>
      </c>
      <c r="O96" s="57">
        <f>Table223421023[[#This Row],[yest_rect]]-Table223421023[[#This Row],[REF]]</f>
        <v>2.5444703149505621</v>
      </c>
      <c r="P96" s="57">
        <f>Table223421023[[#This Row],[dif rec]]^2</f>
        <v>6.4743291836646124</v>
      </c>
      <c r="Q96" s="57">
        <f>ABS(Table223421023[[#This Row],[diff-bias]])</f>
        <v>3.5080380942520915</v>
      </c>
      <c r="R96" s="57">
        <f ca="1">CELL("row",Table223421023[[#This Row],[Position]])</f>
        <v>96</v>
      </c>
      <c r="S96" s="4">
        <f>Table223421023[[#This Row],[REF]]-D$13</f>
        <v>-1.1300001500000008</v>
      </c>
      <c r="T96" s="4">
        <f>ABS(Table223421023[[#This Row],[lab-med]])</f>
        <v>1.1300001500000008</v>
      </c>
      <c r="U96" s="4">
        <f>Table223421023[[#This Row],[yval]]-F$13</f>
        <v>2.1987477804478779</v>
      </c>
      <c r="V96" s="4">
        <f>ABS(Table223421023[[#This Row],[anl-med]])</f>
        <v>2.1987477804478779</v>
      </c>
      <c r="W96" s="4">
        <f>Table223421023[[#This Row],[lab-med]]*Table223421023[[#This Row],[anl-med]]</f>
        <v>-2.4845853217182707</v>
      </c>
    </row>
    <row r="97" spans="2:23" ht="14.4" x14ac:dyDescent="0.3">
      <c r="B97" s="46">
        <f ca="1">VALUE((Table223421023[[#This Row],[Column3]]-62))</f>
        <v>35</v>
      </c>
      <c r="C97" t="s">
        <v>103</v>
      </c>
      <c r="D97">
        <v>12.079999900000001</v>
      </c>
      <c r="E97"/>
      <c r="F97" s="84">
        <v>9.7224457827946367</v>
      </c>
      <c r="G97" s="29">
        <f>Table223421023[[#This Row],[yval]]-Table223421023[[#This Row],[REF]]</f>
        <v>-2.357554117205364</v>
      </c>
      <c r="H97" s="29">
        <f>Table223421023[[#This Row],[X-Y]]-E$20</f>
        <v>-3.1360511014053518</v>
      </c>
      <c r="I97" s="29">
        <f>Table223421023[[#This Row],[yval]]-E$20</f>
        <v>8.9439487985946489</v>
      </c>
      <c r="J97" s="29">
        <f>Table223421023[[#This Row],[yval]]*E$21+E$22</f>
        <v>10.843911617019486</v>
      </c>
      <c r="K97" s="56">
        <f>Table223421023[[#This Row],[Yest]]-Table223421023[[#This Row],[REF]]</f>
        <v>-1.2360882829805142</v>
      </c>
      <c r="L97" s="56">
        <f>ABS(Table223421023[[#This Row],[RESyx]])</f>
        <v>1.2360882829805142</v>
      </c>
      <c r="M97" s="29">
        <f>Table223421023[[#This Row],[yval]]*E$25+E$26</f>
        <v>9.859735652542799</v>
      </c>
      <c r="N97" s="29">
        <f>Table223421023[[#This Row],[X-Y]]^2</f>
        <v>5.558061415551963</v>
      </c>
      <c r="O97" s="57">
        <f>Table223421023[[#This Row],[yest_rect]]-Table223421023[[#This Row],[REF]]</f>
        <v>-2.2202642474572016</v>
      </c>
      <c r="P97" s="57">
        <f>Table223421023[[#This Row],[dif rec]]^2</f>
        <v>4.9295733285366943</v>
      </c>
      <c r="Q97" s="57">
        <f>ABS(Table223421023[[#This Row],[diff-bias]])</f>
        <v>3.1360511014053518</v>
      </c>
      <c r="R97" s="57">
        <f ca="1">CELL("row",Table223421023[[#This Row],[Position]])</f>
        <v>97</v>
      </c>
      <c r="S97" s="4">
        <f>Table223421023[[#This Row],[REF]]-D$13</f>
        <v>1.0699996499999997</v>
      </c>
      <c r="T97" s="4">
        <f>ABS(Table223421023[[#This Row],[lab-med]])</f>
        <v>1.0699996499999997</v>
      </c>
      <c r="U97" s="4">
        <f>Table223421023[[#This Row],[yval]]-F$13</f>
        <v>-2.2453416152095649</v>
      </c>
      <c r="V97" s="4">
        <f>ABS(Table223421023[[#This Row],[anl-med]])</f>
        <v>2.2453416152095649</v>
      </c>
      <c r="W97" s="4">
        <f>Table223421023[[#This Row],[lab-med]]*Table223421023[[#This Row],[anl-med]]</f>
        <v>-2.4025147424046684</v>
      </c>
    </row>
    <row r="98" spans="2:23" ht="14.4" x14ac:dyDescent="0.3">
      <c r="B98" s="46">
        <f ca="1">VALUE((Table223421023[[#This Row],[Column3]]-62))</f>
        <v>36</v>
      </c>
      <c r="C98" t="s">
        <v>104</v>
      </c>
      <c r="D98">
        <v>9.0799999000000007</v>
      </c>
      <c r="E98"/>
      <c r="F98" s="84">
        <v>8.0294822384142392</v>
      </c>
      <c r="G98" s="29">
        <f>Table223421023[[#This Row],[yval]]-Table223421023[[#This Row],[REF]]</f>
        <v>-1.0505176615857614</v>
      </c>
      <c r="H98" s="29">
        <f>Table223421023[[#This Row],[X-Y]]-E$20</f>
        <v>-1.8290146457857492</v>
      </c>
      <c r="I98" s="29">
        <f>Table223421023[[#This Row],[yval]]-E$20</f>
        <v>7.2509852542142514</v>
      </c>
      <c r="J98" s="29">
        <f>Table223421023[[#This Row],[yval]]*E$21+E$22</f>
        <v>10.636282529238754</v>
      </c>
      <c r="K98" s="56">
        <f>Table223421023[[#This Row],[Yest]]-Table223421023[[#This Row],[REF]]</f>
        <v>1.556282629238753</v>
      </c>
      <c r="L98" s="56">
        <f>ABS(Table223421023[[#This Row],[RESyx]])</f>
        <v>1.556282629238753</v>
      </c>
      <c r="M98" s="29">
        <f>Table223421023[[#This Row],[yval]]*E$25+E$26</f>
        <v>8.8827070495618905</v>
      </c>
      <c r="N98" s="29">
        <f>Table223421023[[#This Row],[X-Y]]^2</f>
        <v>1.1035873573036163</v>
      </c>
      <c r="O98" s="57">
        <f>Table223421023[[#This Row],[yest_rect]]-Table223421023[[#This Row],[REF]]</f>
        <v>-0.19729285043811018</v>
      </c>
      <c r="P98" s="57">
        <f>Table223421023[[#This Row],[dif rec]]^2</f>
        <v>3.8924468833994509E-2</v>
      </c>
      <c r="Q98" s="57">
        <f>ABS(Table223421023[[#This Row],[diff-bias]])</f>
        <v>1.8290146457857492</v>
      </c>
      <c r="R98" s="57">
        <f ca="1">CELL("row",Table223421023[[#This Row],[Position]])</f>
        <v>98</v>
      </c>
      <c r="S98" s="4">
        <f>Table223421023[[#This Row],[REF]]-D$13</f>
        <v>-1.9300003500000003</v>
      </c>
      <c r="T98" s="4">
        <f>ABS(Table223421023[[#This Row],[lab-med]])</f>
        <v>1.9300003500000003</v>
      </c>
      <c r="U98" s="4">
        <f>Table223421023[[#This Row],[yval]]-F$13</f>
        <v>-3.9383051595899623</v>
      </c>
      <c r="V98" s="4">
        <f>ABS(Table223421023[[#This Row],[anl-med]])</f>
        <v>3.9383051595899623</v>
      </c>
      <c r="W98" s="4">
        <f>Table223421023[[#This Row],[lab-med]]*Table223421023[[#This Row],[anl-med]]</f>
        <v>7.6009303364154341</v>
      </c>
    </row>
    <row r="99" spans="2:23" ht="14.4" x14ac:dyDescent="0.3">
      <c r="B99" s="46">
        <f ca="1">VALUE((Table223421023[[#This Row],[Column3]]-62))</f>
        <v>37</v>
      </c>
      <c r="C99" t="s">
        <v>105</v>
      </c>
      <c r="D99">
        <v>10.800000199999999</v>
      </c>
      <c r="E99"/>
      <c r="F99" s="84">
        <v>13.007449720064651</v>
      </c>
      <c r="G99" s="29">
        <f>Table223421023[[#This Row],[yval]]-Table223421023[[#This Row],[REF]]</f>
        <v>2.2074495200646513</v>
      </c>
      <c r="H99" s="29">
        <f>Table223421023[[#This Row],[X-Y]]-E$20</f>
        <v>1.4289525358646635</v>
      </c>
      <c r="I99" s="29">
        <f>Table223421023[[#This Row],[yval]]-E$20</f>
        <v>12.228952735864663</v>
      </c>
      <c r="J99" s="29">
        <f>Table223421023[[#This Row],[yval]]*E$21+E$22</f>
        <v>11.246792336521994</v>
      </c>
      <c r="K99" s="56">
        <f>Table223421023[[#This Row],[Yest]]-Table223421023[[#This Row],[REF]]</f>
        <v>0.44679213652199401</v>
      </c>
      <c r="L99" s="56">
        <f>ABS(Table223421023[[#This Row],[RESyx]])</f>
        <v>0.44679213652199401</v>
      </c>
      <c r="M99" s="29">
        <f>Table223421023[[#This Row],[yval]]*E$25+E$26</f>
        <v>11.755548954767423</v>
      </c>
      <c r="N99" s="29">
        <f>Table223421023[[#This Row],[X-Y]]^2</f>
        <v>4.8728333836336599</v>
      </c>
      <c r="O99" s="57">
        <f>Table223421023[[#This Row],[yest_rect]]-Table223421023[[#This Row],[REF]]</f>
        <v>0.95554875476742396</v>
      </c>
      <c r="P99" s="57">
        <f>Table223421023[[#This Row],[dif rec]]^2</f>
        <v>0.91307342273757452</v>
      </c>
      <c r="Q99" s="57">
        <f>ABS(Table223421023[[#This Row],[diff-bias]])</f>
        <v>1.4289525358646635</v>
      </c>
      <c r="R99" s="57">
        <f ca="1">CELL("row",Table223421023[[#This Row],[Position]])</f>
        <v>99</v>
      </c>
      <c r="S99" s="4">
        <f>Table223421023[[#This Row],[REF]]-D$13</f>
        <v>-0.21000005000000144</v>
      </c>
      <c r="T99" s="4">
        <f>ABS(Table223421023[[#This Row],[lab-med]])</f>
        <v>0.21000005000000144</v>
      </c>
      <c r="U99" s="4">
        <f>Table223421023[[#This Row],[yval]]-F$13</f>
        <v>1.0396623220604493</v>
      </c>
      <c r="V99" s="4">
        <f>ABS(Table223421023[[#This Row],[anl-med]])</f>
        <v>1.0396623220604493</v>
      </c>
      <c r="W99" s="4">
        <f>Table223421023[[#This Row],[lab-med]]*Table223421023[[#This Row],[anl-med]]</f>
        <v>-0.21832913961581193</v>
      </c>
    </row>
    <row r="100" spans="2:23" ht="14.4" x14ac:dyDescent="0.3">
      <c r="B100" s="46">
        <f ca="1">VALUE((Table223421023[[#This Row],[Column3]]-62))</f>
        <v>38</v>
      </c>
      <c r="C100" t="s">
        <v>106</v>
      </c>
      <c r="D100">
        <v>9.3599996999999995</v>
      </c>
      <c r="E100"/>
      <c r="F100" s="84">
        <v>10.92623204605343</v>
      </c>
      <c r="G100" s="29">
        <f>Table223421023[[#This Row],[yval]]-Table223421023[[#This Row],[REF]]</f>
        <v>1.5662323460534306</v>
      </c>
      <c r="H100" s="29">
        <f>Table223421023[[#This Row],[X-Y]]-E$20</f>
        <v>0.78773536185344284</v>
      </c>
      <c r="I100" s="29">
        <f>Table223421023[[#This Row],[yval]]-E$20</f>
        <v>10.147735061853442</v>
      </c>
      <c r="J100" s="29">
        <f>Table223421023[[#This Row],[yval]]*E$21+E$22</f>
        <v>10.991546836072521</v>
      </c>
      <c r="K100" s="56">
        <f>Table223421023[[#This Row],[Yest]]-Table223421023[[#This Row],[REF]]</f>
        <v>1.6315471360725216</v>
      </c>
      <c r="L100" s="56">
        <f>ABS(Table223421023[[#This Row],[RESyx]])</f>
        <v>1.6315471360725216</v>
      </c>
      <c r="M100" s="29">
        <f>Table223421023[[#This Row],[yval]]*E$25+E$26</f>
        <v>10.554454457908331</v>
      </c>
      <c r="N100" s="29">
        <f>Table223421023[[#This Row],[X-Y]]^2</f>
        <v>2.4530837618240335</v>
      </c>
      <c r="O100" s="57">
        <f>Table223421023[[#This Row],[yest_rect]]-Table223421023[[#This Row],[REF]]</f>
        <v>1.194454757908332</v>
      </c>
      <c r="P100" s="57">
        <f>Table223421023[[#This Row],[dif rec]]^2</f>
        <v>1.4267221686898519</v>
      </c>
      <c r="Q100" s="57">
        <f>ABS(Table223421023[[#This Row],[diff-bias]])</f>
        <v>0.78773536185344284</v>
      </c>
      <c r="R100" s="57">
        <f ca="1">CELL("row",Table223421023[[#This Row],[Position]])</f>
        <v>100</v>
      </c>
      <c r="S100" s="4">
        <f>Table223421023[[#This Row],[REF]]-D$13</f>
        <v>-1.6500005500000015</v>
      </c>
      <c r="T100" s="4">
        <f>ABS(Table223421023[[#This Row],[lab-med]])</f>
        <v>1.6500005500000015</v>
      </c>
      <c r="U100" s="4">
        <f>Table223421023[[#This Row],[yval]]-F$13</f>
        <v>-1.0415553519507714</v>
      </c>
      <c r="V100" s="4">
        <f>ABS(Table223421023[[#This Row],[anl-med]])</f>
        <v>1.0415553519507714</v>
      </c>
      <c r="W100" s="4">
        <f>Table223421023[[#This Row],[lab-med]]*Table223421023[[#This Row],[anl-med]]</f>
        <v>1.7185669035742179</v>
      </c>
    </row>
    <row r="101" spans="2:23" ht="14.4" x14ac:dyDescent="0.3">
      <c r="B101" s="46">
        <f ca="1">VALUE((Table223421023[[#This Row],[Column3]]-62))</f>
        <v>39</v>
      </c>
      <c r="C101" t="s">
        <v>107</v>
      </c>
      <c r="D101">
        <v>12.449999800000001</v>
      </c>
      <c r="E101"/>
      <c r="F101" s="84">
        <v>10.181207855134801</v>
      </c>
      <c r="G101" s="29">
        <f>Table223421023[[#This Row],[yval]]-Table223421023[[#This Row],[REF]]</f>
        <v>-2.2687919448651996</v>
      </c>
      <c r="H101" s="29">
        <f>Table223421023[[#This Row],[X-Y]]-E$20</f>
        <v>-3.0472889290651874</v>
      </c>
      <c r="I101" s="29">
        <f>Table223421023[[#This Row],[yval]]-E$20</f>
        <v>9.4027108709348131</v>
      </c>
      <c r="J101" s="29">
        <f>Table223421023[[#This Row],[yval]]*E$21+E$22</f>
        <v>10.900175291984352</v>
      </c>
      <c r="K101" s="56">
        <f>Table223421023[[#This Row],[Yest]]-Table223421023[[#This Row],[REF]]</f>
        <v>-1.5498245080156483</v>
      </c>
      <c r="L101" s="56">
        <f>ABS(Table223421023[[#This Row],[RESyx]])</f>
        <v>1.5498245080156483</v>
      </c>
      <c r="M101" s="29">
        <f>Table223421023[[#This Row],[yval]]*E$25+E$26</f>
        <v>10.124492485687238</v>
      </c>
      <c r="N101" s="29">
        <f>Table223421023[[#This Row],[X-Y]]^2</f>
        <v>5.147416889085215</v>
      </c>
      <c r="O101" s="57">
        <f>Table223421023[[#This Row],[yest_rect]]-Table223421023[[#This Row],[REF]]</f>
        <v>-2.3255073143127625</v>
      </c>
      <c r="P101" s="57">
        <f>Table223421023[[#This Row],[dif rec]]^2</f>
        <v>5.4079842689221573</v>
      </c>
      <c r="Q101" s="57">
        <f>ABS(Table223421023[[#This Row],[diff-bias]])</f>
        <v>3.0472889290651874</v>
      </c>
      <c r="R101" s="57">
        <f ca="1">CELL("row",Table223421023[[#This Row],[Position]])</f>
        <v>101</v>
      </c>
      <c r="S101" s="4">
        <f>Table223421023[[#This Row],[REF]]-D$13</f>
        <v>1.4399995499999996</v>
      </c>
      <c r="T101" s="4">
        <f>ABS(Table223421023[[#This Row],[lab-med]])</f>
        <v>1.4399995499999996</v>
      </c>
      <c r="U101" s="4">
        <f>Table223421023[[#This Row],[yval]]-F$13</f>
        <v>-1.7865795428694007</v>
      </c>
      <c r="V101" s="4">
        <f>ABS(Table223421023[[#This Row],[anl-med]])</f>
        <v>1.7865795428694007</v>
      </c>
      <c r="W101" s="4">
        <f>Table223421023[[#This Row],[lab-med]]*Table223421023[[#This Row],[anl-med]]</f>
        <v>-2.5726737377711419</v>
      </c>
    </row>
    <row r="102" spans="2:23" ht="14.4" x14ac:dyDescent="0.3">
      <c r="B102" s="46">
        <f ca="1">VALUE((Table223421023[[#This Row],[Column3]]-62))</f>
        <v>40</v>
      </c>
      <c r="C102" t="s">
        <v>108</v>
      </c>
      <c r="D102">
        <v>10.920000099999999</v>
      </c>
      <c r="E102"/>
      <c r="F102" s="84">
        <v>11.648466101800381</v>
      </c>
      <c r="G102" s="29">
        <f>Table223421023[[#This Row],[yval]]-Table223421023[[#This Row],[REF]]</f>
        <v>0.72846600180038124</v>
      </c>
      <c r="H102" s="29">
        <f>Table223421023[[#This Row],[X-Y]]-E$20</f>
        <v>-5.0030982399606572E-2</v>
      </c>
      <c r="I102" s="29">
        <f>Table223421023[[#This Row],[yval]]-E$20</f>
        <v>10.869969117600393</v>
      </c>
      <c r="J102" s="29">
        <f>Table223421023[[#This Row],[yval]]*E$21+E$22</f>
        <v>11.08012334361557</v>
      </c>
      <c r="K102" s="56">
        <f>Table223421023[[#This Row],[Yest]]-Table223421023[[#This Row],[REF]]</f>
        <v>0.16012324361557084</v>
      </c>
      <c r="L102" s="56">
        <f>ABS(Table223421023[[#This Row],[RESyx]])</f>
        <v>0.16012324361557084</v>
      </c>
      <c r="M102" s="29">
        <f>Table223421023[[#This Row],[yval]]*E$25+E$26</f>
        <v>10.971263982752493</v>
      </c>
      <c r="N102" s="29">
        <f>Table223421023[[#This Row],[X-Y]]^2</f>
        <v>0.53066271577903301</v>
      </c>
      <c r="O102" s="57">
        <f>Table223421023[[#This Row],[yest_rect]]-Table223421023[[#This Row],[REF]]</f>
        <v>5.1263882752493828E-2</v>
      </c>
      <c r="P102" s="57">
        <f>Table223421023[[#This Row],[dif rec]]^2</f>
        <v>2.6279856748614343E-3</v>
      </c>
      <c r="Q102" s="57">
        <f>ABS(Table223421023[[#This Row],[diff-bias]])</f>
        <v>5.0030982399606572E-2</v>
      </c>
      <c r="R102" s="57">
        <f ca="1">CELL("row",Table223421023[[#This Row],[Position]])</f>
        <v>102</v>
      </c>
      <c r="S102" s="4">
        <f>Table223421023[[#This Row],[REF]]-D$13</f>
        <v>-9.0000150000001611E-2</v>
      </c>
      <c r="T102" s="4">
        <f>ABS(Table223421023[[#This Row],[lab-med]])</f>
        <v>9.0000150000001611E-2</v>
      </c>
      <c r="U102" s="4">
        <f>Table223421023[[#This Row],[yval]]-F$13</f>
        <v>-0.31932129620382099</v>
      </c>
      <c r="V102" s="4">
        <f>ABS(Table223421023[[#This Row],[anl-med]])</f>
        <v>0.31932129620382099</v>
      </c>
      <c r="W102" s="4">
        <f>Table223421023[[#This Row],[lab-med]]*Table223421023[[#This Row],[anl-med]]</f>
        <v>2.8738964556538835E-2</v>
      </c>
    </row>
    <row r="103" spans="2:23" ht="14.4" x14ac:dyDescent="0.3">
      <c r="B103" s="46">
        <f ca="1">VALUE((Table223421023[[#This Row],[Column3]]-62))</f>
        <v>41</v>
      </c>
      <c r="C103" t="s">
        <v>109</v>
      </c>
      <c r="D103">
        <v>10.949999800000001</v>
      </c>
      <c r="E103"/>
      <c r="F103" s="84">
        <v>12.3318512654572</v>
      </c>
      <c r="G103" s="29">
        <f>Table223421023[[#This Row],[yval]]-Table223421023[[#This Row],[REF]]</f>
        <v>1.3818514654571992</v>
      </c>
      <c r="H103" s="29">
        <f>Table223421023[[#This Row],[X-Y]]-E$20</f>
        <v>0.60335448125721136</v>
      </c>
      <c r="I103" s="29">
        <f>Table223421023[[#This Row],[yval]]-E$20</f>
        <v>11.553354281257212</v>
      </c>
      <c r="J103" s="29">
        <f>Table223421023[[#This Row],[yval]]*E$21+E$22</f>
        <v>11.163935330355592</v>
      </c>
      <c r="K103" s="56">
        <f>Table223421023[[#This Row],[Yest]]-Table223421023[[#This Row],[REF]]</f>
        <v>0.21393553035559165</v>
      </c>
      <c r="L103" s="56">
        <f>ABS(Table223421023[[#This Row],[RESyx]])</f>
        <v>0.21393553035559165</v>
      </c>
      <c r="M103" s="29">
        <f>Table223421023[[#This Row],[yval]]*E$25+E$26</f>
        <v>11.365653368136373</v>
      </c>
      <c r="N103" s="29">
        <f>Table223421023[[#This Row],[X-Y]]^2</f>
        <v>1.9095134725862088</v>
      </c>
      <c r="O103" s="57">
        <f>Table223421023[[#This Row],[yest_rect]]-Table223421023[[#This Row],[REF]]</f>
        <v>0.41565356813637244</v>
      </c>
      <c r="P103" s="57">
        <f>Table223421023[[#This Row],[dif rec]]^2</f>
        <v>0.172767888704498</v>
      </c>
      <c r="Q103" s="57">
        <f>ABS(Table223421023[[#This Row],[diff-bias]])</f>
        <v>0.60335448125721136</v>
      </c>
      <c r="R103" s="57">
        <f ca="1">CELL("row",Table223421023[[#This Row],[Position]])</f>
        <v>103</v>
      </c>
      <c r="S103" s="4">
        <f>Table223421023[[#This Row],[REF]]-D$13</f>
        <v>-6.0000450000000427E-2</v>
      </c>
      <c r="T103" s="4">
        <f>ABS(Table223421023[[#This Row],[lab-med]])</f>
        <v>6.0000450000000427E-2</v>
      </c>
      <c r="U103" s="4">
        <f>Table223421023[[#This Row],[yval]]-F$13</f>
        <v>0.36406386745299812</v>
      </c>
      <c r="V103" s="4">
        <f>ABS(Table223421023[[#This Row],[anl-med]])</f>
        <v>0.36406386745299812</v>
      </c>
      <c r="W103" s="4">
        <f>Table223421023[[#This Row],[lab-med]]*Table223421023[[#This Row],[anl-med]]</f>
        <v>-2.1843995875920397E-2</v>
      </c>
    </row>
    <row r="104" spans="2:23" ht="14.4" x14ac:dyDescent="0.3">
      <c r="B104" s="46">
        <f ca="1">VALUE((Table223421023[[#This Row],[Column3]]-62))</f>
        <v>42</v>
      </c>
      <c r="C104" t="s">
        <v>110</v>
      </c>
      <c r="D104">
        <v>10.9899998</v>
      </c>
      <c r="E104"/>
      <c r="F104" s="84">
        <v>12.423310697771541</v>
      </c>
      <c r="G104" s="29">
        <f>Table223421023[[#This Row],[yval]]-Table223421023[[#This Row],[REF]]</f>
        <v>1.4333108977715412</v>
      </c>
      <c r="H104" s="29">
        <f>Table223421023[[#This Row],[X-Y]]-E$20</f>
        <v>0.65481391357155339</v>
      </c>
      <c r="I104" s="29">
        <f>Table223421023[[#This Row],[yval]]-E$20</f>
        <v>11.644813713571553</v>
      </c>
      <c r="J104" s="29">
        <f>Table223421023[[#This Row],[yval]]*E$21+E$22</f>
        <v>11.175152133318306</v>
      </c>
      <c r="K104" s="56">
        <f>Table223421023[[#This Row],[Yest]]-Table223421023[[#This Row],[REF]]</f>
        <v>0.18515233331830672</v>
      </c>
      <c r="L104" s="56">
        <f>ABS(Table223421023[[#This Row],[RESyx]])</f>
        <v>0.18515233331830672</v>
      </c>
      <c r="M104" s="29">
        <f>Table223421023[[#This Row],[yval]]*E$25+E$26</f>
        <v>11.418435651417147</v>
      </c>
      <c r="N104" s="29">
        <f>Table223421023[[#This Row],[X-Y]]^2</f>
        <v>2.0543801296706614</v>
      </c>
      <c r="O104" s="57">
        <f>Table223421023[[#This Row],[yest_rect]]-Table223421023[[#This Row],[REF]]</f>
        <v>0.42843585141714691</v>
      </c>
      <c r="P104" s="57">
        <f>Table223421023[[#This Row],[dif rec]]^2</f>
        <v>0.18355727877953559</v>
      </c>
      <c r="Q104" s="57">
        <f>ABS(Table223421023[[#This Row],[diff-bias]])</f>
        <v>0.65481391357155339</v>
      </c>
      <c r="R104" s="57">
        <f ca="1">CELL("row",Table223421023[[#This Row],[Position]])</f>
        <v>104</v>
      </c>
      <c r="S104" s="4">
        <f>Table223421023[[#This Row],[REF]]-D$13</f>
        <v>-2.000045000000128E-2</v>
      </c>
      <c r="T104" s="4">
        <f>ABS(Table223421023[[#This Row],[lab-med]])</f>
        <v>2.000045000000128E-2</v>
      </c>
      <c r="U104" s="4">
        <f>Table223421023[[#This Row],[yval]]-F$13</f>
        <v>0.4555232997673393</v>
      </c>
      <c r="V104" s="4">
        <f>ABS(Table223421023[[#This Row],[anl-med]])</f>
        <v>0.4555232997673393</v>
      </c>
      <c r="W104" s="4">
        <f>Table223421023[[#This Row],[lab-med]]*Table223421023[[#This Row],[anl-med]]</f>
        <v>-9.1106709808322639E-3</v>
      </c>
    </row>
    <row r="105" spans="2:23" ht="14.4" x14ac:dyDescent="0.3">
      <c r="B105" s="46">
        <f ca="1">VALUE((Table223421023[[#This Row],[Column3]]-62))</f>
        <v>43</v>
      </c>
      <c r="C105" t="s">
        <v>111</v>
      </c>
      <c r="D105">
        <v>11</v>
      </c>
      <c r="E105"/>
      <c r="F105" s="84">
        <v>13.79822851470078</v>
      </c>
      <c r="G105" s="29">
        <f>Table223421023[[#This Row],[yval]]-Table223421023[[#This Row],[REF]]</f>
        <v>2.7982285147007797</v>
      </c>
      <c r="H105" s="29">
        <f>Table223421023[[#This Row],[X-Y]]-E$20</f>
        <v>2.0197315305007919</v>
      </c>
      <c r="I105" s="29">
        <f>Table223421023[[#This Row],[yval]]-E$20</f>
        <v>13.019731530500792</v>
      </c>
      <c r="J105" s="29">
        <f>Table223421023[[#This Row],[yval]]*E$21+E$22</f>
        <v>11.343775334361288</v>
      </c>
      <c r="K105" s="56">
        <f>Table223421023[[#This Row],[Yest]]-Table223421023[[#This Row],[REF]]</f>
        <v>0.34377533436128793</v>
      </c>
      <c r="L105" s="56">
        <f>ABS(Table223421023[[#This Row],[RESyx]])</f>
        <v>0.34377533436128793</v>
      </c>
      <c r="M105" s="29">
        <f>Table223421023[[#This Row],[yval]]*E$25+E$26</f>
        <v>12.211916431524303</v>
      </c>
      <c r="N105" s="29">
        <f>Table223421023[[#This Row],[X-Y]]^2</f>
        <v>7.8300828204845319</v>
      </c>
      <c r="O105" s="57">
        <f>Table223421023[[#This Row],[yest_rect]]-Table223421023[[#This Row],[REF]]</f>
        <v>1.211916431524303</v>
      </c>
      <c r="P105" s="57">
        <f>Table223421023[[#This Row],[dif rec]]^2</f>
        <v>1.4687414369986005</v>
      </c>
      <c r="Q105" s="57">
        <f>ABS(Table223421023[[#This Row],[diff-bias]])</f>
        <v>2.0197315305007919</v>
      </c>
      <c r="R105" s="57">
        <f ca="1">CELL("row",Table223421023[[#This Row],[Position]])</f>
        <v>105</v>
      </c>
      <c r="S105" s="4">
        <f>Table223421023[[#This Row],[REF]]-D$13</f>
        <v>-1.0000250000000932E-2</v>
      </c>
      <c r="T105" s="4">
        <f>ABS(Table223421023[[#This Row],[lab-med]])</f>
        <v>1.0000250000000932E-2</v>
      </c>
      <c r="U105" s="4">
        <f>Table223421023[[#This Row],[yval]]-F$13</f>
        <v>1.8304411166965782</v>
      </c>
      <c r="V105" s="4">
        <f>ABS(Table223421023[[#This Row],[anl-med]])</f>
        <v>1.8304411166965782</v>
      </c>
      <c r="W105" s="4">
        <f>Table223421023[[#This Row],[lab-med]]*Table223421023[[#This Row],[anl-med]]</f>
        <v>-1.8304868777246661E-2</v>
      </c>
    </row>
    <row r="106" spans="2:23" ht="14.4" x14ac:dyDescent="0.3">
      <c r="B106" s="46">
        <f ca="1">VALUE((Table223421023[[#This Row],[Column3]]-62))</f>
        <v>44</v>
      </c>
      <c r="C106" t="s">
        <v>112</v>
      </c>
      <c r="D106">
        <v>9.9700003000000006</v>
      </c>
      <c r="E106"/>
      <c r="F106" s="84">
        <v>11.84716857946907</v>
      </c>
      <c r="G106" s="29">
        <f>Table223421023[[#This Row],[yval]]-Table223421023[[#This Row],[REF]]</f>
        <v>1.8771682794690694</v>
      </c>
      <c r="H106" s="29">
        <f>Table223421023[[#This Row],[X-Y]]-E$20</f>
        <v>1.0986712952690816</v>
      </c>
      <c r="I106" s="29">
        <f>Table223421023[[#This Row],[yval]]-E$20</f>
        <v>11.068671595269082</v>
      </c>
      <c r="J106" s="29">
        <f>Table223421023[[#This Row],[yval]]*E$21+E$22</f>
        <v>11.104492689497274</v>
      </c>
      <c r="K106" s="56">
        <f>Table223421023[[#This Row],[Yest]]-Table223421023[[#This Row],[REF]]</f>
        <v>1.1344923894972734</v>
      </c>
      <c r="L106" s="56">
        <f>ABS(Table223421023[[#This Row],[RESyx]])</f>
        <v>1.1344923894972734</v>
      </c>
      <c r="M106" s="29">
        <f>Table223421023[[#This Row],[yval]]*E$25+E$26</f>
        <v>11.085937452721708</v>
      </c>
      <c r="N106" s="29">
        <f>Table223421023[[#This Row],[X-Y]]^2</f>
        <v>3.5237607494448664</v>
      </c>
      <c r="O106" s="57">
        <f>Table223421023[[#This Row],[yest_rect]]-Table223421023[[#This Row],[REF]]</f>
        <v>1.1159371527217079</v>
      </c>
      <c r="P106" s="57">
        <f>Table223421023[[#This Row],[dif rec]]^2</f>
        <v>1.2453157288246324</v>
      </c>
      <c r="Q106" s="57">
        <f>ABS(Table223421023[[#This Row],[diff-bias]])</f>
        <v>1.0986712952690816</v>
      </c>
      <c r="R106" s="57">
        <f ca="1">CELL("row",Table223421023[[#This Row],[Position]])</f>
        <v>106</v>
      </c>
      <c r="S106" s="4">
        <f>Table223421023[[#This Row],[REF]]-D$13</f>
        <v>-1.0399999500000003</v>
      </c>
      <c r="T106" s="4">
        <f>ABS(Table223421023[[#This Row],[lab-med]])</f>
        <v>1.0399999500000003</v>
      </c>
      <c r="U106" s="4">
        <f>Table223421023[[#This Row],[yval]]-F$13</f>
        <v>-0.12061881853513157</v>
      </c>
      <c r="V106" s="4">
        <f>ABS(Table223421023[[#This Row],[anl-med]])</f>
        <v>0.12061881853513157</v>
      </c>
      <c r="W106" s="4">
        <f>Table223421023[[#This Row],[lab-med]]*Table223421023[[#This Row],[anl-med]]</f>
        <v>0.12544356524559594</v>
      </c>
    </row>
    <row r="107" spans="2:23" ht="14.4" x14ac:dyDescent="0.3">
      <c r="B107" s="46">
        <f ca="1">VALUE((Table223421023[[#This Row],[Column3]]-62))</f>
        <v>45</v>
      </c>
      <c r="C107" t="s">
        <v>113</v>
      </c>
      <c r="D107">
        <v>12.899999599999999</v>
      </c>
      <c r="E107"/>
      <c r="F107" s="84">
        <v>10.26019047618766</v>
      </c>
      <c r="G107" s="29">
        <f>Table223421023[[#This Row],[yval]]-Table223421023[[#This Row],[REF]]</f>
        <v>-2.6398091238123396</v>
      </c>
      <c r="H107" s="29">
        <f>Table223421023[[#This Row],[X-Y]]-E$20</f>
        <v>-3.4183061080123274</v>
      </c>
      <c r="I107" s="29">
        <f>Table223421023[[#This Row],[yval]]-E$20</f>
        <v>9.4816934919876719</v>
      </c>
      <c r="J107" s="29">
        <f>Table223421023[[#This Row],[yval]]*E$21+E$22</f>
        <v>10.909861909049541</v>
      </c>
      <c r="K107" s="56">
        <f>Table223421023[[#This Row],[Yest]]-Table223421023[[#This Row],[REF]]</f>
        <v>-1.9901376909504584</v>
      </c>
      <c r="L107" s="56">
        <f>ABS(Table223421023[[#This Row],[RESyx]])</f>
        <v>1.9901376909504584</v>
      </c>
      <c r="M107" s="29">
        <f>Table223421023[[#This Row],[yval]]*E$25+E$26</f>
        <v>10.170074258645785</v>
      </c>
      <c r="N107" s="29">
        <f>Table223421023[[#This Row],[X-Y]]^2</f>
        <v>6.9685922101628721</v>
      </c>
      <c r="O107" s="57">
        <f>Table223421023[[#This Row],[yest_rect]]-Table223421023[[#This Row],[REF]]</f>
        <v>-2.7299253413542139</v>
      </c>
      <c r="P107" s="57">
        <f>Table223421023[[#This Row],[dif rec]]^2</f>
        <v>7.4524923693679215</v>
      </c>
      <c r="Q107" s="57">
        <f>ABS(Table223421023[[#This Row],[diff-bias]])</f>
        <v>3.4183061080123274</v>
      </c>
      <c r="R107" s="57">
        <f ca="1">CELL("row",Table223421023[[#This Row],[Position]])</f>
        <v>107</v>
      </c>
      <c r="S107" s="4">
        <f>Table223421023[[#This Row],[REF]]-D$13</f>
        <v>1.8899993499999983</v>
      </c>
      <c r="T107" s="4">
        <f>ABS(Table223421023[[#This Row],[lab-med]])</f>
        <v>1.8899993499999983</v>
      </c>
      <c r="U107" s="4">
        <f>Table223421023[[#This Row],[yval]]-F$13</f>
        <v>-1.7075969218165419</v>
      </c>
      <c r="V107" s="4">
        <f>ABS(Table223421023[[#This Row],[anl-med]])</f>
        <v>1.7075969218165419</v>
      </c>
      <c r="W107" s="4">
        <f>Table223421023[[#This Row],[lab-med]]*Table223421023[[#This Row],[anl-med]]</f>
        <v>-3.2273570722952623</v>
      </c>
    </row>
    <row r="108" spans="2:23" ht="14.4" x14ac:dyDescent="0.3">
      <c r="B108" s="46">
        <f ca="1">VALUE((Table223421023[[#This Row],[Column3]]-62))</f>
        <v>46</v>
      </c>
      <c r="C108" t="s">
        <v>114</v>
      </c>
      <c r="D108">
        <v>10.529999699999999</v>
      </c>
      <c r="E108"/>
      <c r="F108" s="84">
        <v>12.37790688820926</v>
      </c>
      <c r="G108" s="29">
        <f>Table223421023[[#This Row],[yval]]-Table223421023[[#This Row],[REF]]</f>
        <v>1.8479071882092608</v>
      </c>
      <c r="H108" s="29">
        <f>Table223421023[[#This Row],[X-Y]]-E$20</f>
        <v>1.069410204009273</v>
      </c>
      <c r="I108" s="29">
        <f>Table223421023[[#This Row],[yval]]-E$20</f>
        <v>11.599409904009272</v>
      </c>
      <c r="J108" s="29">
        <f>Table223421023[[#This Row],[yval]]*E$21+E$22</f>
        <v>11.169583701799223</v>
      </c>
      <c r="K108" s="56">
        <f>Table223421023[[#This Row],[Yest]]-Table223421023[[#This Row],[REF]]</f>
        <v>0.63958400179922315</v>
      </c>
      <c r="L108" s="56">
        <f>ABS(Table223421023[[#This Row],[RESyx]])</f>
        <v>0.63958400179922315</v>
      </c>
      <c r="M108" s="29">
        <f>Table223421023[[#This Row],[yval]]*E$25+E$26</f>
        <v>11.39223259419604</v>
      </c>
      <c r="N108" s="29">
        <f>Table223421023[[#This Row],[X-Y]]^2</f>
        <v>3.4147609762354563</v>
      </c>
      <c r="O108" s="57">
        <f>Table223421023[[#This Row],[yest_rect]]-Table223421023[[#This Row],[REF]]</f>
        <v>0.86223289419604043</v>
      </c>
      <c r="P108" s="57">
        <f>Table223421023[[#This Row],[dif rec]]^2</f>
        <v>0.74344556383368021</v>
      </c>
      <c r="Q108" s="57">
        <f>ABS(Table223421023[[#This Row],[diff-bias]])</f>
        <v>1.069410204009273</v>
      </c>
      <c r="R108" s="57">
        <f ca="1">CELL("row",Table223421023[[#This Row],[Position]])</f>
        <v>108</v>
      </c>
      <c r="S108" s="4">
        <f>Table223421023[[#This Row],[REF]]-D$13</f>
        <v>-0.48000055000000152</v>
      </c>
      <c r="T108" s="4">
        <f>ABS(Table223421023[[#This Row],[lab-med]])</f>
        <v>0.48000055000000152</v>
      </c>
      <c r="U108" s="4">
        <f>Table223421023[[#This Row],[yval]]-F$13</f>
        <v>0.41011949020505867</v>
      </c>
      <c r="V108" s="4">
        <f>ABS(Table223421023[[#This Row],[anl-med]])</f>
        <v>0.41011949020505867</v>
      </c>
      <c r="W108" s="4">
        <f>Table223421023[[#This Row],[lab-med]]*Table223421023[[#This Row],[anl-med]]</f>
        <v>-0.1968575808641484</v>
      </c>
    </row>
    <row r="109" spans="2:23" ht="14.4" x14ac:dyDescent="0.3">
      <c r="B109" s="46">
        <f ca="1">VALUE((Table223421023[[#This Row],[Column3]]-62))</f>
        <v>47</v>
      </c>
      <c r="C109" t="s">
        <v>115</v>
      </c>
      <c r="D109">
        <v>11.0600004</v>
      </c>
      <c r="E109"/>
      <c r="F109" s="84">
        <v>13.85411663818822</v>
      </c>
      <c r="G109" s="29">
        <f>Table223421023[[#This Row],[yval]]-Table223421023[[#This Row],[REF]]</f>
        <v>2.7941162381882201</v>
      </c>
      <c r="H109" s="29">
        <f>Table223421023[[#This Row],[X-Y]]-E$20</f>
        <v>2.0156192539882323</v>
      </c>
      <c r="I109" s="29">
        <f>Table223421023[[#This Row],[yval]]-E$20</f>
        <v>13.075619653988232</v>
      </c>
      <c r="J109" s="29">
        <f>Table223421023[[#This Row],[yval]]*E$21+E$22</f>
        <v>11.350629587151309</v>
      </c>
      <c r="K109" s="56">
        <f>Table223421023[[#This Row],[Yest]]-Table223421023[[#This Row],[REF]]</f>
        <v>0.2906291871513087</v>
      </c>
      <c r="L109" s="56">
        <f>ABS(Table223421023[[#This Row],[RESyx]])</f>
        <v>0.2906291871513087</v>
      </c>
      <c r="M109" s="29">
        <f>Table223421023[[#This Row],[yval]]*E$25+E$26</f>
        <v>12.244170106091254</v>
      </c>
      <c r="N109" s="29">
        <f>Table223421023[[#This Row],[X-Y]]^2</f>
        <v>7.8070855525070906</v>
      </c>
      <c r="O109" s="57">
        <f>Table223421023[[#This Row],[yest_rect]]-Table223421023[[#This Row],[REF]]</f>
        <v>1.1841697060912537</v>
      </c>
      <c r="P109" s="57">
        <f>Table223421023[[#This Row],[dif rec]]^2</f>
        <v>1.4022578928242462</v>
      </c>
      <c r="Q109" s="57">
        <f>ABS(Table223421023[[#This Row],[diff-bias]])</f>
        <v>2.0156192539882323</v>
      </c>
      <c r="R109" s="57">
        <f ca="1">CELL("row",Table223421023[[#This Row],[Position]])</f>
        <v>109</v>
      </c>
      <c r="S109" s="4">
        <f>Table223421023[[#This Row],[REF]]-D$13</f>
        <v>5.0000149999998911E-2</v>
      </c>
      <c r="T109" s="4">
        <f>ABS(Table223421023[[#This Row],[lab-med]])</f>
        <v>5.0000149999998911E-2</v>
      </c>
      <c r="U109" s="4">
        <f>Table223421023[[#This Row],[yval]]-F$13</f>
        <v>1.8863292401840184</v>
      </c>
      <c r="V109" s="4">
        <f>ABS(Table223421023[[#This Row],[anl-med]])</f>
        <v>1.8863292401840184</v>
      </c>
      <c r="W109" s="4">
        <f>Table223421023[[#This Row],[lab-med]]*Table223421023[[#This Row],[anl-med]]</f>
        <v>9.4316744958584886E-2</v>
      </c>
    </row>
    <row r="110" spans="2:23" ht="14.4" x14ac:dyDescent="0.3">
      <c r="B110" s="46">
        <f ca="1">VALUE((Table223421023[[#This Row],[Column3]]-62))</f>
        <v>48</v>
      </c>
      <c r="C110" t="s">
        <v>116</v>
      </c>
      <c r="D110">
        <v>9.1000004000000008</v>
      </c>
      <c r="E110"/>
      <c r="F110" s="84">
        <v>10.72279663857705</v>
      </c>
      <c r="G110" s="29">
        <f>Table223421023[[#This Row],[yval]]-Table223421023[[#This Row],[REF]]</f>
        <v>1.6227962385770489</v>
      </c>
      <c r="H110" s="29">
        <f>Table223421023[[#This Row],[X-Y]]-E$20</f>
        <v>0.8442992543770611</v>
      </c>
      <c r="I110" s="29">
        <f>Table223421023[[#This Row],[yval]]-E$20</f>
        <v>9.9442996543770619</v>
      </c>
      <c r="J110" s="29">
        <f>Table223421023[[#This Row],[yval]]*E$21+E$22</f>
        <v>10.966597032388425</v>
      </c>
      <c r="K110" s="56">
        <f>Table223421023[[#This Row],[Yest]]-Table223421023[[#This Row],[REF]]</f>
        <v>1.8665966323884238</v>
      </c>
      <c r="L110" s="56">
        <f>ABS(Table223421023[[#This Row],[RESyx]])</f>
        <v>1.8665966323884238</v>
      </c>
      <c r="M110" s="29">
        <f>Table223421023[[#This Row],[yval]]*E$25+E$26</f>
        <v>10.437049560075021</v>
      </c>
      <c r="N110" s="29">
        <f>Table223421023[[#This Row],[X-Y]]^2</f>
        <v>2.6334676319398183</v>
      </c>
      <c r="O110" s="57">
        <f>Table223421023[[#This Row],[yest_rect]]-Table223421023[[#This Row],[REF]]</f>
        <v>1.3370491600750203</v>
      </c>
      <c r="P110" s="57">
        <f>Table223421023[[#This Row],[dif rec]]^2</f>
        <v>1.7877004564573171</v>
      </c>
      <c r="Q110" s="57">
        <f>ABS(Table223421023[[#This Row],[diff-bias]])</f>
        <v>0.8442992543770611</v>
      </c>
      <c r="R110" s="57">
        <f ca="1">CELL("row",Table223421023[[#This Row],[Position]])</f>
        <v>110</v>
      </c>
      <c r="S110" s="4">
        <f>Table223421023[[#This Row],[REF]]-D$13</f>
        <v>-1.9099998500000002</v>
      </c>
      <c r="T110" s="4">
        <f>ABS(Table223421023[[#This Row],[lab-med]])</f>
        <v>1.9099998500000002</v>
      </c>
      <c r="U110" s="4">
        <f>Table223421023[[#This Row],[yval]]-F$13</f>
        <v>-1.2449907594271519</v>
      </c>
      <c r="V110" s="4">
        <f>ABS(Table223421023[[#This Row],[anl-med]])</f>
        <v>1.2449907594271519</v>
      </c>
      <c r="W110" s="4">
        <f>Table223421023[[#This Row],[lab-med]]*Table223421023[[#This Row],[anl-med]]</f>
        <v>2.3779321637572464</v>
      </c>
    </row>
    <row r="111" spans="2:23" ht="14.4" x14ac:dyDescent="0.3">
      <c r="B111" s="46">
        <f ca="1">VALUE((Table223421023[[#This Row],[Column3]]-62))</f>
        <v>49</v>
      </c>
      <c r="C111" t="s">
        <v>117</v>
      </c>
      <c r="D111">
        <v>8.9700003000000006</v>
      </c>
      <c r="E111"/>
      <c r="F111" s="84">
        <v>12.03431217962955</v>
      </c>
      <c r="G111" s="29">
        <f>Table223421023[[#This Row],[yval]]-Table223421023[[#This Row],[REF]]</f>
        <v>3.0643118796295497</v>
      </c>
      <c r="H111" s="29">
        <f>Table223421023[[#This Row],[X-Y]]-E$20</f>
        <v>2.2858148954295618</v>
      </c>
      <c r="I111" s="29">
        <f>Table223421023[[#This Row],[yval]]-E$20</f>
        <v>11.255815195429562</v>
      </c>
      <c r="J111" s="29">
        <f>Table223421023[[#This Row],[yval]]*E$21+E$22</f>
        <v>11.127444427066758</v>
      </c>
      <c r="K111" s="56">
        <f>Table223421023[[#This Row],[Yest]]-Table223421023[[#This Row],[REF]]</f>
        <v>2.157444127066757</v>
      </c>
      <c r="L111" s="56">
        <f>ABS(Table223421023[[#This Row],[RESyx]])</f>
        <v>2.157444127066757</v>
      </c>
      <c r="M111" s="29">
        <f>Table223421023[[#This Row],[yval]]*E$25+E$26</f>
        <v>11.193940162424788</v>
      </c>
      <c r="N111" s="29">
        <f>Table223421023[[#This Row],[X-Y]]^2</f>
        <v>9.3900072956387834</v>
      </c>
      <c r="O111" s="57">
        <f>Table223421023[[#This Row],[yest_rect]]-Table223421023[[#This Row],[REF]]</f>
        <v>2.2239398624247873</v>
      </c>
      <c r="P111" s="57">
        <f>Table223421023[[#This Row],[dif rec]]^2</f>
        <v>4.9459085116819814</v>
      </c>
      <c r="Q111" s="57">
        <f>ABS(Table223421023[[#This Row],[diff-bias]])</f>
        <v>2.2858148954295618</v>
      </c>
      <c r="R111" s="57">
        <f ca="1">CELL("row",Table223421023[[#This Row],[Position]])</f>
        <v>111</v>
      </c>
      <c r="S111" s="4">
        <f>Table223421023[[#This Row],[REF]]-D$13</f>
        <v>-2.0399999500000003</v>
      </c>
      <c r="T111" s="4">
        <f>ABS(Table223421023[[#This Row],[lab-med]])</f>
        <v>2.0399999500000003</v>
      </c>
      <c r="U111" s="4">
        <f>Table223421023[[#This Row],[yval]]-F$13</f>
        <v>6.6524781625348695E-2</v>
      </c>
      <c r="V111" s="4">
        <f>ABS(Table223421023[[#This Row],[anl-med]])</f>
        <v>6.6524781625348695E-2</v>
      </c>
      <c r="W111" s="4">
        <f>Table223421023[[#This Row],[lab-med]]*Table223421023[[#This Row],[anl-med]]</f>
        <v>-0.13571055118947228</v>
      </c>
    </row>
    <row r="112" spans="2:23" ht="14.4" x14ac:dyDescent="0.3">
      <c r="B112" s="46">
        <f ca="1">VALUE((Table223421023[[#This Row],[Column3]]-62))</f>
        <v>50</v>
      </c>
      <c r="C112" t="s">
        <v>118</v>
      </c>
      <c r="D112">
        <v>11.1199999</v>
      </c>
      <c r="E112"/>
      <c r="F112" s="84">
        <v>11.276469840739329</v>
      </c>
      <c r="G112" s="29">
        <f>Table223421023[[#This Row],[yval]]-Table223421023[[#This Row],[REF]]</f>
        <v>0.15646994073932952</v>
      </c>
      <c r="H112" s="29">
        <f>Table223421023[[#This Row],[X-Y]]-E$20</f>
        <v>-0.62202704346065829</v>
      </c>
      <c r="I112" s="29">
        <f>Table223421023[[#This Row],[yval]]-E$20</f>
        <v>10.497972856539342</v>
      </c>
      <c r="J112" s="29">
        <f>Table223421023[[#This Row],[yval]]*E$21+E$22</f>
        <v>11.034500834732652</v>
      </c>
      <c r="K112" s="56">
        <f>Table223421023[[#This Row],[Yest]]-Table223421023[[#This Row],[REF]]</f>
        <v>-8.5499065267347518E-2</v>
      </c>
      <c r="L112" s="56">
        <f>ABS(Table223421023[[#This Row],[RESyx]])</f>
        <v>8.5499065267347518E-2</v>
      </c>
      <c r="M112" s="29">
        <f>Table223421023[[#This Row],[yval]]*E$25+E$26</f>
        <v>10.756580690566413</v>
      </c>
      <c r="N112" s="29">
        <f>Table223421023[[#This Row],[X-Y]]^2</f>
        <v>2.4482842354969291E-2</v>
      </c>
      <c r="O112" s="57">
        <f>Table223421023[[#This Row],[yest_rect]]-Table223421023[[#This Row],[REF]]</f>
        <v>-0.3634192094335873</v>
      </c>
      <c r="P112" s="57">
        <f>Table223421023[[#This Row],[dif rec]]^2</f>
        <v>0.13207352178533358</v>
      </c>
      <c r="Q112" s="57">
        <f>ABS(Table223421023[[#This Row],[diff-bias]])</f>
        <v>0.62202704346065829</v>
      </c>
      <c r="R112" s="57">
        <f ca="1">CELL("row",Table223421023[[#This Row],[Position]])</f>
        <v>112</v>
      </c>
      <c r="S112" s="4">
        <f>Table223421023[[#This Row],[REF]]-D$13</f>
        <v>0.10999964999999889</v>
      </c>
      <c r="T112" s="4">
        <f>ABS(Table223421023[[#This Row],[lab-med]])</f>
        <v>0.10999964999999889</v>
      </c>
      <c r="U112" s="4">
        <f>Table223421023[[#This Row],[yval]]-F$13</f>
        <v>-0.69131755726487221</v>
      </c>
      <c r="V112" s="4">
        <f>ABS(Table223421023[[#This Row],[anl-med]])</f>
        <v>0.69131755726487221</v>
      </c>
      <c r="W112" s="4">
        <f>Table223421023[[#This Row],[lab-med]]*Table223421023[[#This Row],[anl-med]]</f>
        <v>-7.6044689337990135E-2</v>
      </c>
    </row>
    <row r="113" spans="2:23" ht="14.4" x14ac:dyDescent="0.3">
      <c r="B113" s="46">
        <f ca="1">VALUE((Table223421023[[#This Row],[Column3]]-62))</f>
        <v>51</v>
      </c>
      <c r="C113" t="s">
        <v>119</v>
      </c>
      <c r="D113">
        <v>9.2299994999999999</v>
      </c>
      <c r="E113"/>
      <c r="F113" s="84">
        <v>11.17352675562508</v>
      </c>
      <c r="G113" s="29">
        <f>Table223421023[[#This Row],[yval]]-Table223421023[[#This Row],[REF]]</f>
        <v>1.9435272556250798</v>
      </c>
      <c r="H113" s="29">
        <f>Table223421023[[#This Row],[X-Y]]-E$20</f>
        <v>1.165030271425092</v>
      </c>
      <c r="I113" s="29">
        <f>Table223421023[[#This Row],[yval]]-E$20</f>
        <v>10.395029771425092</v>
      </c>
      <c r="J113" s="29">
        <f>Table223421023[[#This Row],[yval]]*E$21+E$22</f>
        <v>11.021875649195401</v>
      </c>
      <c r="K113" s="56">
        <f>Table223421023[[#This Row],[Yest]]-Table223421023[[#This Row],[REF]]</f>
        <v>1.7918761491954012</v>
      </c>
      <c r="L113" s="56">
        <f>ABS(Table223421023[[#This Row],[RESyx]])</f>
        <v>1.7918761491954012</v>
      </c>
      <c r="M113" s="29">
        <f>Table223421023[[#This Row],[yval]]*E$25+E$26</f>
        <v>10.697171060058077</v>
      </c>
      <c r="N113" s="29">
        <f>Table223421023[[#This Row],[X-Y]]^2</f>
        <v>3.777298193357554</v>
      </c>
      <c r="O113" s="57">
        <f>Table223421023[[#This Row],[yest_rect]]-Table223421023[[#This Row],[REF]]</f>
        <v>1.4671715600580768</v>
      </c>
      <c r="P113" s="57">
        <f>Table223421023[[#This Row],[dif rec]]^2</f>
        <v>2.152592386643251</v>
      </c>
      <c r="Q113" s="57">
        <f>ABS(Table223421023[[#This Row],[diff-bias]])</f>
        <v>1.165030271425092</v>
      </c>
      <c r="R113" s="57">
        <f ca="1">CELL("row",Table223421023[[#This Row],[Position]])</f>
        <v>113</v>
      </c>
      <c r="S113" s="4">
        <f>Table223421023[[#This Row],[REF]]-D$13</f>
        <v>-1.780000750000001</v>
      </c>
      <c r="T113" s="4">
        <f>ABS(Table223421023[[#This Row],[lab-med]])</f>
        <v>1.780000750000001</v>
      </c>
      <c r="U113" s="4">
        <f>Table223421023[[#This Row],[yval]]-F$13</f>
        <v>-0.79426064237912186</v>
      </c>
      <c r="V113" s="4">
        <f>ABS(Table223421023[[#This Row],[anl-med]])</f>
        <v>0.79426064237912186</v>
      </c>
      <c r="W113" s="4">
        <f>Table223421023[[#This Row],[lab-med]]*Table223421023[[#This Row],[anl-med]]</f>
        <v>1.4137845391303194</v>
      </c>
    </row>
    <row r="114" spans="2:23" ht="14.4" x14ac:dyDescent="0.3">
      <c r="B114" s="46">
        <f ca="1">VALUE((Table223421023[[#This Row],[Column3]]-62))</f>
        <v>52</v>
      </c>
      <c r="C114" t="s">
        <v>120</v>
      </c>
      <c r="D114">
        <v>11.2299995</v>
      </c>
      <c r="E114"/>
      <c r="F114" s="84">
        <v>13.017403831782939</v>
      </c>
      <c r="G114" s="29">
        <f>Table223421023[[#This Row],[yval]]-Table223421023[[#This Row],[REF]]</f>
        <v>1.7874043317829393</v>
      </c>
      <c r="H114" s="29">
        <f>Table223421023[[#This Row],[X-Y]]-E$20</f>
        <v>1.0089073475829515</v>
      </c>
      <c r="I114" s="29">
        <f>Table223421023[[#This Row],[yval]]-E$20</f>
        <v>12.238906847582951</v>
      </c>
      <c r="J114" s="29">
        <f>Table223421023[[#This Row],[yval]]*E$21+E$22</f>
        <v>11.248013132529442</v>
      </c>
      <c r="K114" s="56">
        <f>Table223421023[[#This Row],[Yest]]-Table223421023[[#This Row],[REF]]</f>
        <v>1.8013632529441992E-2</v>
      </c>
      <c r="L114" s="56">
        <f>ABS(Table223421023[[#This Row],[RESyx]])</f>
        <v>1.8013632529441992E-2</v>
      </c>
      <c r="M114" s="29">
        <f>Table223421023[[#This Row],[yval]]*E$25+E$26</f>
        <v>11.76129358636231</v>
      </c>
      <c r="N114" s="29">
        <f>Table223421023[[#This Row],[X-Y]]^2</f>
        <v>3.1948142452764157</v>
      </c>
      <c r="O114" s="57">
        <f>Table223421023[[#This Row],[yest_rect]]-Table223421023[[#This Row],[REF]]</f>
        <v>0.53129408636231013</v>
      </c>
      <c r="P114" s="57">
        <f>Table223421023[[#This Row],[dif rec]]^2</f>
        <v>0.28227340620356184</v>
      </c>
      <c r="Q114" s="57">
        <f>ABS(Table223421023[[#This Row],[diff-bias]])</f>
        <v>1.0089073475829515</v>
      </c>
      <c r="R114" s="57">
        <f ca="1">CELL("row",Table223421023[[#This Row],[Position]])</f>
        <v>114</v>
      </c>
      <c r="S114" s="4">
        <f>Table223421023[[#This Row],[REF]]-D$13</f>
        <v>0.21999924999999898</v>
      </c>
      <c r="T114" s="4">
        <f>ABS(Table223421023[[#This Row],[lab-med]])</f>
        <v>0.21999924999999898</v>
      </c>
      <c r="U114" s="4">
        <f>Table223421023[[#This Row],[yval]]-F$13</f>
        <v>1.0496164337787377</v>
      </c>
      <c r="V114" s="4">
        <f>ABS(Table223421023[[#This Row],[anl-med]])</f>
        <v>1.0496164337787377</v>
      </c>
      <c r="W114" s="4">
        <f>Table223421023[[#This Row],[lab-med]]*Table223421023[[#This Row],[anl-med]]</f>
        <v>0.23091482821899589</v>
      </c>
    </row>
    <row r="115" spans="2:23" ht="14.4" x14ac:dyDescent="0.3">
      <c r="B115" s="46">
        <f ca="1">VALUE((Table223421023[[#This Row],[Column3]]-62))</f>
        <v>53</v>
      </c>
      <c r="C115" t="s">
        <v>121</v>
      </c>
      <c r="D115">
        <v>11.2299995</v>
      </c>
      <c r="E115"/>
      <c r="F115" s="84">
        <v>10.93803833891519</v>
      </c>
      <c r="G115" s="29">
        <f>Table223421023[[#This Row],[yval]]-Table223421023[[#This Row],[REF]]</f>
        <v>-0.29196116108481007</v>
      </c>
      <c r="H115" s="29">
        <f>Table223421023[[#This Row],[X-Y]]-E$20</f>
        <v>-1.0704581452847979</v>
      </c>
      <c r="I115" s="29">
        <f>Table223421023[[#This Row],[yval]]-E$20</f>
        <v>10.159541354715202</v>
      </c>
      <c r="J115" s="29">
        <f>Table223421023[[#This Row],[yval]]*E$21+E$22</f>
        <v>10.992994787993929</v>
      </c>
      <c r="K115" s="56">
        <f>Table223421023[[#This Row],[Yest]]-Table223421023[[#This Row],[REF]]</f>
        <v>-0.23700471200607076</v>
      </c>
      <c r="L115" s="56">
        <f>ABS(Table223421023[[#This Row],[RESyx]])</f>
        <v>0.23700471200607076</v>
      </c>
      <c r="M115" s="29">
        <f>Table223421023[[#This Row],[yval]]*E$25+E$26</f>
        <v>10.561268004401638</v>
      </c>
      <c r="N115" s="29">
        <f>Table223421023[[#This Row],[X-Y]]^2</f>
        <v>8.524131958199041E-2</v>
      </c>
      <c r="O115" s="57">
        <f>Table223421023[[#This Row],[yest_rect]]-Table223421023[[#This Row],[REF]]</f>
        <v>-0.66873149559836165</v>
      </c>
      <c r="P115" s="57">
        <f>Table223421023[[#This Row],[dif rec]]^2</f>
        <v>0.44720181320522157</v>
      </c>
      <c r="Q115" s="57">
        <f>ABS(Table223421023[[#This Row],[diff-bias]])</f>
        <v>1.0704581452847979</v>
      </c>
      <c r="R115" s="57">
        <f ca="1">CELL("row",Table223421023[[#This Row],[Position]])</f>
        <v>115</v>
      </c>
      <c r="S115" s="4">
        <f>Table223421023[[#This Row],[REF]]-D$13</f>
        <v>0.21999924999999898</v>
      </c>
      <c r="T115" s="4">
        <f>ABS(Table223421023[[#This Row],[lab-med]])</f>
        <v>0.21999924999999898</v>
      </c>
      <c r="U115" s="4">
        <f>Table223421023[[#This Row],[yval]]-F$13</f>
        <v>-1.0297490590890117</v>
      </c>
      <c r="V115" s="4">
        <f>ABS(Table223421023[[#This Row],[anl-med]])</f>
        <v>1.0297490590890117</v>
      </c>
      <c r="W115" s="4">
        <f>Table223421023[[#This Row],[lab-med]]*Table223421023[[#This Row],[anl-med]]</f>
        <v>-0.2265440206877872</v>
      </c>
    </row>
    <row r="116" spans="2:23" ht="14.4" x14ac:dyDescent="0.3">
      <c r="B116" s="46">
        <f ca="1">VALUE((Table223421023[[#This Row],[Column3]]-62))</f>
        <v>54</v>
      </c>
      <c r="C116" t="s">
        <v>122</v>
      </c>
      <c r="D116">
        <v>11.2399998</v>
      </c>
      <c r="E116"/>
      <c r="F116" s="84">
        <v>15.91366721333357</v>
      </c>
      <c r="G116" s="29">
        <f>Table223421023[[#This Row],[yval]]-Table223421023[[#This Row],[REF]]</f>
        <v>4.6736674133335701</v>
      </c>
      <c r="H116" s="29">
        <f>Table223421023[[#This Row],[X-Y]]-E$20</f>
        <v>3.8951704291335822</v>
      </c>
      <c r="I116" s="29">
        <f>Table223421023[[#This Row],[yval]]-E$20</f>
        <v>15.135170229133582</v>
      </c>
      <c r="J116" s="29">
        <f>Table223421023[[#This Row],[yval]]*E$21+E$22</f>
        <v>11.603217782907301</v>
      </c>
      <c r="K116" s="56">
        <f>Table223421023[[#This Row],[Yest]]-Table223421023[[#This Row],[REF]]</f>
        <v>0.36321798290730101</v>
      </c>
      <c r="L116" s="56">
        <f>ABS(Table223421023[[#This Row],[RESyx]])</f>
        <v>0.36321798290730101</v>
      </c>
      <c r="M116" s="29">
        <f>Table223421023[[#This Row],[yval]]*E$25+E$26</f>
        <v>13.432760272655793</v>
      </c>
      <c r="N116" s="29">
        <f>Table223421023[[#This Row],[X-Y]]^2</f>
        <v>21.843167090456102</v>
      </c>
      <c r="O116" s="57">
        <f>Table223421023[[#This Row],[yest_rect]]-Table223421023[[#This Row],[REF]]</f>
        <v>2.1927604726557934</v>
      </c>
      <c r="P116" s="57">
        <f>Table223421023[[#This Row],[dif rec]]^2</f>
        <v>4.8081984904416588</v>
      </c>
      <c r="Q116" s="57">
        <f>ABS(Table223421023[[#This Row],[diff-bias]])</f>
        <v>3.8951704291335822</v>
      </c>
      <c r="R116" s="57">
        <f ca="1">CELL("row",Table223421023[[#This Row],[Position]])</f>
        <v>116</v>
      </c>
      <c r="S116" s="4">
        <f>Table223421023[[#This Row],[REF]]-D$13</f>
        <v>0.22999954999999872</v>
      </c>
      <c r="T116" s="4">
        <f>ABS(Table223421023[[#This Row],[lab-med]])</f>
        <v>0.22999954999999872</v>
      </c>
      <c r="U116" s="4">
        <f>Table223421023[[#This Row],[yval]]-F$13</f>
        <v>3.9458798153293682</v>
      </c>
      <c r="V116" s="4">
        <f>ABS(Table223421023[[#This Row],[anl-med]])</f>
        <v>3.9458798153293682</v>
      </c>
      <c r="W116" s="4">
        <f>Table223421023[[#This Row],[lab-med]]*Table223421023[[#This Row],[anl-med]]</f>
        <v>0.90755058187983273</v>
      </c>
    </row>
    <row r="117" spans="2:23" ht="14.4" x14ac:dyDescent="0.3">
      <c r="B117" s="46">
        <f ca="1">VALUE((Table223421023[[#This Row],[Column3]]-62))</f>
        <v>55</v>
      </c>
      <c r="C117" t="s">
        <v>123</v>
      </c>
      <c r="D117">
        <v>12.5600004</v>
      </c>
      <c r="E117"/>
      <c r="F117" s="84">
        <v>12.509833085789969</v>
      </c>
      <c r="G117" s="29">
        <f>Table223421023[[#This Row],[yval]]-Table223421023[[#This Row],[REF]]</f>
        <v>-5.0167314210030511E-2</v>
      </c>
      <c r="H117" s="29">
        <f>Table223421023[[#This Row],[X-Y]]-E$20</f>
        <v>-0.82866429841001832</v>
      </c>
      <c r="I117" s="29">
        <f>Table223421023[[#This Row],[yval]]-E$20</f>
        <v>11.731336101589982</v>
      </c>
      <c r="J117" s="29">
        <f>Table223421023[[#This Row],[yval]]*E$21+E$22</f>
        <v>11.18576344539086</v>
      </c>
      <c r="K117" s="56">
        <f>Table223421023[[#This Row],[Yest]]-Table223421023[[#This Row],[REF]]</f>
        <v>-1.37423695460914</v>
      </c>
      <c r="L117" s="56">
        <f>ABS(Table223421023[[#This Row],[RESyx]])</f>
        <v>1.37423695460914</v>
      </c>
      <c r="M117" s="29">
        <f>Table223421023[[#This Row],[yval]]*E$25+E$26</f>
        <v>11.468368710030736</v>
      </c>
      <c r="N117" s="29">
        <f>Table223421023[[#This Row],[X-Y]]^2</f>
        <v>2.5167594150479291E-3</v>
      </c>
      <c r="O117" s="57">
        <f>Table223421023[[#This Row],[yest_rect]]-Table223421023[[#This Row],[REF]]</f>
        <v>-1.0916316899692635</v>
      </c>
      <c r="P117" s="57">
        <f>Table223421023[[#This Row],[dif rec]]^2</f>
        <v>1.1916597465451502</v>
      </c>
      <c r="Q117" s="57">
        <f>ABS(Table223421023[[#This Row],[diff-bias]])</f>
        <v>0.82866429841001832</v>
      </c>
      <c r="R117" s="57">
        <f ca="1">CELL("row",Table223421023[[#This Row],[Position]])</f>
        <v>117</v>
      </c>
      <c r="S117" s="4">
        <f>Table223421023[[#This Row],[REF]]-D$13</f>
        <v>1.5500001499999989</v>
      </c>
      <c r="T117" s="4">
        <f>ABS(Table223421023[[#This Row],[lab-med]])</f>
        <v>1.5500001499999989</v>
      </c>
      <c r="U117" s="4">
        <f>Table223421023[[#This Row],[yval]]-F$13</f>
        <v>0.54204568778576778</v>
      </c>
      <c r="V117" s="4">
        <f>ABS(Table223421023[[#This Row],[anl-med]])</f>
        <v>0.54204568778576778</v>
      </c>
      <c r="W117" s="4">
        <f>Table223421023[[#This Row],[lab-med]]*Table223421023[[#This Row],[anl-med]]</f>
        <v>0.84017089737479267</v>
      </c>
    </row>
    <row r="118" spans="2:23" ht="14.4" x14ac:dyDescent="0.3">
      <c r="B118" s="46">
        <f ca="1">VALUE((Table223421023[[#This Row],[Column3]]-62))</f>
        <v>56</v>
      </c>
      <c r="C118" t="s">
        <v>124</v>
      </c>
      <c r="D118">
        <v>10.0699997</v>
      </c>
      <c r="E118"/>
      <c r="F118" s="84">
        <v>10.25870675202431</v>
      </c>
      <c r="G118" s="29">
        <f>Table223421023[[#This Row],[yval]]-Table223421023[[#This Row],[REF]]</f>
        <v>0.18870705202430926</v>
      </c>
      <c r="H118" s="29">
        <f>Table223421023[[#This Row],[X-Y]]-E$20</f>
        <v>-0.58978993217567854</v>
      </c>
      <c r="I118" s="29">
        <f>Table223421023[[#This Row],[yval]]-E$20</f>
        <v>9.4802097678243218</v>
      </c>
      <c r="J118" s="29">
        <f>Table223421023[[#This Row],[yval]]*E$21+E$22</f>
        <v>10.909679941578606</v>
      </c>
      <c r="K118" s="56">
        <f>Table223421023[[#This Row],[Yest]]-Table223421023[[#This Row],[REF]]</f>
        <v>0.83968024157860555</v>
      </c>
      <c r="L118" s="56">
        <f>ABS(Table223421023[[#This Row],[RESyx]])</f>
        <v>0.83968024157860555</v>
      </c>
      <c r="M118" s="29">
        <f>Table223421023[[#This Row],[yval]]*E$25+E$26</f>
        <v>10.169217984480085</v>
      </c>
      <c r="N118" s="29">
        <f>Table223421023[[#This Row],[X-Y]]^2</f>
        <v>3.5610351483705366E-2</v>
      </c>
      <c r="O118" s="57">
        <f>Table223421023[[#This Row],[yest_rect]]-Table223421023[[#This Row],[REF]]</f>
        <v>9.9218284480084407E-2</v>
      </c>
      <c r="P118" s="57">
        <f>Table223421023[[#This Row],[dif rec]]^2</f>
        <v>9.8442679751709582E-3</v>
      </c>
      <c r="Q118" s="57">
        <f>ABS(Table223421023[[#This Row],[diff-bias]])</f>
        <v>0.58978993217567854</v>
      </c>
      <c r="R118" s="57">
        <f ca="1">CELL("row",Table223421023[[#This Row],[Position]])</f>
        <v>118</v>
      </c>
      <c r="S118" s="4">
        <f>Table223421023[[#This Row],[REF]]-D$13</f>
        <v>-0.9400005500000006</v>
      </c>
      <c r="T118" s="4">
        <f>ABS(Table223421023[[#This Row],[lab-med]])</f>
        <v>0.9400005500000006</v>
      </c>
      <c r="U118" s="4">
        <f>Table223421023[[#This Row],[yval]]-F$13</f>
        <v>-1.709080645979892</v>
      </c>
      <c r="V118" s="4">
        <f>ABS(Table223421023[[#This Row],[anl-med]])</f>
        <v>1.709080645979892</v>
      </c>
      <c r="W118" s="4">
        <f>Table223421023[[#This Row],[lab-med]]*Table223421023[[#This Row],[anl-med]]</f>
        <v>1.6065367472154548</v>
      </c>
    </row>
    <row r="119" spans="2:23" ht="14.4" x14ac:dyDescent="0.3">
      <c r="B119" s="46">
        <f ca="1">VALUE((Table223421023[[#This Row],[Column3]]-62))</f>
        <v>57</v>
      </c>
      <c r="C119" t="s">
        <v>125</v>
      </c>
      <c r="D119">
        <v>9.9399996000000002</v>
      </c>
      <c r="E119"/>
      <c r="F119" s="84">
        <v>10.78625386002942</v>
      </c>
      <c r="G119" s="29">
        <f>Table223421023[[#This Row],[yval]]-Table223421023[[#This Row],[REF]]</f>
        <v>0.84625426002942028</v>
      </c>
      <c r="H119" s="29">
        <f>Table223421023[[#This Row],[X-Y]]-E$20</f>
        <v>6.7757275829432473E-2</v>
      </c>
      <c r="I119" s="29">
        <f>Table223421023[[#This Row],[yval]]-E$20</f>
        <v>10.007756875829433</v>
      </c>
      <c r="J119" s="29">
        <f>Table223421023[[#This Row],[yval]]*E$21+E$22</f>
        <v>10.974379577409545</v>
      </c>
      <c r="K119" s="56">
        <f>Table223421023[[#This Row],[Yest]]-Table223421023[[#This Row],[REF]]</f>
        <v>1.0343799774095448</v>
      </c>
      <c r="L119" s="56">
        <f>ABS(Table223421023[[#This Row],[RESyx]])</f>
        <v>1.0343799774095448</v>
      </c>
      <c r="M119" s="29">
        <f>Table223421023[[#This Row],[yval]]*E$25+E$26</f>
        <v>10.473671447551844</v>
      </c>
      <c r="N119" s="29">
        <f>Table223421023[[#This Row],[X-Y]]^2</f>
        <v>0.71614627261794173</v>
      </c>
      <c r="O119" s="57">
        <f>Table223421023[[#This Row],[yest_rect]]-Table223421023[[#This Row],[REF]]</f>
        <v>0.53367184755184383</v>
      </c>
      <c r="P119" s="57">
        <f>Table223421023[[#This Row],[dif rec]]^2</f>
        <v>0.28480564086939841</v>
      </c>
      <c r="Q119" s="57">
        <f>ABS(Table223421023[[#This Row],[diff-bias]])</f>
        <v>6.7757275829432473E-2</v>
      </c>
      <c r="R119" s="57">
        <f ca="1">CELL("row",Table223421023[[#This Row],[Position]])</f>
        <v>119</v>
      </c>
      <c r="S119" s="4">
        <f>Table223421023[[#This Row],[REF]]-D$13</f>
        <v>-1.0700006500000008</v>
      </c>
      <c r="T119" s="4">
        <f>ABS(Table223421023[[#This Row],[lab-med]])</f>
        <v>1.0700006500000008</v>
      </c>
      <c r="U119" s="4">
        <f>Table223421023[[#This Row],[yval]]-F$13</f>
        <v>-1.1815335379747811</v>
      </c>
      <c r="V119" s="4">
        <f>ABS(Table223421023[[#This Row],[anl-med]])</f>
        <v>1.1815335379747811</v>
      </c>
      <c r="W119" s="4">
        <f>Table223421023[[#This Row],[lab-med]]*Table223421023[[#This Row],[anl-med]]</f>
        <v>1.2642416536298164</v>
      </c>
    </row>
    <row r="120" spans="2:23" ht="14.4" x14ac:dyDescent="0.3">
      <c r="B120" s="46">
        <f ca="1">VALUE((Table223421023[[#This Row],[Column3]]-62))</f>
        <v>58</v>
      </c>
      <c r="C120" t="s">
        <v>126</v>
      </c>
      <c r="D120">
        <v>10.2399998</v>
      </c>
      <c r="E120"/>
      <c r="F120" s="84">
        <v>9.8557378718542825</v>
      </c>
      <c r="G120" s="29">
        <f>Table223421023[[#This Row],[yval]]-Table223421023[[#This Row],[REF]]</f>
        <v>-0.38426192814571714</v>
      </c>
      <c r="H120" s="29">
        <f>Table223421023[[#This Row],[X-Y]]-E$20</f>
        <v>-1.1627589123457049</v>
      </c>
      <c r="I120" s="29">
        <f>Table223421023[[#This Row],[yval]]-E$20</f>
        <v>9.0772408876542947</v>
      </c>
      <c r="J120" s="29">
        <f>Table223421023[[#This Row],[yval]]*E$21+E$22</f>
        <v>10.860258876800541</v>
      </c>
      <c r="K120" s="56">
        <f>Table223421023[[#This Row],[Yest]]-Table223421023[[#This Row],[REF]]</f>
        <v>0.62025907680054182</v>
      </c>
      <c r="L120" s="56">
        <f>ABS(Table223421023[[#This Row],[RESyx]])</f>
        <v>0.62025907680054182</v>
      </c>
      <c r="M120" s="29">
        <f>Table223421023[[#This Row],[yval]]*E$25+E$26</f>
        <v>9.9366600399548251</v>
      </c>
      <c r="N120" s="29">
        <f>Table223421023[[#This Row],[X-Y]]^2</f>
        <v>0.14765722942226428</v>
      </c>
      <c r="O120" s="57">
        <f>Table223421023[[#This Row],[yest_rect]]-Table223421023[[#This Row],[REF]]</f>
        <v>-0.3033397600451746</v>
      </c>
      <c r="P120" s="57">
        <f>Table223421023[[#This Row],[dif rec]]^2</f>
        <v>9.2015010024264099E-2</v>
      </c>
      <c r="Q120" s="57">
        <f>ABS(Table223421023[[#This Row],[diff-bias]])</f>
        <v>1.1627589123457049</v>
      </c>
      <c r="R120" s="57">
        <f ca="1">CELL("row",Table223421023[[#This Row],[Position]])</f>
        <v>120</v>
      </c>
      <c r="S120" s="4">
        <f>Table223421023[[#This Row],[REF]]-D$13</f>
        <v>-0.77000045000000128</v>
      </c>
      <c r="T120" s="4">
        <f>ABS(Table223421023[[#This Row],[lab-med]])</f>
        <v>0.77000045000000128</v>
      </c>
      <c r="U120" s="4">
        <f>Table223421023[[#This Row],[yval]]-F$13</f>
        <v>-2.112049526149919</v>
      </c>
      <c r="V120" s="4">
        <f>ABS(Table223421023[[#This Row],[anl-med]])</f>
        <v>2.112049526149919</v>
      </c>
      <c r="W120" s="4">
        <f>Table223421023[[#This Row],[lab-med]]*Table223421023[[#This Row],[anl-med]]</f>
        <v>1.6262790855577272</v>
      </c>
    </row>
    <row r="121" spans="2:23" ht="14.4" x14ac:dyDescent="0.3">
      <c r="B121" s="46">
        <f ca="1">VALUE((Table223421023[[#This Row],[Column3]]-62))</f>
        <v>59</v>
      </c>
      <c r="C121" t="s">
        <v>127</v>
      </c>
      <c r="D121">
        <v>11.420000099999999</v>
      </c>
      <c r="E121"/>
      <c r="F121" s="84">
        <v>14.5032694343427</v>
      </c>
      <c r="G121" s="29">
        <f>Table223421023[[#This Row],[yval]]-Table223421023[[#This Row],[REF]]</f>
        <v>3.0832693343427007</v>
      </c>
      <c r="H121" s="29">
        <f>Table223421023[[#This Row],[X-Y]]-E$20</f>
        <v>2.3047723501427129</v>
      </c>
      <c r="I121" s="29">
        <f>Table223421023[[#This Row],[yval]]-E$20</f>
        <v>13.724772450142712</v>
      </c>
      <c r="J121" s="29">
        <f>Table223421023[[#This Row],[yval]]*E$21+E$22</f>
        <v>11.430243234676835</v>
      </c>
      <c r="K121" s="56">
        <f>Table223421023[[#This Row],[Yest]]-Table223421023[[#This Row],[REF]]</f>
        <v>1.0243134676835908E-2</v>
      </c>
      <c r="L121" s="56">
        <f>ABS(Table223421023[[#This Row],[RESyx]])</f>
        <v>1.0243134676835908E-2</v>
      </c>
      <c r="M121" s="29">
        <f>Table223421023[[#This Row],[yval]]*E$25+E$26</f>
        <v>12.618803601096657</v>
      </c>
      <c r="N121" s="29">
        <f>Table223421023[[#This Row],[X-Y]]^2</f>
        <v>9.5065497880980807</v>
      </c>
      <c r="O121" s="57">
        <f>Table223421023[[#This Row],[yest_rect]]-Table223421023[[#This Row],[REF]]</f>
        <v>1.1988035010966573</v>
      </c>
      <c r="P121" s="57">
        <f>Table223421023[[#This Row],[dif rec]]^2</f>
        <v>1.4371298342416032</v>
      </c>
      <c r="Q121" s="57">
        <f>ABS(Table223421023[[#This Row],[diff-bias]])</f>
        <v>2.3047723501427129</v>
      </c>
      <c r="R121" s="57">
        <f ca="1">CELL("row",Table223421023[[#This Row],[Position]])</f>
        <v>121</v>
      </c>
      <c r="S121" s="4">
        <f>Table223421023[[#This Row],[REF]]-D$13</f>
        <v>0.40999984999999839</v>
      </c>
      <c r="T121" s="4">
        <f>ABS(Table223421023[[#This Row],[lab-med]])</f>
        <v>0.40999984999999839</v>
      </c>
      <c r="U121" s="4">
        <f>Table223421023[[#This Row],[yval]]-F$13</f>
        <v>2.5354820363384984</v>
      </c>
      <c r="V121" s="4">
        <f>ABS(Table223421023[[#This Row],[anl-med]])</f>
        <v>2.5354820363384984</v>
      </c>
      <c r="W121" s="4">
        <f>Table223421023[[#This Row],[lab-med]]*Table223421023[[#This Row],[anl-med]]</f>
        <v>1.0395472545764748</v>
      </c>
    </row>
    <row r="122" spans="2:23" ht="14.4" x14ac:dyDescent="0.3">
      <c r="B122" s="46">
        <f ca="1">VALUE((Table223421023[[#This Row],[Column3]]-62))</f>
        <v>60</v>
      </c>
      <c r="C122" t="s">
        <v>128</v>
      </c>
      <c r="D122">
        <v>10.5</v>
      </c>
      <c r="E122"/>
      <c r="F122" s="84">
        <v>9.4444645073690126</v>
      </c>
      <c r="G122" s="29">
        <f>Table223421023[[#This Row],[yval]]-Table223421023[[#This Row],[REF]]</f>
        <v>-1.0555354926309874</v>
      </c>
      <c r="H122" s="29">
        <f>Table223421023[[#This Row],[X-Y]]-E$20</f>
        <v>-1.8340324768309753</v>
      </c>
      <c r="I122" s="29">
        <f>Table223421023[[#This Row],[yval]]-E$20</f>
        <v>8.6659675231690247</v>
      </c>
      <c r="J122" s="29">
        <f>Table223421023[[#This Row],[yval]]*E$21+E$22</f>
        <v>10.809819330255053</v>
      </c>
      <c r="K122" s="56">
        <f>Table223421023[[#This Row],[Yest]]-Table223421023[[#This Row],[REF]]</f>
        <v>0.30981933025505271</v>
      </c>
      <c r="L122" s="56">
        <f>ABS(Table223421023[[#This Row],[RESyx]])</f>
        <v>0.30981933025505271</v>
      </c>
      <c r="M122" s="29">
        <f>Table223421023[[#This Row],[yval]]*E$25+E$26</f>
        <v>9.6993094826553978</v>
      </c>
      <c r="N122" s="29">
        <f>Table223421023[[#This Row],[X-Y]]^2</f>
        <v>1.1141551762037414</v>
      </c>
      <c r="O122" s="57">
        <f>Table223421023[[#This Row],[yest_rect]]-Table223421023[[#This Row],[REF]]</f>
        <v>-0.80069051734460217</v>
      </c>
      <c r="P122" s="57">
        <f>Table223421023[[#This Row],[dif rec]]^2</f>
        <v>0.64110530456556669</v>
      </c>
      <c r="Q122" s="57">
        <f>ABS(Table223421023[[#This Row],[diff-bias]])</f>
        <v>1.8340324768309753</v>
      </c>
      <c r="R122" s="57">
        <f ca="1">CELL("row",Table223421023[[#This Row],[Position]])</f>
        <v>122</v>
      </c>
      <c r="S122" s="4">
        <f>Table223421023[[#This Row],[REF]]-D$13</f>
        <v>-0.51000025000000093</v>
      </c>
      <c r="T122" s="4">
        <f>ABS(Table223421023[[#This Row],[lab-med]])</f>
        <v>0.51000025000000093</v>
      </c>
      <c r="U122" s="4">
        <f>Table223421023[[#This Row],[yval]]-F$13</f>
        <v>-2.523322890635189</v>
      </c>
      <c r="V122" s="4">
        <f>ABS(Table223421023[[#This Row],[anl-med]])</f>
        <v>2.523322890635189</v>
      </c>
      <c r="W122" s="4">
        <f>Table223421023[[#This Row],[lab-med]]*Table223421023[[#This Row],[anl-med]]</f>
        <v>1.2868953050546714</v>
      </c>
    </row>
    <row r="123" spans="2:23" ht="14.4" x14ac:dyDescent="0.3">
      <c r="B123" s="46">
        <f ca="1">VALUE((Table223421023[[#This Row],[Column3]]-62))</f>
        <v>61</v>
      </c>
      <c r="C123" t="s">
        <v>129</v>
      </c>
      <c r="D123">
        <v>13.140000300000001</v>
      </c>
      <c r="E123"/>
      <c r="F123" s="84">
        <v>13.02512639952063</v>
      </c>
      <c r="G123" s="29">
        <f>Table223421023[[#This Row],[yval]]-Table223421023[[#This Row],[REF]]</f>
        <v>-0.11487390047937041</v>
      </c>
      <c r="H123" s="29">
        <f>Table223421023[[#This Row],[X-Y]]-E$20</f>
        <v>-0.89337088467935821</v>
      </c>
      <c r="I123" s="29">
        <f>Table223421023[[#This Row],[yval]]-E$20</f>
        <v>12.246629415320642</v>
      </c>
      <c r="J123" s="29">
        <f>Table223421023[[#This Row],[yval]]*E$21+E$22</f>
        <v>11.248960246659587</v>
      </c>
      <c r="K123" s="56">
        <f>Table223421023[[#This Row],[Yest]]-Table223421023[[#This Row],[REF]]</f>
        <v>-1.8910400533404133</v>
      </c>
      <c r="L123" s="56">
        <f>ABS(Table223421023[[#This Row],[RESyx]])</f>
        <v>1.8910400533404133</v>
      </c>
      <c r="M123" s="29">
        <f>Table223421023[[#This Row],[yval]]*E$25+E$26</f>
        <v>11.765750368431377</v>
      </c>
      <c r="N123" s="29">
        <f>Table223421023[[#This Row],[X-Y]]^2</f>
        <v>1.3196013011344297E-2</v>
      </c>
      <c r="O123" s="57">
        <f>Table223421023[[#This Row],[yest_rect]]-Table223421023[[#This Row],[REF]]</f>
        <v>-1.3742499315686239</v>
      </c>
      <c r="P123" s="57">
        <f>Table223421023[[#This Row],[dif rec]]^2</f>
        <v>1.8885628744163674</v>
      </c>
      <c r="Q123" s="57">
        <f>ABS(Table223421023[[#This Row],[diff-bias]])</f>
        <v>0.89337088467935821</v>
      </c>
      <c r="R123" s="57">
        <f ca="1">CELL("row",Table223421023[[#This Row],[Position]])</f>
        <v>123</v>
      </c>
      <c r="S123" s="4">
        <f>Table223421023[[#This Row],[REF]]-D$13</f>
        <v>2.1300000499999996</v>
      </c>
      <c r="T123" s="4">
        <f>ABS(Table223421023[[#This Row],[lab-med]])</f>
        <v>2.1300000499999996</v>
      </c>
      <c r="U123" s="4">
        <f>Table223421023[[#This Row],[yval]]-F$13</f>
        <v>1.0573390015164286</v>
      </c>
      <c r="V123" s="4">
        <f>ABS(Table223421023[[#This Row],[anl-med]])</f>
        <v>1.0573390015164286</v>
      </c>
      <c r="W123" s="4">
        <f>Table223421023[[#This Row],[lab-med]]*Table223421023[[#This Row],[anl-med]]</f>
        <v>2.2521321260969427</v>
      </c>
    </row>
    <row r="124" spans="2:23" ht="14.4" x14ac:dyDescent="0.3">
      <c r="B124" s="46">
        <f ca="1">VALUE((Table223421023[[#This Row],[Column3]]-62))</f>
        <v>62</v>
      </c>
      <c r="C124" t="s">
        <v>130</v>
      </c>
      <c r="D124">
        <v>11.699999800000001</v>
      </c>
      <c r="E124"/>
      <c r="F124" s="84">
        <v>9.6207743711381006</v>
      </c>
      <c r="G124" s="29">
        <f>Table223421023[[#This Row],[yval]]-Table223421023[[#This Row],[REF]]</f>
        <v>-2.0792254288618999</v>
      </c>
      <c r="H124" s="29">
        <f>Table223421023[[#This Row],[X-Y]]-E$20</f>
        <v>-2.8577224130618877</v>
      </c>
      <c r="I124" s="29">
        <f>Table223421023[[#This Row],[yval]]-E$20</f>
        <v>8.8422773869381128</v>
      </c>
      <c r="J124" s="29">
        <f>Table223421023[[#This Row],[yval]]*E$21+E$22</f>
        <v>10.831442392548766</v>
      </c>
      <c r="K124" s="56">
        <f>Table223421023[[#This Row],[Yest]]-Table223421023[[#This Row],[REF]]</f>
        <v>-0.86855740745123455</v>
      </c>
      <c r="L124" s="56">
        <f>ABS(Table223421023[[#This Row],[RESyx]])</f>
        <v>0.86855740745123455</v>
      </c>
      <c r="M124" s="29">
        <f>Table223421023[[#This Row],[yval]]*E$25+E$26</f>
        <v>9.8010599193153389</v>
      </c>
      <c r="N124" s="29">
        <f>Table223421023[[#This Row],[X-Y]]^2</f>
        <v>4.323178384025951</v>
      </c>
      <c r="O124" s="57">
        <f>Table223421023[[#This Row],[yest_rect]]-Table223421023[[#This Row],[REF]]</f>
        <v>-1.8989398806846616</v>
      </c>
      <c r="P124" s="57">
        <f>Table223421023[[#This Row],[dif rec]]^2</f>
        <v>3.6059726704546766</v>
      </c>
      <c r="Q124" s="57">
        <f>ABS(Table223421023[[#This Row],[diff-bias]])</f>
        <v>2.8577224130618877</v>
      </c>
      <c r="R124" s="57">
        <f ca="1">CELL("row",Table223421023[[#This Row],[Position]])</f>
        <v>124</v>
      </c>
      <c r="S124" s="4">
        <f>Table223421023[[#This Row],[REF]]-D$13</f>
        <v>0.68999954999999957</v>
      </c>
      <c r="T124" s="4">
        <f>ABS(Table223421023[[#This Row],[lab-med]])</f>
        <v>0.68999954999999957</v>
      </c>
      <c r="U124" s="4">
        <f>Table223421023[[#This Row],[yval]]-F$13</f>
        <v>-2.3470130268661009</v>
      </c>
      <c r="V124" s="4">
        <f>ABS(Table223421023[[#This Row],[anl-med]])</f>
        <v>2.3470130268661009</v>
      </c>
      <c r="W124" s="4">
        <f>Table223421023[[#This Row],[lab-med]]*Table223421023[[#This Row],[anl-med]]</f>
        <v>-1.6194379323817465</v>
      </c>
    </row>
    <row r="125" spans="2:23" ht="14.4" x14ac:dyDescent="0.3">
      <c r="B125" s="46">
        <f ca="1">VALUE((Table223421023[[#This Row],[Column3]]-62))</f>
        <v>63</v>
      </c>
      <c r="C125" t="s">
        <v>131</v>
      </c>
      <c r="D125">
        <v>10.3800001</v>
      </c>
      <c r="E125"/>
      <c r="F125" s="84">
        <v>13.580746942517109</v>
      </c>
      <c r="G125" s="29">
        <f>Table223421023[[#This Row],[yval]]-Table223421023[[#This Row],[REF]]</f>
        <v>3.2007468425171091</v>
      </c>
      <c r="H125" s="29">
        <f>Table223421023[[#This Row],[X-Y]]-E$20</f>
        <v>2.4222498583171213</v>
      </c>
      <c r="I125" s="29">
        <f>Table223421023[[#This Row],[yval]]-E$20</f>
        <v>12.802249958317121</v>
      </c>
      <c r="J125" s="29">
        <f>Table223421023[[#This Row],[yval]]*E$21+E$22</f>
        <v>11.317102875529256</v>
      </c>
      <c r="K125" s="56">
        <f>Table223421023[[#This Row],[Yest]]-Table223421023[[#This Row],[REF]]</f>
        <v>0.93710277552925625</v>
      </c>
      <c r="L125" s="56">
        <f>ABS(Table223421023[[#This Row],[RESyx]])</f>
        <v>0.93710277552925625</v>
      </c>
      <c r="M125" s="29">
        <f>Table223421023[[#This Row],[yval]]*E$25+E$26</f>
        <v>12.086405331565874</v>
      </c>
      <c r="N125" s="29">
        <f>Table223421023[[#This Row],[X-Y]]^2</f>
        <v>10.244780349883243</v>
      </c>
      <c r="O125" s="57">
        <f>Table223421023[[#This Row],[yest_rect]]-Table223421023[[#This Row],[REF]]</f>
        <v>1.7064052315658742</v>
      </c>
      <c r="P125" s="57">
        <f>Table223421023[[#This Row],[dif rec]]^2</f>
        <v>2.9118188143153847</v>
      </c>
      <c r="Q125" s="57">
        <f>ABS(Table223421023[[#This Row],[diff-bias]])</f>
        <v>2.4222498583171213</v>
      </c>
      <c r="R125" s="57">
        <f ca="1">CELL("row",Table223421023[[#This Row],[Position]])</f>
        <v>125</v>
      </c>
      <c r="S125" s="4">
        <f>Table223421023[[#This Row],[REF]]-D$13</f>
        <v>-0.63000015000000076</v>
      </c>
      <c r="T125" s="4">
        <f>ABS(Table223421023[[#This Row],[lab-med]])</f>
        <v>0.63000015000000076</v>
      </c>
      <c r="U125" s="4">
        <f>Table223421023[[#This Row],[yval]]-F$13</f>
        <v>1.6129595445129077</v>
      </c>
      <c r="V125" s="4">
        <f>ABS(Table223421023[[#This Row],[anl-med]])</f>
        <v>1.6129595445129077</v>
      </c>
      <c r="W125" s="4">
        <f>Table223421023[[#This Row],[lab-med]]*Table223421023[[#This Row],[anl-med]]</f>
        <v>-1.0161647549870647</v>
      </c>
    </row>
    <row r="126" spans="2:23" ht="14.4" x14ac:dyDescent="0.3">
      <c r="B126" s="46">
        <f ca="1">VALUE((Table223421023[[#This Row],[Column3]]-62))</f>
        <v>64</v>
      </c>
      <c r="C126" t="s">
        <v>132</v>
      </c>
      <c r="D126">
        <v>13.350000400000001</v>
      </c>
      <c r="E126"/>
      <c r="F126" s="84">
        <v>11.76770142952763</v>
      </c>
      <c r="G126" s="29">
        <f>Table223421023[[#This Row],[yval]]-Table223421023[[#This Row],[REF]]</f>
        <v>-1.5822989704723707</v>
      </c>
      <c r="H126" s="29">
        <f>Table223421023[[#This Row],[X-Y]]-E$20</f>
        <v>-2.3607959546723585</v>
      </c>
      <c r="I126" s="29">
        <f>Table223421023[[#This Row],[yval]]-E$20</f>
        <v>10.989204445327642</v>
      </c>
      <c r="J126" s="29">
        <f>Table223421023[[#This Row],[yval]]*E$21+E$22</f>
        <v>11.09474664865331</v>
      </c>
      <c r="K126" s="56">
        <f>Table223421023[[#This Row],[Yest]]-Table223421023[[#This Row],[REF]]</f>
        <v>-2.2552537513466913</v>
      </c>
      <c r="L126" s="56">
        <f>ABS(Table223421023[[#This Row],[RESyx]])</f>
        <v>2.2552537513466913</v>
      </c>
      <c r="M126" s="29">
        <f>Table223421023[[#This Row],[yval]]*E$25+E$26</f>
        <v>11.040076052605988</v>
      </c>
      <c r="N126" s="29">
        <f>Table223421023[[#This Row],[X-Y]]^2</f>
        <v>2.5036700319579244</v>
      </c>
      <c r="O126" s="57">
        <f>Table223421023[[#This Row],[yest_rect]]-Table223421023[[#This Row],[REF]]</f>
        <v>-2.3099243473940128</v>
      </c>
      <c r="P126" s="57">
        <f>Table223421023[[#This Row],[dif rec]]^2</f>
        <v>5.3357504906836555</v>
      </c>
      <c r="Q126" s="57">
        <f>ABS(Table223421023[[#This Row],[diff-bias]])</f>
        <v>2.3607959546723585</v>
      </c>
      <c r="R126" s="57">
        <f ca="1">CELL("row",Table223421023[[#This Row],[Position]])</f>
        <v>126</v>
      </c>
      <c r="S126" s="4">
        <f>Table223421023[[#This Row],[REF]]-D$13</f>
        <v>2.3400001499999998</v>
      </c>
      <c r="T126" s="4">
        <f>ABS(Table223421023[[#This Row],[lab-med]])</f>
        <v>2.3400001499999998</v>
      </c>
      <c r="U126" s="4">
        <f>Table223421023[[#This Row],[yval]]-F$13</f>
        <v>-0.20008596847657145</v>
      </c>
      <c r="V126" s="4">
        <f>ABS(Table223421023[[#This Row],[anl-med]])</f>
        <v>0.20008596847657145</v>
      </c>
      <c r="W126" s="4">
        <f>Table223421023[[#This Row],[lab-med]]*Table223421023[[#This Row],[anl-med]]</f>
        <v>-0.46820119624807244</v>
      </c>
    </row>
    <row r="127" spans="2:23" ht="14.4" x14ac:dyDescent="0.3">
      <c r="B127" s="46">
        <f ca="1">VALUE((Table223421023[[#This Row],[Column3]]-62))</f>
        <v>65</v>
      </c>
      <c r="C127" t="s">
        <v>133</v>
      </c>
      <c r="D127">
        <v>12.6599998</v>
      </c>
      <c r="E127"/>
      <c r="F127" s="84">
        <v>13.04096826405614</v>
      </c>
      <c r="G127" s="29">
        <f>Table223421023[[#This Row],[yval]]-Table223421023[[#This Row],[REF]]</f>
        <v>0.38096846405614038</v>
      </c>
      <c r="H127" s="29">
        <f>Table223421023[[#This Row],[X-Y]]-E$20</f>
        <v>-0.39752852014384743</v>
      </c>
      <c r="I127" s="29">
        <f>Table223421023[[#This Row],[yval]]-E$20</f>
        <v>12.262471279856152</v>
      </c>
      <c r="J127" s="29">
        <f>Table223421023[[#This Row],[yval]]*E$21+E$22</f>
        <v>11.250903130718237</v>
      </c>
      <c r="K127" s="56">
        <f>Table223421023[[#This Row],[Yest]]-Table223421023[[#This Row],[REF]]</f>
        <v>-1.4090966692817624</v>
      </c>
      <c r="L127" s="56">
        <f>ABS(Table223421023[[#This Row],[RESyx]])</f>
        <v>1.4090966692817624</v>
      </c>
      <c r="M127" s="29">
        <f>Table223421023[[#This Row],[yval]]*E$25+E$26</f>
        <v>11.774892889442606</v>
      </c>
      <c r="N127" s="29">
        <f>Table223421023[[#This Row],[X-Y]]^2</f>
        <v>0.14513697060529474</v>
      </c>
      <c r="O127" s="57">
        <f>Table223421023[[#This Row],[yest_rect]]-Table223421023[[#This Row],[REF]]</f>
        <v>-0.88510691055739343</v>
      </c>
      <c r="P127" s="57">
        <f>Table223421023[[#This Row],[dif rec]]^2</f>
        <v>0.78341424311645369</v>
      </c>
      <c r="Q127" s="57">
        <f>ABS(Table223421023[[#This Row],[diff-bias]])</f>
        <v>0.39752852014384743</v>
      </c>
      <c r="R127" s="57">
        <f ca="1">CELL("row",Table223421023[[#This Row],[Position]])</f>
        <v>127</v>
      </c>
      <c r="S127" s="4">
        <f>Table223421023[[#This Row],[REF]]-D$13</f>
        <v>1.6499995499999986</v>
      </c>
      <c r="T127" s="4">
        <f>ABS(Table223421023[[#This Row],[lab-med]])</f>
        <v>1.6499995499999986</v>
      </c>
      <c r="U127" s="4">
        <f>Table223421023[[#This Row],[yval]]-F$13</f>
        <v>1.0731808660519384</v>
      </c>
      <c r="V127" s="4">
        <f>ABS(Table223421023[[#This Row],[anl-med]])</f>
        <v>1.0731808660519384</v>
      </c>
      <c r="W127" s="4">
        <f>Table223421023[[#This Row],[lab-med]]*Table223421023[[#This Row],[anl-med]]</f>
        <v>1.7707479460543072</v>
      </c>
    </row>
    <row r="128" spans="2:23" ht="14.4" x14ac:dyDescent="0.3">
      <c r="B128" s="46">
        <f ca="1">VALUE((Table223421023[[#This Row],[Column3]]-62))</f>
        <v>66</v>
      </c>
      <c r="C128" t="s">
        <v>134</v>
      </c>
      <c r="D128">
        <v>11.9899998</v>
      </c>
      <c r="E128"/>
      <c r="F128" s="84">
        <v>11.67663219090544</v>
      </c>
      <c r="G128" s="29">
        <f>Table223421023[[#This Row],[yval]]-Table223421023[[#This Row],[REF]]</f>
        <v>-0.31336760909455919</v>
      </c>
      <c r="H128" s="29">
        <f>Table223421023[[#This Row],[X-Y]]-E$20</f>
        <v>-1.091864593294547</v>
      </c>
      <c r="I128" s="29">
        <f>Table223421023[[#This Row],[yval]]-E$20</f>
        <v>10.898135206705453</v>
      </c>
      <c r="J128" s="29">
        <f>Table223421023[[#This Row],[yval]]*E$21+E$22</f>
        <v>11.083577699975839</v>
      </c>
      <c r="K128" s="56">
        <f>Table223421023[[#This Row],[Yest]]-Table223421023[[#This Row],[REF]]</f>
        <v>-0.90642210002416057</v>
      </c>
      <c r="L128" s="56">
        <f>ABS(Table223421023[[#This Row],[RESyx]])</f>
        <v>0.90642210002416057</v>
      </c>
      <c r="M128" s="29">
        <f>Table223421023[[#This Row],[yval]]*E$25+E$26</f>
        <v>10.987518954562782</v>
      </c>
      <c r="N128" s="29">
        <f>Table223421023[[#This Row],[X-Y]]^2</f>
        <v>9.8199258429640446E-2</v>
      </c>
      <c r="O128" s="57">
        <f>Table223421023[[#This Row],[yest_rect]]-Table223421023[[#This Row],[REF]]</f>
        <v>-1.0024808454372174</v>
      </c>
      <c r="P128" s="57">
        <f>Table223421023[[#This Row],[dif rec]]^2</f>
        <v>1.004967845468518</v>
      </c>
      <c r="Q128" s="57">
        <f>ABS(Table223421023[[#This Row],[diff-bias]])</f>
        <v>1.091864593294547</v>
      </c>
      <c r="R128" s="57">
        <f ca="1">CELL("row",Table223421023[[#This Row],[Position]])</f>
        <v>128</v>
      </c>
      <c r="S128" s="4">
        <f>Table223421023[[#This Row],[REF]]-D$13</f>
        <v>0.97999954999999872</v>
      </c>
      <c r="T128" s="4">
        <f>ABS(Table223421023[[#This Row],[lab-med]])</f>
        <v>0.97999954999999872</v>
      </c>
      <c r="U128" s="4">
        <f>Table223421023[[#This Row],[yval]]-F$13</f>
        <v>-0.29115520709876108</v>
      </c>
      <c r="V128" s="4">
        <f>ABS(Table223421023[[#This Row],[anl-med]])</f>
        <v>0.29115520709876108</v>
      </c>
      <c r="W128" s="4">
        <f>Table223421023[[#This Row],[lab-med]]*Table223421023[[#This Row],[anl-med]]</f>
        <v>-0.28533197193694232</v>
      </c>
    </row>
    <row r="129" spans="2:23" ht="14.4" x14ac:dyDescent="0.3">
      <c r="B129" s="46">
        <f ca="1">VALUE((Table223421023[[#This Row],[Column3]]-62))</f>
        <v>67</v>
      </c>
      <c r="C129" t="s">
        <v>135</v>
      </c>
      <c r="D129">
        <v>12</v>
      </c>
      <c r="E129"/>
      <c r="F129" s="84">
        <v>15.563245659264631</v>
      </c>
      <c r="G129" s="29">
        <f>Table223421023[[#This Row],[yval]]-Table223421023[[#This Row],[REF]]</f>
        <v>3.5632456592646307</v>
      </c>
      <c r="H129" s="29">
        <f>Table223421023[[#This Row],[X-Y]]-E$20</f>
        <v>2.7847486750646429</v>
      </c>
      <c r="I129" s="29">
        <f>Table223421023[[#This Row],[yval]]-E$20</f>
        <v>14.784748675064643</v>
      </c>
      <c r="J129" s="29">
        <f>Table223421023[[#This Row],[yval]]*E$21+E$22</f>
        <v>11.560241247558059</v>
      </c>
      <c r="K129" s="56">
        <f>Table223421023[[#This Row],[Yest]]-Table223421023[[#This Row],[REF]]</f>
        <v>-0.43975875244194107</v>
      </c>
      <c r="L129" s="56">
        <f>ABS(Table223421023[[#This Row],[RESyx]])</f>
        <v>0.43975875244194107</v>
      </c>
      <c r="M129" s="29">
        <f>Table223421023[[#This Row],[yval]]*E$25+E$26</f>
        <v>13.230527990358375</v>
      </c>
      <c r="N129" s="29">
        <f>Table223421023[[#This Row],[X-Y]]^2</f>
        <v>12.696719628268232</v>
      </c>
      <c r="O129" s="57">
        <f>Table223421023[[#This Row],[yest_rect]]-Table223421023[[#This Row],[REF]]</f>
        <v>1.2305279903583752</v>
      </c>
      <c r="P129" s="57">
        <f>Table223421023[[#This Row],[dif rec]]^2</f>
        <v>1.5141991350554216</v>
      </c>
      <c r="Q129" s="57">
        <f>ABS(Table223421023[[#This Row],[diff-bias]])</f>
        <v>2.7847486750646429</v>
      </c>
      <c r="R129" s="57">
        <f ca="1">CELL("row",Table223421023[[#This Row],[Position]])</f>
        <v>129</v>
      </c>
      <c r="S129" s="4">
        <f>Table223421023[[#This Row],[REF]]-D$13</f>
        <v>0.98999974999999907</v>
      </c>
      <c r="T129" s="4">
        <f>ABS(Table223421023[[#This Row],[lab-med]])</f>
        <v>0.98999974999999907</v>
      </c>
      <c r="U129" s="4">
        <f>Table223421023[[#This Row],[yval]]-F$13</f>
        <v>3.5954582612604291</v>
      </c>
      <c r="V129" s="4">
        <f>ABS(Table223421023[[#This Row],[anl-med]])</f>
        <v>3.5954582612604291</v>
      </c>
      <c r="W129" s="4">
        <f>Table223421023[[#This Row],[lab-med]]*Table223421023[[#This Row],[anl-med]]</f>
        <v>3.5595027797832564</v>
      </c>
    </row>
    <row r="130" spans="2:23" ht="14.4" x14ac:dyDescent="0.3">
      <c r="B130" s="46">
        <f ca="1">VALUE((Table223421023[[#This Row],[Column3]]-62))</f>
        <v>68</v>
      </c>
      <c r="C130" t="s">
        <v>136</v>
      </c>
      <c r="D130">
        <v>12</v>
      </c>
      <c r="E130"/>
      <c r="F130" s="84">
        <v>12.82252194686833</v>
      </c>
      <c r="G130" s="29">
        <f>Table223421023[[#This Row],[yval]]-Table223421023[[#This Row],[REF]]</f>
        <v>0.82252194686832958</v>
      </c>
      <c r="H130" s="29">
        <f>Table223421023[[#This Row],[X-Y]]-E$20</f>
        <v>4.4024962668341772E-2</v>
      </c>
      <c r="I130" s="29">
        <f>Table223421023[[#This Row],[yval]]-E$20</f>
        <v>12.044024962668342</v>
      </c>
      <c r="J130" s="29">
        <f>Table223421023[[#This Row],[yval]]*E$21+E$22</f>
        <v>11.224112353257423</v>
      </c>
      <c r="K130" s="56">
        <f>Table223421023[[#This Row],[Yest]]-Table223421023[[#This Row],[REF]]</f>
        <v>-0.77588764674257682</v>
      </c>
      <c r="L130" s="56">
        <f>ABS(Table223421023[[#This Row],[RESyx]])</f>
        <v>0.77588764674257682</v>
      </c>
      <c r="M130" s="29">
        <f>Table223421023[[#This Row],[yval]]*E$25+E$26</f>
        <v>11.648825024120413</v>
      </c>
      <c r="N130" s="29">
        <f>Table223421023[[#This Row],[X-Y]]^2</f>
        <v>0.67654235308006716</v>
      </c>
      <c r="O130" s="57">
        <f>Table223421023[[#This Row],[yest_rect]]-Table223421023[[#This Row],[REF]]</f>
        <v>-0.35117497587958724</v>
      </c>
      <c r="P130" s="57">
        <f>Table223421023[[#This Row],[dif rec]]^2</f>
        <v>0.12332386368402867</v>
      </c>
      <c r="Q130" s="57">
        <f>ABS(Table223421023[[#This Row],[diff-bias]])</f>
        <v>4.4024962668341772E-2</v>
      </c>
      <c r="R130" s="57">
        <f ca="1">CELL("row",Table223421023[[#This Row],[Position]])</f>
        <v>130</v>
      </c>
      <c r="S130" s="4">
        <f>Table223421023[[#This Row],[REF]]-D$13</f>
        <v>0.98999974999999907</v>
      </c>
      <c r="T130" s="4">
        <f>ABS(Table223421023[[#This Row],[lab-med]])</f>
        <v>0.98999974999999907</v>
      </c>
      <c r="U130" s="4">
        <f>Table223421023[[#This Row],[yval]]-F$13</f>
        <v>0.85473454886412803</v>
      </c>
      <c r="V130" s="4">
        <f>ABS(Table223421023[[#This Row],[anl-med]])</f>
        <v>0.85473454886412803</v>
      </c>
      <c r="W130" s="4">
        <f>Table223421023[[#This Row],[lab-med]]*Table223421023[[#This Row],[anl-med]]</f>
        <v>0.84618698969184869</v>
      </c>
    </row>
    <row r="131" spans="2:23" ht="14.4" x14ac:dyDescent="0.3">
      <c r="B131" s="46">
        <f ca="1">VALUE((Table223421023[[#This Row],[Column3]]-62))</f>
        <v>69</v>
      </c>
      <c r="C131" t="s">
        <v>137</v>
      </c>
      <c r="D131">
        <v>13.1599998</v>
      </c>
      <c r="E131"/>
      <c r="F131" s="84">
        <v>11.33995205577194</v>
      </c>
      <c r="G131" s="29">
        <f>Table223421023[[#This Row],[yval]]-Table223421023[[#This Row],[REF]]</f>
        <v>-1.8200477442280594</v>
      </c>
      <c r="H131" s="29">
        <f>Table223421023[[#This Row],[X-Y]]-E$20</f>
        <v>-2.5985447284280472</v>
      </c>
      <c r="I131" s="29">
        <f>Table223421023[[#This Row],[yval]]-E$20</f>
        <v>10.561455071571952</v>
      </c>
      <c r="J131" s="29">
        <f>Table223421023[[#This Row],[yval]]*E$21+E$22</f>
        <v>11.042286445026079</v>
      </c>
      <c r="K131" s="56">
        <f>Table223421023[[#This Row],[Yest]]-Table223421023[[#This Row],[REF]]</f>
        <v>-2.1177133549739207</v>
      </c>
      <c r="L131" s="56">
        <f>ABS(Table223421023[[#This Row],[RESyx]])</f>
        <v>2.1177133549739207</v>
      </c>
      <c r="M131" s="29">
        <f>Table223421023[[#This Row],[yval]]*E$25+E$26</f>
        <v>10.793217002123932</v>
      </c>
      <c r="N131" s="29">
        <f>Table223421023[[#This Row],[X-Y]]^2</f>
        <v>3.3125737912696476</v>
      </c>
      <c r="O131" s="57">
        <f>Table223421023[[#This Row],[yest_rect]]-Table223421023[[#This Row],[REF]]</f>
        <v>-2.366782797876068</v>
      </c>
      <c r="P131" s="57">
        <f>Table223421023[[#This Row],[dif rec]]^2</f>
        <v>5.601660812322069</v>
      </c>
      <c r="Q131" s="57">
        <f>ABS(Table223421023[[#This Row],[diff-bias]])</f>
        <v>2.5985447284280472</v>
      </c>
      <c r="R131" s="57">
        <f ca="1">CELL("row",Table223421023[[#This Row],[Position]])</f>
        <v>131</v>
      </c>
      <c r="S131" s="4">
        <f>Table223421023[[#This Row],[REF]]-D$13</f>
        <v>2.1499995499999986</v>
      </c>
      <c r="T131" s="4">
        <f>ABS(Table223421023[[#This Row],[lab-med]])</f>
        <v>2.1499995499999986</v>
      </c>
      <c r="U131" s="4">
        <f>Table223421023[[#This Row],[yval]]-F$13</f>
        <v>-0.62783534223226134</v>
      </c>
      <c r="V131" s="4">
        <f>ABS(Table223421023[[#This Row],[anl-med]])</f>
        <v>0.62783534223226134</v>
      </c>
      <c r="W131" s="4">
        <f>Table223421023[[#This Row],[lab-med]]*Table223421023[[#This Row],[anl-med]]</f>
        <v>-1.349845703273457</v>
      </c>
    </row>
    <row r="132" spans="2:23" ht="14.4" x14ac:dyDescent="0.3">
      <c r="B132" s="46">
        <f ca="1">VALUE((Table223421023[[#This Row],[Column3]]-62))</f>
        <v>70</v>
      </c>
      <c r="C132" t="s">
        <v>138</v>
      </c>
      <c r="D132">
        <v>12.170000099999999</v>
      </c>
      <c r="E132"/>
      <c r="F132" s="84">
        <v>13.72194889534074</v>
      </c>
      <c r="G132" s="29">
        <f>Table223421023[[#This Row],[yval]]-Table223421023[[#This Row],[REF]]</f>
        <v>1.5519487953407403</v>
      </c>
      <c r="H132" s="29">
        <f>Table223421023[[#This Row],[X-Y]]-E$20</f>
        <v>0.77345181114075245</v>
      </c>
      <c r="I132" s="29">
        <f>Table223421023[[#This Row],[yval]]-E$20</f>
        <v>12.943451911140752</v>
      </c>
      <c r="J132" s="29">
        <f>Table223421023[[#This Row],[yval]]*E$21+E$22</f>
        <v>11.33442021987193</v>
      </c>
      <c r="K132" s="56">
        <f>Table223421023[[#This Row],[Yest]]-Table223421023[[#This Row],[REF]]</f>
        <v>-0.83557988012806916</v>
      </c>
      <c r="L132" s="56">
        <f>ABS(Table223421023[[#This Row],[RESyx]])</f>
        <v>0.83557988012806916</v>
      </c>
      <c r="M132" s="29">
        <f>Table223421023[[#This Row],[yval]]*E$25+E$26</f>
        <v>12.167894591723535</v>
      </c>
      <c r="N132" s="29">
        <f>Table223421023[[#This Row],[X-Y]]^2</f>
        <v>2.4085450633595751</v>
      </c>
      <c r="O132" s="57">
        <f>Table223421023[[#This Row],[yest_rect]]-Table223421023[[#This Row],[REF]]</f>
        <v>-2.1055082764647182E-3</v>
      </c>
      <c r="P132" s="57">
        <f>Table223421023[[#This Row],[dif rec]]^2</f>
        <v>4.4331651022614283E-6</v>
      </c>
      <c r="Q132" s="57">
        <f>ABS(Table223421023[[#This Row],[diff-bias]])</f>
        <v>0.77345181114075245</v>
      </c>
      <c r="R132" s="57">
        <f ca="1">CELL("row",Table223421023[[#This Row],[Position]])</f>
        <v>132</v>
      </c>
      <c r="S132" s="4">
        <f>Table223421023[[#This Row],[REF]]-D$13</f>
        <v>1.1599998499999984</v>
      </c>
      <c r="T132" s="4">
        <f>ABS(Table223421023[[#This Row],[lab-med]])</f>
        <v>1.1599998499999984</v>
      </c>
      <c r="U132" s="4">
        <f>Table223421023[[#This Row],[yval]]-F$13</f>
        <v>1.754161497336538</v>
      </c>
      <c r="V132" s="4">
        <f>ABS(Table223421023[[#This Row],[anl-med]])</f>
        <v>1.754161497336538</v>
      </c>
      <c r="W132" s="4">
        <f>Table223421023[[#This Row],[lab-med]]*Table223421023[[#This Row],[anl-med]]</f>
        <v>2.0348270737861567</v>
      </c>
    </row>
    <row r="133" spans="2:23" ht="14.4" x14ac:dyDescent="0.3">
      <c r="B133" s="46">
        <f ca="1">VALUE((Table223421023[[#This Row],[Column3]]-62))</f>
        <v>71</v>
      </c>
      <c r="C133" t="s">
        <v>139</v>
      </c>
      <c r="D133">
        <v>10.970000300000001</v>
      </c>
      <c r="E133"/>
      <c r="F133" s="84">
        <v>11.69728337222932</v>
      </c>
      <c r="G133" s="29">
        <f>Table223421023[[#This Row],[yval]]-Table223421023[[#This Row],[REF]]</f>
        <v>0.72728307222931932</v>
      </c>
      <c r="H133" s="29">
        <f>Table223421023[[#This Row],[X-Y]]-E$20</f>
        <v>-5.1213911970668491E-2</v>
      </c>
      <c r="I133" s="29">
        <f>Table223421023[[#This Row],[yval]]-E$20</f>
        <v>10.918786388029332</v>
      </c>
      <c r="J133" s="29">
        <f>Table223421023[[#This Row],[yval]]*E$21+E$22</f>
        <v>11.086110410118421</v>
      </c>
      <c r="K133" s="56">
        <f>Table223421023[[#This Row],[Yest]]-Table223421023[[#This Row],[REF]]</f>
        <v>0.1161101101184201</v>
      </c>
      <c r="L133" s="56">
        <f>ABS(Table223421023[[#This Row],[RESyx]])</f>
        <v>0.1161101101184201</v>
      </c>
      <c r="M133" s="29">
        <f>Table223421023[[#This Row],[yval]]*E$25+E$26</f>
        <v>10.999436987237349</v>
      </c>
      <c r="N133" s="29">
        <f>Table223421023[[#This Row],[X-Y]]^2</f>
        <v>0.52894066715131727</v>
      </c>
      <c r="O133" s="57">
        <f>Table223421023[[#This Row],[yest_rect]]-Table223421023[[#This Row],[REF]]</f>
        <v>2.943668723734838E-2</v>
      </c>
      <c r="P133" s="57">
        <f>Table223421023[[#This Row],[dif rec]]^2</f>
        <v>8.6651855550946898E-4</v>
      </c>
      <c r="Q133" s="57">
        <f>ABS(Table223421023[[#This Row],[diff-bias]])</f>
        <v>5.1213911970668491E-2</v>
      </c>
      <c r="R133" s="57">
        <f ca="1">CELL("row",Table223421023[[#This Row],[Position]])</f>
        <v>133</v>
      </c>
      <c r="S133" s="4">
        <f>Table223421023[[#This Row],[REF]]-D$13</f>
        <v>-3.9999950000000339E-2</v>
      </c>
      <c r="T133" s="4">
        <f>ABS(Table223421023[[#This Row],[lab-med]])</f>
        <v>3.9999950000000339E-2</v>
      </c>
      <c r="U133" s="4">
        <f>Table223421023[[#This Row],[yval]]-F$13</f>
        <v>-0.27050402577488164</v>
      </c>
      <c r="V133" s="4">
        <f>ABS(Table223421023[[#This Row],[anl-med]])</f>
        <v>0.27050402577488164</v>
      </c>
      <c r="W133" s="4">
        <f>Table223421023[[#This Row],[lab-med]]*Table223421023[[#This Row],[anl-med]]</f>
        <v>1.0820147505794069E-2</v>
      </c>
    </row>
    <row r="134" spans="2:23" ht="14.4" x14ac:dyDescent="0.3">
      <c r="B134" s="46">
        <f ca="1">VALUE((Table223421023[[#This Row],[Column3]]-62))</f>
        <v>72</v>
      </c>
      <c r="C134" t="s">
        <v>140</v>
      </c>
      <c r="D134">
        <v>12.2600002</v>
      </c>
      <c r="E134"/>
      <c r="F134" s="84">
        <v>14.190501700957601</v>
      </c>
      <c r="G134" s="29">
        <f>Table223421023[[#This Row],[yval]]-Table223421023[[#This Row],[REF]]</f>
        <v>1.9305015009576003</v>
      </c>
      <c r="H134" s="29">
        <f>Table223421023[[#This Row],[X-Y]]-E$20</f>
        <v>1.1520045167576125</v>
      </c>
      <c r="I134" s="29">
        <f>Table223421023[[#This Row],[yval]]-E$20</f>
        <v>13.412004716757613</v>
      </c>
      <c r="J134" s="29">
        <f>Table223421023[[#This Row],[yval]]*E$21+E$22</f>
        <v>11.391884653722416</v>
      </c>
      <c r="K134" s="56">
        <f>Table223421023[[#This Row],[Yest]]-Table223421023[[#This Row],[REF]]</f>
        <v>-0.86811554627758447</v>
      </c>
      <c r="L134" s="56">
        <f>ABS(Table223421023[[#This Row],[RESyx]])</f>
        <v>0.86811554627758447</v>
      </c>
      <c r="M134" s="29">
        <f>Table223421023[[#This Row],[yval]]*E$25+E$26</f>
        <v>12.438301768897672</v>
      </c>
      <c r="N134" s="29">
        <f>Table223421023[[#This Row],[X-Y]]^2</f>
        <v>3.7268360451995477</v>
      </c>
      <c r="O134" s="57">
        <f>Table223421023[[#This Row],[yest_rect]]-Table223421023[[#This Row],[REF]]</f>
        <v>0.17830156889767146</v>
      </c>
      <c r="P134" s="57">
        <f>Table223421023[[#This Row],[dif rec]]^2</f>
        <v>3.179144947137108E-2</v>
      </c>
      <c r="Q134" s="57">
        <f>ABS(Table223421023[[#This Row],[diff-bias]])</f>
        <v>1.1520045167576125</v>
      </c>
      <c r="R134" s="57">
        <f ca="1">CELL("row",Table223421023[[#This Row],[Position]])</f>
        <v>134</v>
      </c>
      <c r="S134" s="4">
        <f>Table223421023[[#This Row],[REF]]-D$13</f>
        <v>1.2499999499999994</v>
      </c>
      <c r="T134" s="4">
        <f>ABS(Table223421023[[#This Row],[lab-med]])</f>
        <v>1.2499999499999994</v>
      </c>
      <c r="U134" s="4">
        <f>Table223421023[[#This Row],[yval]]-F$13</f>
        <v>2.2227143029533991</v>
      </c>
      <c r="V134" s="4">
        <f>ABS(Table223421023[[#This Row],[anl-med]])</f>
        <v>2.2227143029533991</v>
      </c>
      <c r="W134" s="4">
        <f>Table223421023[[#This Row],[lab-med]]*Table223421023[[#This Row],[anl-med]]</f>
        <v>2.7783927675560323</v>
      </c>
    </row>
    <row r="135" spans="2:23" ht="14.4" x14ac:dyDescent="0.3">
      <c r="B135" s="46">
        <f ca="1">VALUE((Table223421023[[#This Row],[Column3]]-62))</f>
        <v>73</v>
      </c>
      <c r="C135" t="s">
        <v>141</v>
      </c>
      <c r="D135">
        <v>13.029999699999999</v>
      </c>
      <c r="E135"/>
      <c r="F135" s="84">
        <v>11.593816045993099</v>
      </c>
      <c r="G135" s="29">
        <f>Table223421023[[#This Row],[yval]]-Table223421023[[#This Row],[REF]]</f>
        <v>-1.4361836540069</v>
      </c>
      <c r="H135" s="29">
        <f>Table223421023[[#This Row],[X-Y]]-E$20</f>
        <v>-2.2146806382068878</v>
      </c>
      <c r="I135" s="29">
        <f>Table223421023[[#This Row],[yval]]-E$20</f>
        <v>10.815319061793112</v>
      </c>
      <c r="J135" s="29">
        <f>Table223421023[[#This Row],[yval]]*E$21+E$22</f>
        <v>11.073420930399351</v>
      </c>
      <c r="K135" s="56">
        <f>Table223421023[[#This Row],[Yest]]-Table223421023[[#This Row],[REF]]</f>
        <v>-1.9565787696006485</v>
      </c>
      <c r="L135" s="56">
        <f>ABS(Table223421023[[#This Row],[RESyx]])</f>
        <v>1.9565787696006485</v>
      </c>
      <c r="M135" s="29">
        <f>Table223421023[[#This Row],[yval]]*E$25+E$26</f>
        <v>10.939724811188253</v>
      </c>
      <c r="N135" s="29">
        <f>Table223421023[[#This Row],[X-Y]]^2</f>
        <v>2.062623488036611</v>
      </c>
      <c r="O135" s="57">
        <f>Table223421023[[#This Row],[yest_rect]]-Table223421023[[#This Row],[REF]]</f>
        <v>-2.0902748888117468</v>
      </c>
      <c r="P135" s="57">
        <f>Table223421023[[#This Row],[dif rec]]^2</f>
        <v>4.3692491107969609</v>
      </c>
      <c r="Q135" s="57">
        <f>ABS(Table223421023[[#This Row],[diff-bias]])</f>
        <v>2.2146806382068878</v>
      </c>
      <c r="R135" s="57">
        <f ca="1">CELL("row",Table223421023[[#This Row],[Position]])</f>
        <v>135</v>
      </c>
      <c r="S135" s="4">
        <f>Table223421023[[#This Row],[REF]]-D$13</f>
        <v>2.0199994499999985</v>
      </c>
      <c r="T135" s="4">
        <f>ABS(Table223421023[[#This Row],[lab-med]])</f>
        <v>2.0199994499999985</v>
      </c>
      <c r="U135" s="4">
        <f>Table223421023[[#This Row],[yval]]-F$13</f>
        <v>-0.3739713520111021</v>
      </c>
      <c r="V135" s="4">
        <f>ABS(Table223421023[[#This Row],[anl-med]])</f>
        <v>0.3739713520111021</v>
      </c>
      <c r="W135" s="4">
        <f>Table223421023[[#This Row],[lab-med]]*Table223421023[[#This Row],[anl-med]]</f>
        <v>-0.75542192537818209</v>
      </c>
    </row>
    <row r="136" spans="2:23" ht="14.4" x14ac:dyDescent="0.3">
      <c r="B136" s="46">
        <f ca="1">VALUE((Table223421023[[#This Row],[Column3]]-62))</f>
        <v>74</v>
      </c>
      <c r="C136" t="s">
        <v>142</v>
      </c>
      <c r="D136">
        <v>12.359999699999999</v>
      </c>
      <c r="E136"/>
      <c r="F136" s="84">
        <v>14.965899823511039</v>
      </c>
      <c r="G136" s="29">
        <f>Table223421023[[#This Row],[yval]]-Table223421023[[#This Row],[REF]]</f>
        <v>2.6059001235110397</v>
      </c>
      <c r="H136" s="29">
        <f>Table223421023[[#This Row],[X-Y]]-E$20</f>
        <v>1.8274031393110519</v>
      </c>
      <c r="I136" s="29">
        <f>Table223421023[[#This Row],[yval]]-E$20</f>
        <v>14.187402839311051</v>
      </c>
      <c r="J136" s="29">
        <f>Table223421023[[#This Row],[yval]]*E$21+E$22</f>
        <v>11.486981329245683</v>
      </c>
      <c r="K136" s="56">
        <f>Table223421023[[#This Row],[Yest]]-Table223421023[[#This Row],[REF]]</f>
        <v>-0.87301837075431621</v>
      </c>
      <c r="L136" s="56">
        <f>ABS(Table223421023[[#This Row],[RESyx]])</f>
        <v>0.87301837075431621</v>
      </c>
      <c r="M136" s="29">
        <f>Table223421023[[#This Row],[yval]]*E$25+E$26</f>
        <v>12.885792884076807</v>
      </c>
      <c r="N136" s="29">
        <f>Table223421023[[#This Row],[X-Y]]^2</f>
        <v>6.790715453714852</v>
      </c>
      <c r="O136" s="57">
        <f>Table223421023[[#This Row],[yest_rect]]-Table223421023[[#This Row],[REF]]</f>
        <v>0.52579318407680731</v>
      </c>
      <c r="P136" s="57">
        <f>Table223421023[[#This Row],[dif rec]]^2</f>
        <v>0.27645847242162735</v>
      </c>
      <c r="Q136" s="57">
        <f>ABS(Table223421023[[#This Row],[diff-bias]])</f>
        <v>1.8274031393110519</v>
      </c>
      <c r="R136" s="57">
        <f ca="1">CELL("row",Table223421023[[#This Row],[Position]])</f>
        <v>136</v>
      </c>
      <c r="S136" s="4">
        <f>Table223421023[[#This Row],[REF]]-D$13</f>
        <v>1.3499994499999985</v>
      </c>
      <c r="T136" s="4">
        <f>ABS(Table223421023[[#This Row],[lab-med]])</f>
        <v>1.3499994499999985</v>
      </c>
      <c r="U136" s="4">
        <f>Table223421023[[#This Row],[yval]]-F$13</f>
        <v>2.9981124255068377</v>
      </c>
      <c r="V136" s="4">
        <f>ABS(Table223421023[[#This Row],[anl-med]])</f>
        <v>2.9981124255068377</v>
      </c>
      <c r="W136" s="4">
        <f>Table223421023[[#This Row],[lab-med]]*Table223421023[[#This Row],[anl-med]]</f>
        <v>4.047450125472392</v>
      </c>
    </row>
    <row r="137" spans="2:23" ht="14.4" x14ac:dyDescent="0.3">
      <c r="B137" s="46">
        <f ca="1">VALUE((Table223421023[[#This Row],[Column3]]-62))</f>
        <v>75</v>
      </c>
      <c r="C137" t="s">
        <v>143</v>
      </c>
      <c r="D137">
        <v>12.399999599999999</v>
      </c>
      <c r="E137"/>
      <c r="F137" s="84">
        <v>14.727669804095351</v>
      </c>
      <c r="G137" s="29">
        <f>Table223421023[[#This Row],[yval]]-Table223421023[[#This Row],[REF]]</f>
        <v>2.3276702040953516</v>
      </c>
      <c r="H137" s="29">
        <f>Table223421023[[#This Row],[X-Y]]-E$20</f>
        <v>1.5491732198953638</v>
      </c>
      <c r="I137" s="29">
        <f>Table223421023[[#This Row],[yval]]-E$20</f>
        <v>13.949172819895363</v>
      </c>
      <c r="J137" s="29">
        <f>Table223421023[[#This Row],[yval]]*E$21+E$22</f>
        <v>11.457764231348063</v>
      </c>
      <c r="K137" s="56">
        <f>Table223421023[[#This Row],[Yest]]-Table223421023[[#This Row],[REF]]</f>
        <v>-0.9422353686519358</v>
      </c>
      <c r="L137" s="56">
        <f>ABS(Table223421023[[#This Row],[RESyx]])</f>
        <v>0.9422353686519358</v>
      </c>
      <c r="M137" s="29">
        <f>Table223421023[[#This Row],[yval]]*E$25+E$26</f>
        <v>12.748307618176996</v>
      </c>
      <c r="N137" s="29">
        <f>Table223421023[[#This Row],[X-Y]]^2</f>
        <v>5.4180485790332957</v>
      </c>
      <c r="O137" s="57">
        <f>Table223421023[[#This Row],[yest_rect]]-Table223421023[[#This Row],[REF]]</f>
        <v>0.34830801817699708</v>
      </c>
      <c r="P137" s="57">
        <f>Table223421023[[#This Row],[dif rec]]^2</f>
        <v>0.12131847552638733</v>
      </c>
      <c r="Q137" s="57">
        <f>ABS(Table223421023[[#This Row],[diff-bias]])</f>
        <v>1.5491732198953638</v>
      </c>
      <c r="R137" s="57">
        <f ca="1">CELL("row",Table223421023[[#This Row],[Position]])</f>
        <v>137</v>
      </c>
      <c r="S137" s="4">
        <f>Table223421023[[#This Row],[REF]]-D$13</f>
        <v>1.3899993499999983</v>
      </c>
      <c r="T137" s="4">
        <f>ABS(Table223421023[[#This Row],[lab-med]])</f>
        <v>1.3899993499999983</v>
      </c>
      <c r="U137" s="4">
        <f>Table223421023[[#This Row],[yval]]-F$13</f>
        <v>2.7598824060911493</v>
      </c>
      <c r="V137" s="4">
        <f>ABS(Table223421023[[#This Row],[anl-med]])</f>
        <v>2.7598824060911493</v>
      </c>
      <c r="W137" s="4">
        <f>Table223421023[[#This Row],[lab-med]]*Table223421023[[#This Row],[anl-med]]</f>
        <v>3.8362347505431291</v>
      </c>
    </row>
    <row r="138" spans="2:23" ht="14.4" x14ac:dyDescent="0.3">
      <c r="B138" s="46">
        <f ca="1">VALUE((Table223421023[[#This Row],[Column3]]-62))</f>
        <v>76</v>
      </c>
      <c r="C138" t="s">
        <v>144</v>
      </c>
      <c r="D138">
        <v>12.5</v>
      </c>
      <c r="E138"/>
      <c r="F138" s="84">
        <v>14.01898160305092</v>
      </c>
      <c r="G138" s="29">
        <f>Table223421023[[#This Row],[yval]]-Table223421023[[#This Row],[REF]]</f>
        <v>1.5189816030509196</v>
      </c>
      <c r="H138" s="29">
        <f>Table223421023[[#This Row],[X-Y]]-E$20</f>
        <v>0.74048461885093175</v>
      </c>
      <c r="I138" s="29">
        <f>Table223421023[[#This Row],[yval]]-E$20</f>
        <v>13.240484618850932</v>
      </c>
      <c r="J138" s="29">
        <f>Table223421023[[#This Row],[yval]]*E$21+E$22</f>
        <v>11.370849019740433</v>
      </c>
      <c r="K138" s="56">
        <f>Table223421023[[#This Row],[Yest]]-Table223421023[[#This Row],[REF]]</f>
        <v>-1.1291509802595669</v>
      </c>
      <c r="L138" s="56">
        <f>ABS(Table223421023[[#This Row],[RESyx]])</f>
        <v>1.1291509802595669</v>
      </c>
      <c r="M138" s="29">
        <f>Table223421023[[#This Row],[yval]]*E$25+E$26</f>
        <v>12.339315560838333</v>
      </c>
      <c r="N138" s="29">
        <f>Table223421023[[#This Row],[X-Y]]^2</f>
        <v>2.3073051104071411</v>
      </c>
      <c r="O138" s="57">
        <f>Table223421023[[#This Row],[yest_rect]]-Table223421023[[#This Row],[REF]]</f>
        <v>-0.16068443916166686</v>
      </c>
      <c r="P138" s="57">
        <f>Table223421023[[#This Row],[dif rec]]^2</f>
        <v>2.5819488988699419E-2</v>
      </c>
      <c r="Q138" s="57">
        <f>ABS(Table223421023[[#This Row],[diff-bias]])</f>
        <v>0.74048461885093175</v>
      </c>
      <c r="R138" s="57">
        <f ca="1">CELL("row",Table223421023[[#This Row],[Position]])</f>
        <v>138</v>
      </c>
      <c r="S138" s="4">
        <f>Table223421023[[#This Row],[REF]]-D$13</f>
        <v>1.4899997499999991</v>
      </c>
      <c r="T138" s="4">
        <f>ABS(Table223421023[[#This Row],[lab-med]])</f>
        <v>1.4899997499999991</v>
      </c>
      <c r="U138" s="4">
        <f>Table223421023[[#This Row],[yval]]-F$13</f>
        <v>2.051194205046718</v>
      </c>
      <c r="V138" s="4">
        <f>ABS(Table223421023[[#This Row],[anl-med]])</f>
        <v>2.051194205046718</v>
      </c>
      <c r="W138" s="4">
        <f>Table223421023[[#This Row],[lab-med]]*Table223421023[[#This Row],[anl-med]]</f>
        <v>3.0562788527210567</v>
      </c>
    </row>
    <row r="139" spans="2:23" ht="14.4" x14ac:dyDescent="0.3">
      <c r="B139" s="46">
        <f ca="1">VALUE((Table223421023[[#This Row],[Column3]]-62))</f>
        <v>77</v>
      </c>
      <c r="C139" t="s">
        <v>145</v>
      </c>
      <c r="D139">
        <v>12.600000400000001</v>
      </c>
      <c r="E139"/>
      <c r="F139" s="84">
        <v>15.41514732960802</v>
      </c>
      <c r="G139" s="29">
        <f>Table223421023[[#This Row],[yval]]-Table223421023[[#This Row],[REF]]</f>
        <v>2.8151469296080194</v>
      </c>
      <c r="H139" s="29">
        <f>Table223421023[[#This Row],[X-Y]]-E$20</f>
        <v>2.0366499454080316</v>
      </c>
      <c r="I139" s="29">
        <f>Table223421023[[#This Row],[yval]]-E$20</f>
        <v>14.636650345408032</v>
      </c>
      <c r="J139" s="29">
        <f>Table223421023[[#This Row],[yval]]*E$21+E$22</f>
        <v>11.542078115108739</v>
      </c>
      <c r="K139" s="56">
        <f>Table223421023[[#This Row],[Yest]]-Table223421023[[#This Row],[REF]]</f>
        <v>-1.0579222848912622</v>
      </c>
      <c r="L139" s="56">
        <f>ABS(Table223421023[[#This Row],[RESyx]])</f>
        <v>1.0579222848912622</v>
      </c>
      <c r="M139" s="29">
        <f>Table223421023[[#This Row],[yval]]*E$25+E$26</f>
        <v>13.145058752341699</v>
      </c>
      <c r="N139" s="29">
        <f>Table223421023[[#This Row],[X-Y]]^2</f>
        <v>7.9250522352814592</v>
      </c>
      <c r="O139" s="57">
        <f>Table223421023[[#This Row],[yest_rect]]-Table223421023[[#This Row],[REF]]</f>
        <v>0.54505835234169808</v>
      </c>
      <c r="P139" s="57">
        <f>Table223421023[[#This Row],[dif rec]]^2</f>
        <v>0.2970886074574467</v>
      </c>
      <c r="Q139" s="57">
        <f>ABS(Table223421023[[#This Row],[diff-bias]])</f>
        <v>2.0366499454080316</v>
      </c>
      <c r="R139" s="57">
        <f ca="1">CELL("row",Table223421023[[#This Row],[Position]])</f>
        <v>139</v>
      </c>
      <c r="S139" s="4">
        <f>Table223421023[[#This Row],[REF]]-D$13</f>
        <v>1.5900001499999998</v>
      </c>
      <c r="T139" s="4">
        <f>ABS(Table223421023[[#This Row],[lab-med]])</f>
        <v>1.5900001499999998</v>
      </c>
      <c r="U139" s="4">
        <f>Table223421023[[#This Row],[yval]]-F$13</f>
        <v>3.4473599316038186</v>
      </c>
      <c r="V139" s="4">
        <f>ABS(Table223421023[[#This Row],[anl-med]])</f>
        <v>3.4473599316038186</v>
      </c>
      <c r="W139" s="4">
        <f>Table223421023[[#This Row],[lab-med]]*Table223421023[[#This Row],[anl-med]]</f>
        <v>5.4813028083540605</v>
      </c>
    </row>
    <row r="140" spans="2:23" ht="14.4" x14ac:dyDescent="0.3">
      <c r="B140" s="46">
        <f ca="1">VALUE((Table223421023[[#This Row],[Column3]]-62))</f>
        <v>78</v>
      </c>
      <c r="C140" t="s">
        <v>146</v>
      </c>
      <c r="D140">
        <v>12.670000099999999</v>
      </c>
      <c r="E140"/>
      <c r="F140" s="84">
        <v>14.671741752640949</v>
      </c>
      <c r="G140" s="29">
        <f>Table223421023[[#This Row],[yval]]-Table223421023[[#This Row],[REF]]</f>
        <v>2.0017416526409502</v>
      </c>
      <c r="H140" s="29">
        <f>Table223421023[[#This Row],[X-Y]]-E$20</f>
        <v>1.2232446684409624</v>
      </c>
      <c r="I140" s="29">
        <f>Table223421023[[#This Row],[yval]]-E$20</f>
        <v>13.893244768440962</v>
      </c>
      <c r="J140" s="29">
        <f>Table223421023[[#This Row],[yval]]*E$21+E$22</f>
        <v>11.450905081696922</v>
      </c>
      <c r="K140" s="56">
        <f>Table223421023[[#This Row],[Yest]]-Table223421023[[#This Row],[REF]]</f>
        <v>-1.2190950183030775</v>
      </c>
      <c r="L140" s="56">
        <f>ABS(Table223421023[[#This Row],[RESyx]])</f>
        <v>1.2190950183030775</v>
      </c>
      <c r="M140" s="29">
        <f>Table223421023[[#This Row],[yval]]*E$25+E$26</f>
        <v>12.716030900724149</v>
      </c>
      <c r="N140" s="29">
        <f>Table223421023[[#This Row],[X-Y]]^2</f>
        <v>4.0069696439177225</v>
      </c>
      <c r="O140" s="57">
        <f>Table223421023[[#This Row],[yest_rect]]-Table223421023[[#This Row],[REF]]</f>
        <v>4.6030800724150112E-2</v>
      </c>
      <c r="P140" s="57">
        <f>Table223421023[[#This Row],[dif rec]]^2</f>
        <v>2.1188346153064182E-3</v>
      </c>
      <c r="Q140" s="57">
        <f>ABS(Table223421023[[#This Row],[diff-bias]])</f>
        <v>1.2232446684409624</v>
      </c>
      <c r="R140" s="57">
        <f ca="1">CELL("row",Table223421023[[#This Row],[Position]])</f>
        <v>140</v>
      </c>
      <c r="S140" s="4">
        <f>Table223421023[[#This Row],[REF]]-D$13</f>
        <v>1.6599998499999984</v>
      </c>
      <c r="T140" s="4">
        <f>ABS(Table223421023[[#This Row],[lab-med]])</f>
        <v>1.6599998499999984</v>
      </c>
      <c r="U140" s="4">
        <f>Table223421023[[#This Row],[yval]]-F$13</f>
        <v>2.7039543546367479</v>
      </c>
      <c r="V140" s="4">
        <f>ABS(Table223421023[[#This Row],[anl-med]])</f>
        <v>2.7039543546367479</v>
      </c>
      <c r="W140" s="4">
        <f>Table223421023[[#This Row],[lab-med]]*Table223421023[[#This Row],[anl-med]]</f>
        <v>4.4885638231038438</v>
      </c>
    </row>
    <row r="141" spans="2:23" ht="14.4" x14ac:dyDescent="0.3">
      <c r="B141" s="46">
        <f ca="1">VALUE((Table223421023[[#This Row],[Column3]]-62))</f>
        <v>79</v>
      </c>
      <c r="C141" t="s">
        <v>147</v>
      </c>
      <c r="D141">
        <v>12.699999800000001</v>
      </c>
      <c r="E141"/>
      <c r="F141" s="84">
        <v>5.7431370819267809</v>
      </c>
      <c r="G141" s="29">
        <f>Table223421023[[#This Row],[yval]]-Table223421023[[#This Row],[REF]]</f>
        <v>-6.9568627180732197</v>
      </c>
      <c r="H141" s="29">
        <f>Table223421023[[#This Row],[X-Y]]-E$20</f>
        <v>-7.7353597022732075</v>
      </c>
      <c r="I141" s="29">
        <f>Table223421023[[#This Row],[yval]]-E$20</f>
        <v>4.964640097726793</v>
      </c>
      <c r="J141" s="29">
        <f>Table223421023[[#This Row],[yval]]*E$21+E$22</f>
        <v>10.355879704990624</v>
      </c>
      <c r="K141" s="56">
        <f>Table223421023[[#This Row],[Yest]]-Table223421023[[#This Row],[REF]]</f>
        <v>-2.3441200950093766</v>
      </c>
      <c r="L141" s="56">
        <f>ABS(Table223421023[[#This Row],[RESyx]])</f>
        <v>2.3441200950093766</v>
      </c>
      <c r="M141" s="29">
        <f>Table223421023[[#This Row],[yval]]*E$25+E$26</f>
        <v>7.5632311390557039</v>
      </c>
      <c r="N141" s="29">
        <f>Table223421023[[#This Row],[X-Y]]^2</f>
        <v>48.397938878117102</v>
      </c>
      <c r="O141" s="57">
        <f>Table223421023[[#This Row],[yest_rect]]-Table223421023[[#This Row],[REF]]</f>
        <v>-5.1367686609442966</v>
      </c>
      <c r="P141" s="57">
        <f>Table223421023[[#This Row],[dif rec]]^2</f>
        <v>26.38639227605946</v>
      </c>
      <c r="Q141" s="57">
        <f>ABS(Table223421023[[#This Row],[diff-bias]])</f>
        <v>7.7353597022732075</v>
      </c>
      <c r="R141" s="57">
        <f ca="1">CELL("row",Table223421023[[#This Row],[Position]])</f>
        <v>141</v>
      </c>
      <c r="S141" s="4">
        <f>Table223421023[[#This Row],[REF]]-D$13</f>
        <v>1.6899995499999996</v>
      </c>
      <c r="T141" s="4">
        <f>ABS(Table223421023[[#This Row],[lab-med]])</f>
        <v>1.6899995499999996</v>
      </c>
      <c r="U141" s="4">
        <f>Table223421023[[#This Row],[yval]]-F$13</f>
        <v>-6.2246503160774207</v>
      </c>
      <c r="V141" s="4">
        <f>ABS(Table223421023[[#This Row],[anl-med]])</f>
        <v>6.2246503160774207</v>
      </c>
      <c r="W141" s="4">
        <f>Table223421023[[#This Row],[lab-med]]*Table223421023[[#This Row],[anl-med]]</f>
        <v>-10.519656233078196</v>
      </c>
    </row>
    <row r="142" spans="2:23" ht="14.4" x14ac:dyDescent="0.3">
      <c r="B142" s="46">
        <f ca="1">VALUE((Table223421023[[#This Row],[Column3]]-62))</f>
        <v>80</v>
      </c>
      <c r="C142" t="s">
        <v>148</v>
      </c>
      <c r="D142">
        <v>14.4300003</v>
      </c>
      <c r="E142"/>
      <c r="F142" s="84">
        <v>13.94206772121152</v>
      </c>
      <c r="G142" s="29">
        <f>Table223421023[[#This Row],[yval]]-Table223421023[[#This Row],[REF]]</f>
        <v>-0.48793257878847918</v>
      </c>
      <c r="H142" s="29">
        <f>Table223421023[[#This Row],[X-Y]]-E$20</f>
        <v>-1.266429562988467</v>
      </c>
      <c r="I142" s="29">
        <f>Table223421023[[#This Row],[yval]]-E$20</f>
        <v>13.163570737011533</v>
      </c>
      <c r="J142" s="29">
        <f>Table223421023[[#This Row],[yval]]*E$21+E$22</f>
        <v>11.361416117787524</v>
      </c>
      <c r="K142" s="56">
        <f>Table223421023[[#This Row],[Yest]]-Table223421023[[#This Row],[REF]]</f>
        <v>-3.0685841822124758</v>
      </c>
      <c r="L142" s="56">
        <f>ABS(Table223421023[[#This Row],[RESyx]])</f>
        <v>3.0685841822124758</v>
      </c>
      <c r="M142" s="29">
        <f>Table223421023[[#This Row],[yval]]*E$25+E$26</f>
        <v>12.294927680914499</v>
      </c>
      <c r="N142" s="29">
        <f>Table223421023[[#This Row],[X-Y]]^2</f>
        <v>0.23807820144317543</v>
      </c>
      <c r="O142" s="57">
        <f>Table223421023[[#This Row],[yest_rect]]-Table223421023[[#This Row],[REF]]</f>
        <v>-2.1350726190855003</v>
      </c>
      <c r="P142" s="57">
        <f>Table223421023[[#This Row],[dif rec]]^2</f>
        <v>4.5585350887686173</v>
      </c>
      <c r="Q142" s="57">
        <f>ABS(Table223421023[[#This Row],[diff-bias]])</f>
        <v>1.266429562988467</v>
      </c>
      <c r="R142" s="57">
        <f ca="1">CELL("row",Table223421023[[#This Row],[Position]])</f>
        <v>142</v>
      </c>
      <c r="S142" s="4">
        <f>Table223421023[[#This Row],[REF]]-D$13</f>
        <v>3.4200000499999987</v>
      </c>
      <c r="T142" s="4">
        <f>ABS(Table223421023[[#This Row],[lab-med]])</f>
        <v>3.4200000499999987</v>
      </c>
      <c r="U142" s="4">
        <f>Table223421023[[#This Row],[yval]]-F$13</f>
        <v>1.9742803232073189</v>
      </c>
      <c r="V142" s="4">
        <f>ABS(Table223421023[[#This Row],[anl-med]])</f>
        <v>1.9742803232073189</v>
      </c>
      <c r="W142" s="4">
        <f>Table223421023[[#This Row],[lab-med]]*Table223421023[[#This Row],[anl-med]]</f>
        <v>6.7520388040830444</v>
      </c>
    </row>
  </sheetData>
  <mergeCells count="1">
    <mergeCell ref="C3:K3"/>
  </mergeCells>
  <conditionalFormatting sqref="F63:F142">
    <cfRule type="expression" dxfId="290" priority="2" stopIfTrue="1">
      <formula>ABS(F63-#REF!)/#REF!&gt;3</formula>
    </cfRule>
  </conditionalFormatting>
  <conditionalFormatting sqref="D68:D72">
    <cfRule type="expression" dxfId="289" priority="1" stopIfTrue="1">
      <formula>ABS(D68-#REF!)/#REF!&gt;3</formula>
    </cfRule>
  </conditionalFormatting>
  <pageMargins left="0.75" right="0.75" top="1" bottom="1" header="0.5" footer="0.5"/>
  <pageSetup paperSize="9" scale="65" orientation="portrait" r:id="rId1"/>
  <headerFooter alignWithMargins="0">
    <oddHeader>&amp;A</oddHeader>
    <oddFooter>&amp;F</oddFooter>
  </headerFooter>
  <rowBreaks count="1" manualBreakCount="1">
    <brk id="58" max="16383" man="1"/>
  </rowBreaks>
  <drawing r:id="rId2"/>
  <legacyDrawing r:id="rId3"/>
  <tableParts count="1">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E89C5-C62C-4259-9752-4A618AFB5B56}">
  <sheetPr>
    <pageSetUpPr fitToPage="1"/>
  </sheetPr>
  <dimension ref="B1:AB142"/>
  <sheetViews>
    <sheetView topLeftCell="A11" zoomScale="80" zoomScaleNormal="80" workbookViewId="0">
      <selection activeCell="F62" sqref="F62:F142"/>
    </sheetView>
  </sheetViews>
  <sheetFormatPr defaultColWidth="8.88671875" defaultRowHeight="13.2" x14ac:dyDescent="0.25"/>
  <cols>
    <col min="1" max="1" width="3.109375" style="2" customWidth="1"/>
    <col min="2" max="2" width="9.44140625" style="2" customWidth="1"/>
    <col min="3" max="3" width="20.88671875" style="2" customWidth="1"/>
    <col min="4" max="4" width="15.44140625" style="61" customWidth="1"/>
    <col min="5" max="5" width="10.88671875" style="61" customWidth="1"/>
    <col min="6" max="6" width="13.5546875" style="61" customWidth="1"/>
    <col min="7" max="7" width="10.33203125" style="2" customWidth="1"/>
    <col min="8" max="8" width="13.33203125" style="2" customWidth="1"/>
    <col min="9" max="9" width="10.5546875" style="2" customWidth="1"/>
    <col min="10" max="10" width="15" style="2" customWidth="1"/>
    <col min="11" max="11" width="12.109375" style="3" customWidth="1"/>
    <col min="12" max="12" width="9.109375" style="3" customWidth="1"/>
    <col min="13" max="13" width="7.6640625" style="2" customWidth="1"/>
    <col min="14" max="14" width="7" style="2" customWidth="1"/>
    <col min="15" max="15" width="11.109375" style="2" customWidth="1"/>
    <col min="16" max="16" width="10.109375" style="2" customWidth="1"/>
    <col min="17" max="17" width="6.33203125" style="2" customWidth="1"/>
    <col min="18" max="20" width="8.88671875" style="2"/>
    <col min="21" max="21" width="9.33203125" style="2" customWidth="1"/>
    <col min="22" max="23" width="8.88671875" style="2"/>
    <col min="24" max="24" width="9.109375" style="2" customWidth="1"/>
    <col min="25" max="16384" width="8.88671875" style="2"/>
  </cols>
  <sheetData>
    <row r="1" spans="2:28" ht="15.6" customHeight="1" x14ac:dyDescent="0.25">
      <c r="B1" s="1"/>
      <c r="C1" s="1"/>
      <c r="D1" s="2"/>
      <c r="E1" s="1"/>
      <c r="F1" s="2"/>
      <c r="M1" s="3"/>
      <c r="N1" s="3"/>
      <c r="O1" s="3"/>
      <c r="P1" s="3"/>
      <c r="Q1" s="3"/>
      <c r="R1" s="3"/>
      <c r="S1" s="3"/>
      <c r="T1" s="3"/>
      <c r="U1" s="3"/>
      <c r="V1" s="3"/>
      <c r="W1" s="1" t="s">
        <v>53</v>
      </c>
    </row>
    <row r="2" spans="2:28" ht="6.6" customHeight="1" x14ac:dyDescent="0.3">
      <c r="D2" s="4"/>
      <c r="E2" s="4"/>
      <c r="F2" s="4"/>
      <c r="G2" s="5"/>
      <c r="H2" s="4"/>
      <c r="I2" s="4"/>
      <c r="J2" s="4"/>
      <c r="K2" s="6"/>
      <c r="L2" s="6"/>
      <c r="M2" s="6"/>
      <c r="N2" s="6"/>
      <c r="O2" s="6"/>
      <c r="P2" s="6"/>
      <c r="Q2" s="6"/>
      <c r="R2" s="6"/>
      <c r="S2" s="6"/>
      <c r="T2" s="6"/>
      <c r="U2" s="6"/>
      <c r="V2" s="6"/>
      <c r="W2" s="3"/>
    </row>
    <row r="3" spans="2:28" ht="20.399999999999999" x14ac:dyDescent="0.35">
      <c r="C3" s="98" t="s">
        <v>162</v>
      </c>
      <c r="D3" s="98"/>
      <c r="E3" s="98"/>
      <c r="F3" s="98"/>
      <c r="G3" s="98"/>
      <c r="H3" s="98"/>
      <c r="I3" s="98"/>
      <c r="J3" s="98"/>
      <c r="K3" s="98"/>
      <c r="L3" s="6"/>
      <c r="M3" s="6"/>
      <c r="N3" s="6"/>
      <c r="O3" s="6"/>
      <c r="P3" s="6"/>
      <c r="Q3" s="6"/>
      <c r="R3" s="6"/>
      <c r="S3" s="6"/>
      <c r="T3" s="6"/>
      <c r="U3" s="6"/>
      <c r="V3" s="6"/>
      <c r="W3" s="3"/>
    </row>
    <row r="4" spans="2:28" ht="7.2" customHeight="1" x14ac:dyDescent="0.25">
      <c r="D4" s="4"/>
      <c r="E4" s="4"/>
      <c r="F4" s="4"/>
      <c r="G4" s="4"/>
      <c r="H4" s="4"/>
      <c r="I4" s="4"/>
      <c r="J4" s="4"/>
      <c r="K4" s="6"/>
      <c r="L4" s="6"/>
      <c r="M4" s="6"/>
      <c r="N4" s="6"/>
      <c r="O4" s="6"/>
      <c r="P4" s="6"/>
      <c r="Q4" s="6"/>
      <c r="R4" s="6"/>
      <c r="S4" s="6"/>
      <c r="T4" s="6"/>
      <c r="U4" s="6"/>
      <c r="V4" s="6"/>
      <c r="W4" s="36"/>
      <c r="X4" s="30"/>
      <c r="Y4" s="30"/>
      <c r="Z4" s="30"/>
      <c r="AA4" s="30"/>
      <c r="AB4" s="30"/>
    </row>
    <row r="5" spans="2:28" ht="7.95" customHeight="1" thickBot="1" x14ac:dyDescent="0.3">
      <c r="D5" s="4"/>
      <c r="E5" s="4"/>
      <c r="F5" s="4"/>
      <c r="G5" s="4"/>
      <c r="H5" s="4"/>
      <c r="I5" s="4"/>
      <c r="J5" s="4"/>
      <c r="K5" s="6"/>
      <c r="L5" s="6"/>
      <c r="M5" s="6"/>
      <c r="N5" s="6"/>
      <c r="O5" s="6"/>
      <c r="P5" s="6"/>
      <c r="Q5" s="6"/>
      <c r="R5" s="6"/>
      <c r="S5" s="6"/>
      <c r="T5" s="6"/>
      <c r="U5" s="6"/>
      <c r="V5" s="6"/>
      <c r="W5" s="36"/>
      <c r="X5" s="30"/>
      <c r="Y5" s="30"/>
      <c r="Z5" s="30"/>
      <c r="AA5" s="30"/>
      <c r="AB5" s="30"/>
    </row>
    <row r="6" spans="2:28" ht="17.399999999999999" x14ac:dyDescent="0.3">
      <c r="B6" s="47"/>
      <c r="C6" s="48" t="str">
        <f>CONCATENATE(D62," = f (",F62," )")</f>
        <v>REF = f (Y_pred )</v>
      </c>
      <c r="D6" s="49"/>
      <c r="E6" s="48"/>
      <c r="F6" s="48"/>
      <c r="G6" s="8"/>
      <c r="H6" s="65" t="s">
        <v>38</v>
      </c>
      <c r="I6" s="7"/>
      <c r="J6" s="8"/>
      <c r="M6" s="3"/>
      <c r="N6" s="3"/>
      <c r="O6" s="3"/>
      <c r="P6" s="3"/>
      <c r="Q6" s="3"/>
      <c r="R6" s="3"/>
      <c r="S6" s="3"/>
      <c r="T6" s="3"/>
      <c r="U6" s="3"/>
      <c r="V6" s="3"/>
      <c r="W6" s="36"/>
      <c r="X6" s="30"/>
      <c r="Y6" s="30"/>
      <c r="Z6" s="30"/>
      <c r="AA6" s="30"/>
      <c r="AB6" s="30"/>
    </row>
    <row r="7" spans="2:28" ht="17.399999999999999" x14ac:dyDescent="0.3">
      <c r="B7" s="50"/>
      <c r="C7" s="36"/>
      <c r="D7" s="45" t="str">
        <f>D62</f>
        <v>REF</v>
      </c>
      <c r="E7" s="45"/>
      <c r="F7" s="45" t="str">
        <f>F62</f>
        <v>Y_pred</v>
      </c>
      <c r="G7" s="10"/>
      <c r="H7" s="66" t="s">
        <v>22</v>
      </c>
      <c r="I7" s="9">
        <v>500</v>
      </c>
      <c r="J7" s="10"/>
      <c r="M7" s="3"/>
      <c r="N7" s="3"/>
      <c r="O7" s="3"/>
      <c r="P7" s="3"/>
      <c r="Q7" s="3"/>
      <c r="R7" s="3"/>
      <c r="S7" s="3"/>
      <c r="T7" s="3"/>
      <c r="U7" s="3"/>
      <c r="V7" s="3"/>
      <c r="W7" s="36"/>
      <c r="X7" s="30" t="s">
        <v>30</v>
      </c>
      <c r="Y7" s="30"/>
      <c r="Z7" s="30"/>
      <c r="AA7" s="30"/>
      <c r="AB7" s="30"/>
    </row>
    <row r="8" spans="2:28" ht="17.399999999999999" x14ac:dyDescent="0.3">
      <c r="B8" s="50"/>
      <c r="C8" s="51" t="s">
        <v>22</v>
      </c>
      <c r="D8" s="23"/>
      <c r="E8" s="45">
        <f>COUNT(Table2234210234[REF])</f>
        <v>80</v>
      </c>
      <c r="F8" s="23"/>
      <c r="G8" s="10"/>
      <c r="H8" s="66" t="s">
        <v>39</v>
      </c>
      <c r="I8" s="9">
        <v>1.2</v>
      </c>
      <c r="J8" s="10"/>
      <c r="M8" s="3"/>
      <c r="N8" s="3"/>
      <c r="O8" s="3"/>
      <c r="P8" s="3"/>
      <c r="Q8" s="3"/>
      <c r="R8" s="3"/>
      <c r="S8" s="3"/>
      <c r="T8" s="3"/>
      <c r="U8" s="3"/>
      <c r="V8" s="3"/>
      <c r="W8" s="36"/>
      <c r="X8" s="37">
        <f>62+E8</f>
        <v>142</v>
      </c>
      <c r="Y8" s="30"/>
      <c r="Z8" s="38"/>
      <c r="AA8" s="30"/>
      <c r="AB8" s="30"/>
    </row>
    <row r="9" spans="2:28" ht="16.2" thickBot="1" x14ac:dyDescent="0.35">
      <c r="B9" s="50"/>
      <c r="C9" s="51" t="s">
        <v>6</v>
      </c>
      <c r="D9" s="24">
        <f>AVERAGE(Table2234210234[REF])</f>
        <v>11.109499980000002</v>
      </c>
      <c r="E9" s="24"/>
      <c r="F9" s="24">
        <f>AVERAGE(Table2234210234[Y_pred])</f>
        <v>11.879705249642601</v>
      </c>
      <c r="G9" s="69"/>
      <c r="H9" s="67" t="s">
        <v>43</v>
      </c>
      <c r="I9" s="13"/>
      <c r="J9" s="14">
        <v>12</v>
      </c>
      <c r="M9" s="3"/>
      <c r="N9" s="3"/>
      <c r="O9" s="3"/>
      <c r="P9" s="3"/>
      <c r="Q9" s="3"/>
      <c r="R9" s="3"/>
      <c r="S9" s="3"/>
      <c r="T9" s="3"/>
      <c r="U9" s="3"/>
      <c r="V9" s="3"/>
      <c r="W9" s="56"/>
      <c r="X9" s="30"/>
      <c r="Y9" s="30"/>
      <c r="Z9" s="30"/>
      <c r="AA9" s="30"/>
      <c r="AB9" s="30"/>
    </row>
    <row r="10" spans="2:28" ht="16.2" thickBot="1" x14ac:dyDescent="0.35">
      <c r="B10" s="50"/>
      <c r="C10" s="51" t="s">
        <v>7</v>
      </c>
      <c r="D10" s="24">
        <f>MIN(Table2234210234[REF])</f>
        <v>8.9700003000000006</v>
      </c>
      <c r="E10" s="24">
        <f>ROUNDDOWN(MIN(D10,F10),0)</f>
        <v>8</v>
      </c>
      <c r="F10" s="24">
        <f>MIN(Table2234210234[Y_pred])</f>
        <v>8.0820684470731692</v>
      </c>
      <c r="G10" s="70"/>
      <c r="H10" s="68" t="s">
        <v>40</v>
      </c>
      <c r="I10" s="15">
        <v>0.05</v>
      </c>
      <c r="J10" s="16"/>
      <c r="M10" s="3"/>
      <c r="N10" s="3"/>
      <c r="O10" s="3"/>
      <c r="P10" s="3"/>
      <c r="Q10" s="3"/>
      <c r="R10" s="3"/>
      <c r="S10" s="3"/>
      <c r="T10" s="3"/>
      <c r="U10" s="3"/>
      <c r="V10" s="3"/>
      <c r="W10" s="56">
        <f>E10+E20</f>
        <v>8.7702052696425987</v>
      </c>
      <c r="X10" s="30"/>
      <c r="Y10" s="30"/>
      <c r="Z10" s="30"/>
      <c r="AA10" s="30"/>
      <c r="AB10" s="30"/>
    </row>
    <row r="11" spans="2:28" ht="15.6" x14ac:dyDescent="0.3">
      <c r="B11" s="50"/>
      <c r="C11" s="51" t="s">
        <v>8</v>
      </c>
      <c r="D11" s="24">
        <f>MAX(Table2234210234[REF])</f>
        <v>14.4300003</v>
      </c>
      <c r="E11" s="24">
        <f>ROUNDUP(MAX(D11,F11),0)+1</f>
        <v>17</v>
      </c>
      <c r="F11" s="24">
        <f>MAX(Table2234210234[Y_pred])</f>
        <v>15.9949861979449</v>
      </c>
      <c r="G11" s="70"/>
      <c r="H11" s="28" t="s">
        <v>41</v>
      </c>
      <c r="I11" s="29">
        <f>TINV(I10,E8)</f>
        <v>1.9900634212544475</v>
      </c>
      <c r="J11" s="29"/>
      <c r="K11" s="36"/>
      <c r="M11" s="3"/>
      <c r="N11" s="3"/>
      <c r="O11" s="3"/>
      <c r="P11" s="3"/>
      <c r="Q11" s="3"/>
      <c r="R11" s="3"/>
      <c r="S11" s="3"/>
      <c r="T11" s="3"/>
      <c r="U11" s="3"/>
      <c r="V11" s="3"/>
      <c r="W11" s="56">
        <f>E11+E20</f>
        <v>17.770205269642599</v>
      </c>
      <c r="X11" s="30"/>
      <c r="Y11" s="30"/>
      <c r="Z11" s="30"/>
      <c r="AA11" s="30"/>
      <c r="AB11" s="30"/>
    </row>
    <row r="12" spans="2:28" ht="15.6" x14ac:dyDescent="0.3">
      <c r="B12" s="50"/>
      <c r="C12" s="51" t="s">
        <v>9</v>
      </c>
      <c r="D12" s="25">
        <f>STDEV(Table2234210234[REF])</f>
        <v>1.1729049824811564</v>
      </c>
      <c r="E12" s="25"/>
      <c r="F12" s="24">
        <f>STDEV(Table2234210234[Y_pred])</f>
        <v>1.6051378426778085</v>
      </c>
      <c r="G12" s="69"/>
      <c r="H12" s="28" t="s">
        <v>42</v>
      </c>
      <c r="I12" s="29">
        <f>FINV(I10,E8-1,I7-1-J9)</f>
        <v>1.305795130911809</v>
      </c>
      <c r="J12" s="30"/>
      <c r="K12" s="36"/>
      <c r="M12" s="3"/>
      <c r="N12" s="3"/>
      <c r="O12" s="3"/>
      <c r="P12" s="3"/>
      <c r="Q12" s="3"/>
      <c r="R12" s="3"/>
      <c r="S12" s="3"/>
      <c r="T12" s="3"/>
      <c r="U12" s="3"/>
      <c r="V12" s="3"/>
      <c r="W12" s="36"/>
      <c r="X12" s="30"/>
      <c r="Y12" s="30"/>
      <c r="Z12" s="30"/>
      <c r="AA12" s="30"/>
      <c r="AB12" s="30"/>
    </row>
    <row r="13" spans="2:28" ht="15.6" x14ac:dyDescent="0.3">
      <c r="B13" s="50"/>
      <c r="C13" s="51" t="s">
        <v>56</v>
      </c>
      <c r="D13" s="24">
        <f>MEDIAN(Table2234210234[REF])</f>
        <v>11.010000250000001</v>
      </c>
      <c r="E13" s="25"/>
      <c r="F13" s="24">
        <f>MEDIAN(Table2234210234[Y_pred])</f>
        <v>11.77733769025815</v>
      </c>
      <c r="G13" s="69"/>
      <c r="H13" s="28"/>
      <c r="I13" s="29"/>
      <c r="J13" s="30"/>
      <c r="K13" s="36"/>
      <c r="M13" s="3"/>
      <c r="N13" s="3"/>
      <c r="O13" s="3"/>
      <c r="P13" s="3"/>
      <c r="Q13" s="3"/>
      <c r="R13" s="3"/>
      <c r="S13" s="3"/>
      <c r="T13" s="3"/>
      <c r="U13" s="3"/>
      <c r="V13" s="3"/>
      <c r="W13" s="36"/>
      <c r="X13" s="30"/>
      <c r="Y13" s="30"/>
      <c r="Z13" s="30"/>
      <c r="AA13" s="30"/>
      <c r="AB13" s="30"/>
    </row>
    <row r="14" spans="2:28" ht="15.6" x14ac:dyDescent="0.3">
      <c r="B14" s="50"/>
      <c r="C14" s="51" t="s">
        <v>57</v>
      </c>
      <c r="D14" s="25">
        <f>1.4826*(MEDIAN(Table2234210234[abs(lab)]))</f>
        <v>1.4677736293499986</v>
      </c>
      <c r="E14" s="25"/>
      <c r="F14" s="24">
        <f>1.4826*MEDIAN(Table2234210234[abs(anl)])</f>
        <v>1.7261639896883572</v>
      </c>
      <c r="G14" s="75"/>
      <c r="H14" s="28"/>
      <c r="I14" s="29"/>
      <c r="J14" s="30"/>
      <c r="K14" s="36"/>
      <c r="M14" s="3"/>
      <c r="N14" s="3"/>
      <c r="O14" s="3"/>
      <c r="P14" s="3"/>
      <c r="Q14" s="3"/>
      <c r="R14" s="3"/>
      <c r="S14" s="3"/>
      <c r="T14" s="3"/>
      <c r="U14" s="3"/>
      <c r="V14" s="3"/>
      <c r="W14" s="36"/>
      <c r="X14" s="30"/>
      <c r="Y14" s="30"/>
      <c r="Z14" s="30"/>
      <c r="AA14" s="30"/>
      <c r="AB14" s="30"/>
    </row>
    <row r="15" spans="2:28" ht="15.6" x14ac:dyDescent="0.3">
      <c r="B15" s="50"/>
      <c r="C15" s="51"/>
      <c r="D15" s="25"/>
      <c r="E15" s="25"/>
      <c r="F15" s="24" t="s">
        <v>63</v>
      </c>
      <c r="G15" s="69"/>
      <c r="H15" s="28"/>
      <c r="I15" s="29"/>
      <c r="J15" s="30"/>
      <c r="K15" s="36"/>
      <c r="M15" s="3"/>
      <c r="N15" s="3"/>
      <c r="O15" s="3"/>
      <c r="P15" s="3"/>
      <c r="Q15" s="3"/>
      <c r="R15" s="3"/>
      <c r="S15" s="3"/>
      <c r="T15" s="3"/>
      <c r="U15" s="3"/>
      <c r="V15" s="3"/>
      <c r="W15" s="36"/>
      <c r="X15" s="30"/>
      <c r="Y15" s="30"/>
      <c r="Z15" s="30"/>
      <c r="AA15" s="30"/>
      <c r="AB15" s="30"/>
    </row>
    <row r="16" spans="2:28" ht="17.399999999999999" x14ac:dyDescent="0.3">
      <c r="B16" s="50"/>
      <c r="C16" s="51" t="s">
        <v>10</v>
      </c>
      <c r="D16" s="25"/>
      <c r="E16" s="26">
        <f>SQRT(AVERAGE(Table2234210234[dif^2]))</f>
        <v>1.4587482372787759</v>
      </c>
      <c r="F16" s="72">
        <f>SQRT(F18^2+E20^2)</f>
        <v>1.6755536896317431</v>
      </c>
      <c r="G16" s="10"/>
      <c r="H16" s="31"/>
      <c r="I16" s="30"/>
      <c r="J16" s="31"/>
      <c r="K16" s="44"/>
      <c r="M16" s="3"/>
      <c r="N16" s="3"/>
      <c r="O16" s="3"/>
      <c r="P16" s="3"/>
      <c r="Q16" s="3"/>
      <c r="R16" s="3"/>
      <c r="S16" s="3"/>
      <c r="T16" s="3"/>
      <c r="U16" s="3"/>
      <c r="V16" s="3"/>
      <c r="W16" s="36"/>
      <c r="X16" s="30"/>
      <c r="Y16" s="30"/>
      <c r="Z16" s="30"/>
      <c r="AA16" s="30"/>
      <c r="AB16" s="30"/>
    </row>
    <row r="17" spans="2:28" ht="21" x14ac:dyDescent="0.4">
      <c r="B17" s="50"/>
      <c r="C17" s="51" t="s">
        <v>55</v>
      </c>
      <c r="D17" s="3"/>
      <c r="E17" s="26"/>
      <c r="F17" s="26">
        <f>MEDIAN(Table2234210234[abs_errors])</f>
        <v>1.0036694490831994</v>
      </c>
      <c r="G17" s="10"/>
      <c r="H17" s="32"/>
      <c r="I17" s="33"/>
      <c r="J17" s="34"/>
      <c r="K17" s="54"/>
      <c r="M17" s="3"/>
      <c r="N17" s="3"/>
      <c r="O17" s="3"/>
      <c r="P17" s="3"/>
      <c r="Q17" s="3"/>
      <c r="R17" s="3"/>
      <c r="S17" s="3"/>
      <c r="T17" s="3"/>
      <c r="U17" s="3"/>
      <c r="V17" s="3"/>
      <c r="W17" s="36"/>
      <c r="X17" s="30"/>
      <c r="Y17" s="30"/>
      <c r="Z17" s="30"/>
      <c r="AA17" s="30"/>
      <c r="AB17" s="30"/>
    </row>
    <row r="18" spans="2:28" ht="21" x14ac:dyDescent="0.4">
      <c r="B18" s="50"/>
      <c r="C18" s="51" t="s">
        <v>11</v>
      </c>
      <c r="D18" s="25"/>
      <c r="E18" s="26">
        <f>STDEV(Table2234210234[X-Y])</f>
        <v>1.2466584246397525</v>
      </c>
      <c r="F18" s="26">
        <f>1.4826*MEDIAN(Table2234210234[abs_errors])</f>
        <v>1.4880403252107515</v>
      </c>
      <c r="G18" s="10"/>
      <c r="H18" s="32" t="s">
        <v>44</v>
      </c>
      <c r="I18" s="33">
        <f>I8*I12</f>
        <v>1.5669541570941707</v>
      </c>
      <c r="J18" s="34" t="str">
        <f>IF(E18&gt;I18,"S"," ns ")</f>
        <v xml:space="preserve"> ns </v>
      </c>
      <c r="K18" s="36"/>
      <c r="M18" s="3"/>
      <c r="N18" s="3"/>
      <c r="O18" s="3"/>
      <c r="P18" s="3"/>
      <c r="Q18" s="3"/>
      <c r="R18" s="3"/>
      <c r="S18" s="3"/>
      <c r="T18" s="3"/>
      <c r="U18" s="3"/>
      <c r="V18" s="3"/>
      <c r="W18" s="36"/>
      <c r="X18" s="30" t="s">
        <v>28</v>
      </c>
      <c r="Y18" s="30" t="s">
        <v>27</v>
      </c>
      <c r="Z18" s="30"/>
      <c r="AA18" s="30"/>
      <c r="AB18" s="30"/>
    </row>
    <row r="19" spans="2:28" ht="17.399999999999999" x14ac:dyDescent="0.3">
      <c r="B19" s="50"/>
      <c r="C19" s="51" t="s">
        <v>12</v>
      </c>
      <c r="D19" s="25"/>
      <c r="E19" s="26">
        <f>STEYX(Table2234210234[REF],Table2234210234[Y_pred])</f>
        <v>0.91005959868032316</v>
      </c>
      <c r="F19" s="26">
        <f>1.4826*MEDIAN(Table2234210234[Abs_erroryx])</f>
        <v>0.91228183445427558</v>
      </c>
      <c r="G19" s="10"/>
      <c r="H19" s="32"/>
      <c r="I19" s="33"/>
      <c r="J19" s="30"/>
      <c r="K19" s="36"/>
      <c r="M19" s="3"/>
      <c r="N19" s="3"/>
      <c r="O19" s="3"/>
      <c r="P19" s="3"/>
      <c r="Q19" s="3"/>
      <c r="R19" s="3"/>
      <c r="S19" s="3"/>
      <c r="T19" s="3"/>
      <c r="U19" s="3"/>
      <c r="V19" s="3"/>
      <c r="W19" s="36" t="s">
        <v>24</v>
      </c>
      <c r="X19" s="35">
        <f>E$26+E$25*E10</f>
        <v>8.2745250034755031</v>
      </c>
      <c r="Y19" s="30">
        <f>E10</f>
        <v>8</v>
      </c>
      <c r="Z19" s="30"/>
      <c r="AA19" s="30"/>
      <c r="AB19" s="30"/>
    </row>
    <row r="20" spans="2:28" ht="21" x14ac:dyDescent="0.4">
      <c r="B20" s="50"/>
      <c r="C20" s="51" t="s">
        <v>16</v>
      </c>
      <c r="D20" s="25"/>
      <c r="E20" s="72">
        <f>F9-D9</f>
        <v>0.77020526964259872</v>
      </c>
      <c r="F20" s="26">
        <f>F13-D13</f>
        <v>0.76733744025814943</v>
      </c>
      <c r="G20" s="10"/>
      <c r="H20" s="32" t="s">
        <v>46</v>
      </c>
      <c r="I20" s="33">
        <f>ABS(E20/(SQRT(SUM(Table2234210234[dif^2])/(E8*(E8-1)))))</f>
        <v>4.6928825707407729</v>
      </c>
      <c r="J20" s="34" t="str">
        <f>IF(I20&gt;I11,"S","ns")</f>
        <v>S</v>
      </c>
      <c r="K20" s="36"/>
      <c r="M20" s="3"/>
      <c r="N20" s="3"/>
      <c r="O20" s="3"/>
      <c r="P20" s="3"/>
      <c r="Q20" s="3"/>
      <c r="R20" s="3"/>
      <c r="S20" s="3"/>
      <c r="T20" s="3"/>
      <c r="U20" s="3"/>
      <c r="V20" s="3"/>
      <c r="W20" s="36" t="s">
        <v>25</v>
      </c>
      <c r="X20" s="35">
        <f>E$26+E$25*E11</f>
        <v>14.85099747933457</v>
      </c>
      <c r="Y20" s="30">
        <f>E11</f>
        <v>17</v>
      </c>
      <c r="Z20" s="30"/>
      <c r="AA20" s="30"/>
      <c r="AB20" s="30"/>
    </row>
    <row r="21" spans="2:28" ht="21" x14ac:dyDescent="0.4">
      <c r="B21" s="50"/>
      <c r="C21" s="51" t="s">
        <v>13</v>
      </c>
      <c r="D21" s="25"/>
      <c r="E21" s="26">
        <f>SLOPE(Table2234210234[REF],Table2234210234[Y_pred])</f>
        <v>0.46536903139435876</v>
      </c>
      <c r="F21" s="26"/>
      <c r="G21" s="10"/>
      <c r="H21" s="32" t="s">
        <v>45</v>
      </c>
      <c r="I21" s="33">
        <f>ABS(E21-1)*SQRT((E8-1)*F12^2/E19^2)</f>
        <v>8.3812762713114992</v>
      </c>
      <c r="J21" s="34" t="str">
        <f>IF(I21&gt;I11,"S"," ns  ")</f>
        <v>S</v>
      </c>
      <c r="K21" s="55"/>
      <c r="M21" s="3"/>
      <c r="N21" s="3"/>
      <c r="O21" s="3"/>
      <c r="P21" s="3"/>
      <c r="Q21" s="3"/>
      <c r="R21" s="3"/>
      <c r="S21" s="3"/>
      <c r="T21" s="3"/>
      <c r="U21" s="3"/>
      <c r="V21" s="3"/>
      <c r="W21" s="36" t="s">
        <v>26</v>
      </c>
      <c r="X21" s="30">
        <f>E$26+E$25*F9</f>
        <v>11.109499980000002</v>
      </c>
      <c r="Y21" s="29">
        <f>F9</f>
        <v>11.879705249642601</v>
      </c>
      <c r="Z21" s="30"/>
      <c r="AA21" s="30"/>
      <c r="AB21" s="30"/>
    </row>
    <row r="22" spans="2:28" ht="17.399999999999999" x14ac:dyDescent="0.3">
      <c r="B22" s="50"/>
      <c r="C22" s="51" t="s">
        <v>14</v>
      </c>
      <c r="D22" s="25"/>
      <c r="E22" s="26">
        <f>INTERCEPT(Table2234210234[REF],Table2234210234[Y_pred])</f>
        <v>5.5810530547233466</v>
      </c>
      <c r="F22" s="26"/>
      <c r="G22" s="10"/>
      <c r="H22" s="30"/>
      <c r="I22" s="30"/>
      <c r="J22" s="30"/>
      <c r="K22" s="36"/>
      <c r="M22" s="3"/>
      <c r="N22" s="3"/>
      <c r="O22" s="3"/>
      <c r="P22" s="3"/>
      <c r="Q22" s="3"/>
      <c r="R22" s="3"/>
      <c r="S22" s="3"/>
      <c r="T22" s="3"/>
      <c r="U22" s="3"/>
      <c r="V22" s="3"/>
      <c r="W22" s="36"/>
      <c r="X22" s="30"/>
      <c r="Y22" s="30"/>
      <c r="Z22" s="30"/>
      <c r="AA22" s="30"/>
      <c r="AB22" s="30"/>
    </row>
    <row r="23" spans="2:28" ht="22.8" x14ac:dyDescent="0.4">
      <c r="B23" s="50"/>
      <c r="C23" s="51" t="s">
        <v>15</v>
      </c>
      <c r="D23" s="25"/>
      <c r="E23" s="80">
        <f>RSQ(Table2234210234[REF],Table2234210234[Y_pred])</f>
        <v>0.40559628046845952</v>
      </c>
      <c r="F23" s="26">
        <f>(D12^2-F19^2)/D12^2</f>
        <v>0.39503201539335092</v>
      </c>
      <c r="G23" s="10"/>
      <c r="H23" s="32"/>
      <c r="I23" s="33"/>
      <c r="J23" s="30"/>
      <c r="K23" s="36"/>
      <c r="M23" s="3"/>
      <c r="N23" s="3"/>
      <c r="O23" s="3"/>
      <c r="P23" s="3"/>
      <c r="Q23" s="3"/>
      <c r="R23" s="3"/>
      <c r="S23" s="3"/>
      <c r="T23" s="3"/>
      <c r="U23" s="3"/>
      <c r="V23" s="3"/>
      <c r="W23" s="36"/>
      <c r="X23" s="30"/>
      <c r="Y23" s="30"/>
      <c r="Z23" s="30"/>
      <c r="AA23" s="30"/>
      <c r="AB23" s="30"/>
    </row>
    <row r="24" spans="2:28" ht="17.399999999999999" x14ac:dyDescent="0.3">
      <c r="B24" s="50"/>
      <c r="C24" s="51" t="s">
        <v>29</v>
      </c>
      <c r="D24" s="23"/>
      <c r="E24" s="26">
        <f>1/SQRT(1-E23)</f>
        <v>1.297057534448897</v>
      </c>
      <c r="F24" s="26">
        <f>1/SQRT(1-F23)</f>
        <v>1.2856827113989229</v>
      </c>
      <c r="G24" s="10"/>
      <c r="H24" s="76" t="s">
        <v>64</v>
      </c>
      <c r="I24" s="77">
        <f>D12/E19</f>
        <v>1.2888221652537759</v>
      </c>
      <c r="J24" s="30"/>
      <c r="K24" s="36"/>
      <c r="M24" s="3"/>
      <c r="N24" s="3"/>
      <c r="O24" s="3"/>
      <c r="P24" s="3"/>
      <c r="Q24" s="3"/>
      <c r="R24" s="3"/>
      <c r="S24" s="3"/>
      <c r="T24" s="3"/>
      <c r="U24" s="3"/>
      <c r="V24" s="3"/>
      <c r="W24" s="36"/>
      <c r="X24" s="30"/>
      <c r="Y24" s="30"/>
      <c r="Z24" s="30"/>
      <c r="AA24" s="30"/>
      <c r="AB24" s="30"/>
    </row>
    <row r="25" spans="2:28" ht="17.399999999999999" x14ac:dyDescent="0.3">
      <c r="B25" s="50"/>
      <c r="C25" s="51" t="s">
        <v>17</v>
      </c>
      <c r="D25" s="23"/>
      <c r="E25" s="26">
        <f>(D12/F12)</f>
        <v>0.73071916398434067</v>
      </c>
      <c r="F25" s="45"/>
      <c r="G25" s="10"/>
      <c r="H25" s="32" t="s">
        <v>47</v>
      </c>
      <c r="I25" s="62">
        <f>QUARTILE(Table2234210234[abs_errors],3)</f>
        <v>1.4629787235416756</v>
      </c>
      <c r="J25" s="30"/>
      <c r="K25" s="36"/>
      <c r="M25" s="3"/>
      <c r="N25" s="3"/>
      <c r="O25" s="3"/>
      <c r="P25" s="3"/>
      <c r="Q25" s="3"/>
      <c r="R25" s="3"/>
      <c r="S25" s="3"/>
      <c r="T25" s="3"/>
      <c r="U25" s="3"/>
      <c r="V25" s="3"/>
      <c r="W25" s="36" t="s">
        <v>19</v>
      </c>
      <c r="X25" s="30">
        <f>COVAR(Table2234210234[REF],Table2234210234[Y_pred])</f>
        <v>1.1840205798238919</v>
      </c>
      <c r="Y25" s="30"/>
      <c r="Z25" s="30"/>
      <c r="AA25" s="30"/>
      <c r="AB25" s="30"/>
    </row>
    <row r="26" spans="2:28" ht="17.399999999999999" x14ac:dyDescent="0.3">
      <c r="B26" s="50"/>
      <c r="C26" s="51" t="s">
        <v>18</v>
      </c>
      <c r="D26" s="23"/>
      <c r="E26" s="26">
        <f>D9-E25*F9</f>
        <v>2.4287716916007778</v>
      </c>
      <c r="F26" s="45"/>
      <c r="G26" s="10"/>
      <c r="M26" s="3"/>
      <c r="N26" s="3"/>
      <c r="O26" s="3"/>
      <c r="P26" s="3"/>
      <c r="Q26" s="3"/>
      <c r="R26" s="3"/>
      <c r="S26" s="3"/>
      <c r="T26" s="3"/>
      <c r="U26" s="3"/>
      <c r="V26" s="3"/>
      <c r="W26" s="36" t="s">
        <v>20</v>
      </c>
      <c r="X26" s="30">
        <f>SIGN(X25)</f>
        <v>1</v>
      </c>
      <c r="Y26" s="30"/>
      <c r="Z26" s="30"/>
      <c r="AA26" s="30"/>
      <c r="AB26" s="30"/>
    </row>
    <row r="27" spans="2:28" ht="18" thickBot="1" x14ac:dyDescent="0.35">
      <c r="B27" s="52"/>
      <c r="C27" s="53" t="s">
        <v>21</v>
      </c>
      <c r="D27" s="27"/>
      <c r="E27" s="73">
        <f>SQRT(AVERAGE(Table2234210234[dif_rec^2]))</f>
        <v>0.99330080386141928</v>
      </c>
      <c r="F27" s="74"/>
      <c r="G27" s="71"/>
      <c r="M27" s="3"/>
      <c r="N27" s="3"/>
      <c r="O27" s="3"/>
      <c r="P27" s="3"/>
      <c r="Q27" s="3"/>
      <c r="R27" s="3"/>
      <c r="S27" s="3"/>
      <c r="T27" s="3"/>
      <c r="U27" s="3"/>
      <c r="V27" s="3"/>
      <c r="W27" s="36"/>
      <c r="X27" s="30"/>
      <c r="Y27" s="30"/>
      <c r="Z27" s="30"/>
      <c r="AA27" s="30"/>
      <c r="AB27" s="30"/>
    </row>
    <row r="28" spans="2:28" ht="15.6" x14ac:dyDescent="0.3">
      <c r="B28" s="3"/>
      <c r="C28" s="11"/>
      <c r="D28" s="12"/>
      <c r="E28" s="18"/>
      <c r="F28" s="12"/>
      <c r="M28" s="3"/>
      <c r="N28" s="3"/>
      <c r="O28" s="3"/>
      <c r="P28" s="3"/>
      <c r="Q28" s="3"/>
      <c r="R28" s="3"/>
      <c r="S28" s="3"/>
      <c r="T28" s="3"/>
      <c r="U28" s="3"/>
      <c r="V28" s="3"/>
      <c r="W28" s="36"/>
      <c r="X28" s="30"/>
      <c r="Y28" s="30"/>
      <c r="Z28" s="30"/>
      <c r="AA28" s="30"/>
      <c r="AB28" s="30"/>
    </row>
    <row r="29" spans="2:28" ht="17.399999999999999" x14ac:dyDescent="0.3">
      <c r="C29" s="19"/>
      <c r="D29" s="3"/>
      <c r="E29" s="17"/>
      <c r="F29" s="3"/>
      <c r="M29" s="3"/>
      <c r="N29" s="3"/>
      <c r="O29" s="3"/>
      <c r="P29" s="3"/>
      <c r="Q29" s="3"/>
      <c r="R29" s="3"/>
      <c r="S29" s="3"/>
      <c r="T29" s="3"/>
      <c r="U29" s="3"/>
      <c r="V29" s="3"/>
      <c r="W29" s="44" t="s">
        <v>54</v>
      </c>
      <c r="X29" s="37">
        <f>MIN(Table2234210234[X-Y])</f>
        <v>-2.2302698559752301</v>
      </c>
      <c r="Y29" s="30">
        <f>X29</f>
        <v>-2.2302698559752301</v>
      </c>
      <c r="Z29" s="30"/>
      <c r="AA29" s="30"/>
      <c r="AB29" s="30"/>
    </row>
    <row r="30" spans="2:28" ht="17.399999999999999" x14ac:dyDescent="0.3">
      <c r="C30" s="19"/>
      <c r="D30" s="3"/>
      <c r="E30" s="17"/>
      <c r="F30" s="3"/>
      <c r="M30" s="3"/>
      <c r="N30" s="3"/>
      <c r="O30" s="3"/>
      <c r="P30" s="3"/>
      <c r="Q30" s="3"/>
      <c r="R30" s="3"/>
      <c r="S30" s="3"/>
      <c r="T30" s="3"/>
      <c r="U30" s="3"/>
      <c r="V30" s="3"/>
      <c r="W30" s="39" t="s">
        <v>37</v>
      </c>
      <c r="X30" s="63">
        <f>MAX(Table2234210234[X-Y])</f>
        <v>3.5037328566727997</v>
      </c>
      <c r="Y30" s="30">
        <f>X30</f>
        <v>3.5037328566727997</v>
      </c>
      <c r="Z30" s="30"/>
      <c r="AA30" s="30"/>
      <c r="AB30" s="30"/>
    </row>
    <row r="31" spans="2:28" ht="15.6" x14ac:dyDescent="0.3">
      <c r="C31" s="19"/>
      <c r="D31" s="3"/>
      <c r="E31" s="17"/>
      <c r="F31" s="3"/>
      <c r="M31" s="3"/>
      <c r="N31" s="3"/>
      <c r="O31" s="3"/>
      <c r="P31" s="3"/>
      <c r="Q31" s="3"/>
      <c r="R31" s="3"/>
      <c r="S31" s="3"/>
      <c r="T31" s="3"/>
      <c r="U31" s="3"/>
      <c r="V31" s="3"/>
      <c r="W31" s="36"/>
      <c r="X31" s="30"/>
      <c r="Y31" s="30"/>
      <c r="Z31" s="40"/>
      <c r="AA31" s="30"/>
      <c r="AB31" s="30"/>
    </row>
    <row r="32" spans="2:28" x14ac:dyDescent="0.25">
      <c r="C32" s="19"/>
      <c r="D32" s="3"/>
      <c r="E32" s="17"/>
      <c r="F32" s="3"/>
      <c r="M32" s="3"/>
      <c r="N32" s="3"/>
      <c r="O32" s="3"/>
      <c r="P32" s="3"/>
      <c r="Q32" s="3"/>
      <c r="R32" s="3"/>
      <c r="S32" s="3"/>
      <c r="T32" s="3"/>
      <c r="U32" s="3"/>
      <c r="V32" s="3"/>
      <c r="W32" s="36"/>
      <c r="X32" s="30"/>
      <c r="Y32" s="30"/>
      <c r="Z32" s="30"/>
      <c r="AA32" s="30"/>
      <c r="AB32" s="30"/>
    </row>
    <row r="33" spans="3:28" x14ac:dyDescent="0.25">
      <c r="C33" s="19"/>
      <c r="D33" s="3"/>
      <c r="E33" s="17"/>
      <c r="F33" s="3"/>
      <c r="M33" s="3"/>
      <c r="N33" s="3"/>
      <c r="O33" s="3"/>
      <c r="P33" s="3"/>
      <c r="Q33" s="3"/>
      <c r="R33" s="3"/>
      <c r="S33" s="3"/>
      <c r="T33" s="3"/>
      <c r="U33" s="3"/>
      <c r="V33" s="3"/>
      <c r="W33" s="36"/>
      <c r="X33" s="30"/>
      <c r="Y33" s="30"/>
      <c r="Z33" s="30"/>
      <c r="AA33" s="30"/>
      <c r="AB33" s="30"/>
    </row>
    <row r="34" spans="3:28" x14ac:dyDescent="0.25">
      <c r="C34" s="19"/>
      <c r="D34" s="3"/>
      <c r="E34" s="17"/>
      <c r="F34" s="3"/>
      <c r="M34" s="3"/>
      <c r="N34" s="3"/>
      <c r="O34" s="3"/>
      <c r="P34" s="3"/>
      <c r="Q34" s="3"/>
      <c r="R34" s="3"/>
      <c r="S34" s="3"/>
      <c r="T34" s="3"/>
      <c r="U34" s="3"/>
      <c r="V34" s="3"/>
      <c r="W34" s="36"/>
      <c r="X34" s="30"/>
      <c r="Y34" s="30"/>
      <c r="Z34" s="30"/>
      <c r="AA34" s="30"/>
      <c r="AB34" s="30"/>
    </row>
    <row r="35" spans="3:28" x14ac:dyDescent="0.25">
      <c r="C35" s="19"/>
      <c r="D35" s="3"/>
      <c r="E35" s="17"/>
      <c r="F35" s="3"/>
      <c r="M35" s="3"/>
      <c r="N35" s="3"/>
      <c r="O35" s="3"/>
      <c r="P35" s="3"/>
      <c r="Q35" s="3"/>
      <c r="R35" s="3"/>
      <c r="S35" s="3"/>
      <c r="T35" s="3"/>
      <c r="U35" s="3"/>
      <c r="V35" s="3"/>
      <c r="W35" s="36"/>
      <c r="X35" s="30"/>
      <c r="Y35" s="30"/>
      <c r="Z35" s="30"/>
      <c r="AA35" s="30"/>
      <c r="AB35" s="30"/>
    </row>
    <row r="36" spans="3:28" x14ac:dyDescent="0.25">
      <c r="C36" s="19"/>
      <c r="D36" s="3"/>
      <c r="E36" s="17"/>
      <c r="F36" s="3"/>
      <c r="M36" s="3"/>
      <c r="N36" s="3"/>
      <c r="O36" s="3"/>
      <c r="P36" s="3"/>
      <c r="Q36" s="3"/>
      <c r="R36" s="3"/>
      <c r="S36" s="3"/>
      <c r="T36" s="3"/>
      <c r="U36" s="3"/>
      <c r="V36" s="3"/>
      <c r="W36" s="36"/>
      <c r="X36" s="30"/>
      <c r="Y36" s="30"/>
      <c r="Z36" s="30"/>
      <c r="AA36" s="30"/>
      <c r="AB36" s="30"/>
    </row>
    <row r="37" spans="3:28" x14ac:dyDescent="0.25">
      <c r="C37" s="19"/>
      <c r="D37" s="3"/>
      <c r="E37" s="17"/>
      <c r="F37" s="3"/>
      <c r="M37" s="3"/>
      <c r="N37" s="3"/>
      <c r="O37" s="3"/>
      <c r="P37" s="3"/>
      <c r="Q37" s="3"/>
      <c r="R37" s="3"/>
      <c r="S37" s="3"/>
      <c r="T37" s="3"/>
      <c r="U37" s="3"/>
      <c r="V37" s="3"/>
      <c r="W37" s="36"/>
      <c r="X37" s="30"/>
      <c r="Y37" s="30"/>
      <c r="Z37" s="30"/>
      <c r="AA37" s="30"/>
      <c r="AB37" s="30"/>
    </row>
    <row r="38" spans="3:28" x14ac:dyDescent="0.25">
      <c r="C38" s="19"/>
      <c r="D38" s="3"/>
      <c r="E38" s="17"/>
      <c r="F38" s="3"/>
      <c r="M38" s="3"/>
      <c r="N38" s="3"/>
      <c r="O38" s="3"/>
      <c r="P38" s="3"/>
      <c r="Q38" s="3"/>
      <c r="R38" s="3"/>
      <c r="S38" s="3"/>
      <c r="T38" s="3"/>
      <c r="U38" s="3"/>
      <c r="V38" s="3"/>
      <c r="W38" s="36"/>
      <c r="X38" s="30" t="s">
        <v>30</v>
      </c>
      <c r="Y38" s="30"/>
      <c r="Z38" s="30"/>
      <c r="AA38" s="30"/>
      <c r="AB38" s="30"/>
    </row>
    <row r="39" spans="3:28" ht="17.399999999999999" x14ac:dyDescent="0.3">
      <c r="C39" s="19"/>
      <c r="D39" s="3"/>
      <c r="E39" s="17"/>
      <c r="F39" s="3"/>
      <c r="M39" s="3"/>
      <c r="N39" s="3"/>
      <c r="O39" s="3"/>
      <c r="P39" s="3"/>
      <c r="Q39" s="3"/>
      <c r="R39" s="3"/>
      <c r="S39" s="3"/>
      <c r="T39" s="3"/>
      <c r="U39" s="3"/>
      <c r="V39" s="3"/>
      <c r="W39" s="36"/>
      <c r="X39" s="37">
        <f>X8</f>
        <v>142</v>
      </c>
      <c r="Y39" s="41" t="s">
        <v>34</v>
      </c>
      <c r="Z39" s="30"/>
      <c r="AA39" s="30"/>
      <c r="AB39" s="30"/>
    </row>
    <row r="40" spans="3:28" x14ac:dyDescent="0.25">
      <c r="C40" s="19"/>
      <c r="D40" s="3"/>
      <c r="E40" s="17"/>
      <c r="F40" s="3"/>
      <c r="M40" s="3"/>
      <c r="N40" s="3"/>
      <c r="O40" s="3"/>
      <c r="P40" s="3"/>
      <c r="Q40" s="3"/>
      <c r="R40" s="3"/>
      <c r="S40" s="3"/>
      <c r="T40" s="3"/>
      <c r="U40" s="3"/>
      <c r="V40" s="3"/>
      <c r="W40" s="36"/>
      <c r="X40" s="30"/>
      <c r="Y40" s="30" t="s">
        <v>35</v>
      </c>
      <c r="Z40" s="30"/>
      <c r="AA40" s="30"/>
      <c r="AB40" s="30"/>
    </row>
    <row r="41" spans="3:28" x14ac:dyDescent="0.25">
      <c r="C41" s="19"/>
      <c r="D41" s="3"/>
      <c r="E41" s="17"/>
      <c r="F41" s="3"/>
      <c r="M41" s="3"/>
      <c r="N41" s="3"/>
      <c r="O41" s="3"/>
      <c r="P41" s="3"/>
      <c r="Q41" s="3"/>
      <c r="R41" s="3"/>
      <c r="S41" s="3"/>
      <c r="T41" s="3"/>
      <c r="U41" s="3"/>
      <c r="V41" s="3"/>
      <c r="W41" s="36"/>
      <c r="X41" s="30"/>
      <c r="Y41" s="30" t="s">
        <v>36</v>
      </c>
      <c r="Z41" s="30"/>
      <c r="AA41" s="30"/>
      <c r="AB41" s="30"/>
    </row>
    <row r="42" spans="3:28" x14ac:dyDescent="0.25">
      <c r="C42" s="19"/>
      <c r="D42" s="3"/>
      <c r="E42" s="17"/>
      <c r="F42" s="3"/>
      <c r="M42" s="3"/>
      <c r="N42" s="3"/>
      <c r="O42" s="3"/>
      <c r="P42" s="3"/>
      <c r="Q42" s="3"/>
      <c r="R42" s="3"/>
      <c r="S42" s="3"/>
      <c r="T42" s="3"/>
      <c r="U42" s="3"/>
      <c r="V42" s="3"/>
      <c r="W42" s="36"/>
      <c r="X42" s="30"/>
      <c r="Y42" s="30"/>
      <c r="Z42" s="30"/>
      <c r="AA42" s="30"/>
      <c r="AB42" s="30"/>
    </row>
    <row r="43" spans="3:28" x14ac:dyDescent="0.25">
      <c r="C43" s="19"/>
      <c r="D43" s="3"/>
      <c r="E43" s="17"/>
      <c r="F43" s="3"/>
      <c r="M43" s="3"/>
      <c r="N43" s="3"/>
      <c r="O43" s="3"/>
      <c r="P43" s="3"/>
      <c r="Q43" s="3"/>
      <c r="R43" s="3"/>
      <c r="S43" s="3"/>
      <c r="T43" s="3"/>
      <c r="U43" s="3"/>
      <c r="V43" s="3"/>
      <c r="W43" s="36"/>
      <c r="X43" s="30"/>
      <c r="Y43" s="30"/>
      <c r="Z43" s="30"/>
      <c r="AA43" s="30"/>
      <c r="AB43" s="30"/>
    </row>
    <row r="44" spans="3:28" x14ac:dyDescent="0.25">
      <c r="C44" s="19"/>
      <c r="D44" s="3"/>
      <c r="E44" s="17"/>
      <c r="F44" s="3"/>
      <c r="M44" s="3"/>
      <c r="N44" s="3"/>
      <c r="O44" s="3"/>
      <c r="P44" s="3"/>
      <c r="Q44" s="3"/>
      <c r="R44" s="3"/>
      <c r="S44" s="3"/>
      <c r="T44" s="3"/>
      <c r="U44" s="3"/>
      <c r="V44" s="3"/>
      <c r="W44" s="36"/>
      <c r="X44" s="30"/>
      <c r="Y44" s="30"/>
      <c r="Z44" s="30"/>
      <c r="AA44" s="30"/>
      <c r="AB44" s="30"/>
    </row>
    <row r="45" spans="3:28" ht="15" x14ac:dyDescent="0.25">
      <c r="C45" s="19"/>
      <c r="D45" s="3"/>
      <c r="E45" s="17"/>
      <c r="F45" s="3"/>
      <c r="M45" s="3"/>
      <c r="N45" s="3"/>
      <c r="O45" s="3"/>
      <c r="P45" s="3"/>
      <c r="Q45" s="3"/>
      <c r="R45" s="3"/>
      <c r="S45" s="3"/>
      <c r="T45" s="3"/>
      <c r="U45" s="3"/>
      <c r="V45" s="3"/>
      <c r="W45" s="36"/>
      <c r="X45" s="58"/>
      <c r="Y45" s="30"/>
      <c r="Z45" s="30"/>
      <c r="AA45" s="30"/>
      <c r="AB45" s="30"/>
    </row>
    <row r="46" spans="3:28" x14ac:dyDescent="0.25">
      <c r="C46" s="19"/>
      <c r="D46" s="3"/>
      <c r="E46" s="17"/>
      <c r="F46" s="3"/>
      <c r="M46" s="3"/>
      <c r="N46" s="3"/>
      <c r="O46" s="3"/>
      <c r="P46" s="3"/>
      <c r="Q46" s="3"/>
      <c r="R46" s="3"/>
      <c r="S46" s="3"/>
      <c r="T46" s="3"/>
      <c r="U46" s="3"/>
      <c r="V46" s="3"/>
      <c r="W46" s="36"/>
      <c r="X46" s="30"/>
      <c r="Y46" s="30"/>
      <c r="Z46" s="30"/>
      <c r="AA46" s="30"/>
      <c r="AB46" s="30"/>
    </row>
    <row r="47" spans="3:28" x14ac:dyDescent="0.25">
      <c r="C47" s="19"/>
      <c r="D47" s="3"/>
      <c r="E47" s="17"/>
      <c r="F47" s="3"/>
      <c r="M47" s="3"/>
      <c r="N47" s="3"/>
      <c r="O47" s="3"/>
      <c r="P47" s="3"/>
      <c r="Q47" s="3"/>
      <c r="R47" s="3"/>
      <c r="S47" s="3"/>
      <c r="T47" s="3"/>
      <c r="U47" s="3"/>
      <c r="V47" s="3"/>
      <c r="W47" s="36"/>
      <c r="X47" s="30"/>
      <c r="Y47" s="30"/>
      <c r="Z47" s="30"/>
      <c r="AA47" s="30"/>
      <c r="AB47" s="30"/>
    </row>
    <row r="48" spans="3:28" x14ac:dyDescent="0.25">
      <c r="C48" s="19"/>
      <c r="D48" s="3"/>
      <c r="E48" s="17"/>
      <c r="F48" s="3"/>
      <c r="M48" s="3"/>
      <c r="N48" s="3"/>
      <c r="O48" s="3"/>
      <c r="P48" s="3"/>
      <c r="Q48" s="3"/>
      <c r="R48" s="3"/>
      <c r="S48" s="3"/>
      <c r="T48" s="3"/>
      <c r="U48" s="3"/>
      <c r="V48" s="3"/>
      <c r="W48" s="36"/>
      <c r="X48" s="30"/>
      <c r="Y48" s="30"/>
      <c r="Z48" s="30"/>
      <c r="AA48" s="30"/>
      <c r="AB48" s="30"/>
    </row>
    <row r="49" spans="2:28" x14ac:dyDescent="0.25">
      <c r="C49" s="19"/>
      <c r="D49" s="3"/>
      <c r="E49" s="17"/>
      <c r="F49" s="3"/>
      <c r="M49" s="3"/>
      <c r="N49" s="3"/>
      <c r="O49" s="3"/>
      <c r="P49" s="3"/>
      <c r="Q49" s="3"/>
      <c r="R49" s="3"/>
      <c r="S49" s="3"/>
      <c r="T49" s="3"/>
      <c r="U49" s="3"/>
      <c r="V49" s="3"/>
      <c r="W49" s="36"/>
      <c r="X49" s="30"/>
      <c r="Y49" s="30"/>
      <c r="Z49" s="30"/>
      <c r="AA49" s="30"/>
      <c r="AB49" s="30"/>
    </row>
    <row r="50" spans="2:28" x14ac:dyDescent="0.25">
      <c r="C50" s="19"/>
      <c r="D50" s="3"/>
      <c r="E50" s="17"/>
      <c r="F50" s="3"/>
      <c r="M50" s="3"/>
      <c r="N50" s="3"/>
      <c r="O50" s="3"/>
      <c r="P50" s="3"/>
      <c r="Q50" s="3"/>
      <c r="R50" s="3"/>
      <c r="S50" s="3"/>
      <c r="T50" s="3"/>
      <c r="U50" s="3"/>
      <c r="V50" s="3"/>
      <c r="W50" s="36"/>
      <c r="X50" s="30"/>
      <c r="Y50" s="30"/>
      <c r="Z50" s="30"/>
      <c r="AA50" s="30"/>
      <c r="AB50" s="30"/>
    </row>
    <row r="51" spans="2:28" x14ac:dyDescent="0.25">
      <c r="C51" s="19"/>
      <c r="D51" s="3"/>
      <c r="E51" s="17"/>
      <c r="F51" s="3"/>
      <c r="M51" s="3"/>
      <c r="N51" s="3"/>
      <c r="O51" s="3"/>
      <c r="P51" s="3"/>
      <c r="Q51" s="3"/>
      <c r="R51" s="3"/>
      <c r="S51" s="3"/>
      <c r="T51" s="3"/>
      <c r="U51" s="3"/>
      <c r="V51" s="3"/>
      <c r="W51" s="36"/>
      <c r="X51" s="30"/>
      <c r="Y51" s="30"/>
      <c r="Z51" s="30"/>
      <c r="AA51" s="30"/>
      <c r="AB51" s="30"/>
    </row>
    <row r="52" spans="2:28" x14ac:dyDescent="0.25">
      <c r="C52" s="19"/>
      <c r="D52" s="3"/>
      <c r="E52" s="17"/>
      <c r="F52" s="3"/>
      <c r="M52" s="3"/>
      <c r="N52" s="3"/>
      <c r="O52" s="3"/>
      <c r="P52" s="3"/>
      <c r="Q52" s="3"/>
      <c r="R52" s="3"/>
      <c r="S52" s="3"/>
      <c r="T52" s="3"/>
      <c r="U52" s="3"/>
      <c r="V52" s="3"/>
      <c r="W52" s="36"/>
      <c r="X52" s="30"/>
      <c r="Y52" s="30"/>
      <c r="Z52" s="30"/>
      <c r="AA52" s="30"/>
      <c r="AB52" s="30"/>
    </row>
    <row r="53" spans="2:28" x14ac:dyDescent="0.25">
      <c r="C53" s="19"/>
      <c r="D53" s="3"/>
      <c r="E53" s="17"/>
      <c r="F53" s="3"/>
      <c r="M53" s="3"/>
      <c r="N53" s="3"/>
      <c r="O53" s="3"/>
      <c r="P53" s="3"/>
      <c r="Q53" s="3"/>
      <c r="R53" s="3"/>
      <c r="S53" s="3"/>
      <c r="T53" s="3"/>
      <c r="U53" s="3"/>
      <c r="V53" s="3"/>
      <c r="W53" s="36"/>
      <c r="X53" s="30"/>
      <c r="Y53" s="30"/>
      <c r="Z53" s="30"/>
      <c r="AA53" s="30"/>
      <c r="AB53" s="30"/>
    </row>
    <row r="54" spans="2:28" x14ac:dyDescent="0.25">
      <c r="C54" s="19"/>
      <c r="D54" s="3"/>
      <c r="E54" s="17"/>
      <c r="F54" s="3"/>
      <c r="M54" s="3"/>
      <c r="N54" s="3"/>
      <c r="O54" s="3"/>
      <c r="P54" s="3"/>
      <c r="Q54" s="3"/>
      <c r="R54" s="3"/>
      <c r="S54" s="3"/>
      <c r="T54" s="3"/>
      <c r="U54" s="3"/>
      <c r="V54" s="3"/>
      <c r="W54" s="36"/>
      <c r="X54" s="30"/>
      <c r="Y54" s="30"/>
      <c r="Z54" s="30"/>
      <c r="AA54" s="30"/>
      <c r="AB54" s="30"/>
    </row>
    <row r="55" spans="2:28" ht="15.75" customHeight="1" x14ac:dyDescent="0.3">
      <c r="C55" s="19"/>
      <c r="D55" s="3"/>
      <c r="E55" s="17"/>
      <c r="F55" s="3"/>
      <c r="M55" s="3"/>
      <c r="N55" s="3"/>
      <c r="O55" s="3"/>
      <c r="P55" s="3"/>
      <c r="Q55" s="3"/>
      <c r="R55" s="3"/>
      <c r="S55" s="3"/>
      <c r="T55" s="3"/>
      <c r="U55" s="3"/>
      <c r="V55" s="3"/>
      <c r="W55" s="36"/>
      <c r="X55" s="30"/>
      <c r="Y55" s="30"/>
      <c r="Z55" s="40"/>
      <c r="AA55" s="30"/>
      <c r="AB55" s="30"/>
    </row>
    <row r="56" spans="2:28" ht="15.75" customHeight="1" x14ac:dyDescent="0.3">
      <c r="C56" s="19"/>
      <c r="D56" s="3"/>
      <c r="E56" s="17"/>
      <c r="F56" s="3"/>
      <c r="M56" s="3"/>
      <c r="N56" s="3"/>
      <c r="O56" s="3"/>
      <c r="P56" s="3"/>
      <c r="Q56" s="3"/>
      <c r="R56" s="3"/>
      <c r="S56" s="3"/>
      <c r="T56" s="3"/>
      <c r="U56" s="3"/>
      <c r="V56" s="3"/>
      <c r="W56" s="36"/>
      <c r="X56" s="30"/>
      <c r="Y56" s="30"/>
      <c r="Z56" s="59"/>
      <c r="AA56" s="30"/>
      <c r="AB56" s="30"/>
    </row>
    <row r="57" spans="2:28" ht="15.75" customHeight="1" x14ac:dyDescent="0.3">
      <c r="C57" s="19"/>
      <c r="D57" s="3"/>
      <c r="E57" s="17"/>
      <c r="F57" s="3"/>
      <c r="M57" s="3"/>
      <c r="N57" s="3"/>
      <c r="O57" s="3"/>
      <c r="P57" s="3"/>
      <c r="Q57" s="3"/>
      <c r="R57" s="3"/>
      <c r="S57" s="3"/>
      <c r="T57" s="3"/>
      <c r="U57" s="3"/>
      <c r="V57" s="3"/>
      <c r="W57" s="36"/>
      <c r="X57" s="30"/>
      <c r="Y57" s="30"/>
      <c r="Z57" s="59"/>
      <c r="AA57" s="30"/>
      <c r="AB57" s="30"/>
    </row>
    <row r="58" spans="2:28" ht="15.75" customHeight="1" x14ac:dyDescent="0.3">
      <c r="C58" s="19"/>
      <c r="D58" s="3"/>
      <c r="E58" s="17"/>
      <c r="F58" s="3"/>
      <c r="M58" s="3"/>
      <c r="N58" s="3"/>
      <c r="O58" s="3"/>
      <c r="P58" s="3"/>
      <c r="Q58" s="3"/>
      <c r="R58" s="3"/>
      <c r="S58" s="3"/>
      <c r="T58" s="3"/>
      <c r="U58" s="3"/>
      <c r="V58" s="3"/>
      <c r="W58" s="36"/>
      <c r="X58" s="30" t="s">
        <v>30</v>
      </c>
      <c r="Y58" s="30"/>
      <c r="Z58" s="60"/>
      <c r="AA58" s="30"/>
      <c r="AB58" s="30"/>
    </row>
    <row r="59" spans="2:28" ht="17.399999999999999" x14ac:dyDescent="0.3">
      <c r="C59" s="19"/>
      <c r="D59" s="3"/>
      <c r="E59" s="17"/>
      <c r="F59" s="3"/>
      <c r="M59" s="3"/>
      <c r="N59" s="3"/>
      <c r="O59" s="3"/>
      <c r="P59" s="3"/>
      <c r="Q59" s="3"/>
      <c r="R59" s="3"/>
      <c r="S59" s="3"/>
      <c r="T59" s="3"/>
      <c r="U59" s="3"/>
      <c r="V59" s="3"/>
      <c r="W59" s="36">
        <f>W60*E8</f>
        <v>53.277509645783958</v>
      </c>
      <c r="X59" s="37">
        <f>X39</f>
        <v>142</v>
      </c>
      <c r="Y59" s="30"/>
      <c r="Z59" s="30"/>
      <c r="AA59" s="30"/>
      <c r="AB59" s="30"/>
    </row>
    <row r="60" spans="2:28" ht="17.399999999999999" x14ac:dyDescent="0.3">
      <c r="C60" s="19"/>
      <c r="D60" s="3"/>
      <c r="E60" s="17"/>
      <c r="F60" s="3"/>
      <c r="M60" s="3"/>
      <c r="N60" s="42"/>
      <c r="O60" s="3"/>
      <c r="P60" s="3"/>
      <c r="Q60" s="3"/>
      <c r="R60" s="3"/>
      <c r="S60" s="3"/>
      <c r="T60" s="3">
        <f>MEDIAN(Table2234210234[abs(lab)])</f>
        <v>0.98999974999999907</v>
      </c>
      <c r="U60" s="3"/>
      <c r="V60" s="3">
        <f>MEDIAN(Table2234210234[abs(anl)])</f>
        <v>1.1642816603860497</v>
      </c>
      <c r="W60" s="2">
        <f>MEDIAN(Table2234210234[Produits Lab x Anl])</f>
        <v>0.66596887057229948</v>
      </c>
      <c r="X60" s="37"/>
      <c r="Z60" s="60"/>
      <c r="AA60" s="30"/>
      <c r="AB60" s="30"/>
    </row>
    <row r="61" spans="2:28" ht="14.4" thickBot="1" x14ac:dyDescent="0.3">
      <c r="D61" s="43" t="s">
        <v>1</v>
      </c>
      <c r="E61" s="1"/>
      <c r="F61" s="43" t="s">
        <v>2</v>
      </c>
      <c r="G61" s="4"/>
      <c r="M61" s="3"/>
      <c r="W61" s="22"/>
      <c r="Y61" s="22"/>
    </row>
    <row r="62" spans="2:28" s="22" customFormat="1" ht="42.75" customHeight="1" thickBot="1" x14ac:dyDescent="0.3">
      <c r="B62" s="20" t="s">
        <v>0</v>
      </c>
      <c r="C62" t="s">
        <v>67</v>
      </c>
      <c r="D62" t="s">
        <v>65</v>
      </c>
      <c r="E62" t="s">
        <v>66</v>
      </c>
      <c r="F62" s="86" t="s">
        <v>163</v>
      </c>
      <c r="G62" s="20" t="s">
        <v>48</v>
      </c>
      <c r="H62" s="20" t="s">
        <v>3</v>
      </c>
      <c r="I62" s="20" t="s">
        <v>23</v>
      </c>
      <c r="J62" s="20" t="s">
        <v>4</v>
      </c>
      <c r="K62" s="20" t="s">
        <v>51</v>
      </c>
      <c r="L62" s="20" t="s">
        <v>52</v>
      </c>
      <c r="M62" s="21" t="s">
        <v>5</v>
      </c>
      <c r="N62" s="21" t="s">
        <v>32</v>
      </c>
      <c r="O62" s="21" t="s">
        <v>31</v>
      </c>
      <c r="P62" s="21" t="s">
        <v>33</v>
      </c>
      <c r="Q62" s="21" t="s">
        <v>50</v>
      </c>
      <c r="R62" s="21" t="s">
        <v>49</v>
      </c>
      <c r="S62" s="21" t="s">
        <v>58</v>
      </c>
      <c r="T62" s="21" t="s">
        <v>60</v>
      </c>
      <c r="U62" s="64" t="s">
        <v>59</v>
      </c>
      <c r="V62" s="64" t="s">
        <v>61</v>
      </c>
      <c r="W62" s="21" t="s">
        <v>62</v>
      </c>
      <c r="X62" s="22" t="str">
        <f>D62</f>
        <v>REF</v>
      </c>
      <c r="Z62" s="2"/>
      <c r="AA62" s="22" t="str">
        <f>F62</f>
        <v>Y_pred</v>
      </c>
      <c r="AB62" s="2"/>
    </row>
    <row r="63" spans="2:28" x14ac:dyDescent="0.25">
      <c r="B63" s="46">
        <f ca="1">VALUE((Table2234210234[[#This Row],[Column3]]-62))</f>
        <v>1</v>
      </c>
      <c r="C63" t="s">
        <v>69</v>
      </c>
      <c r="D63">
        <v>9.9399996000000002</v>
      </c>
      <c r="E63"/>
      <c r="F63" s="87">
        <v>9.5907829627088006</v>
      </c>
      <c r="G63" s="29">
        <f>Table2234210234[[#This Row],[Y_pred]]-Table2234210234[[#This Row],[REF]]</f>
        <v>-0.34921663729119956</v>
      </c>
      <c r="H63" s="29">
        <f>Table2234210234[[#This Row],[X-Y]]-E$20</f>
        <v>-1.1194219069337983</v>
      </c>
      <c r="I63" s="29">
        <f>Table2234210234[[#This Row],[Y_pred]]-E$20</f>
        <v>8.8205776930662019</v>
      </c>
      <c r="J63" s="29">
        <f>Table2234210234[[#This Row],[Y_pred]]*E$21+E$22</f>
        <v>10.044306432392659</v>
      </c>
      <c r="K63" s="56">
        <f>Table2234210234[[#This Row],[Yest]]-Table2234210234[[#This Row],[REF]]</f>
        <v>0.10430683239265903</v>
      </c>
      <c r="L63" s="56">
        <f>ABS(Table2234210234[[#This Row],[RESyx]])</f>
        <v>0.10430683239265903</v>
      </c>
      <c r="M63" s="29">
        <f>Table2234210234[[#This Row],[Y_pred]]*E$25+E$26</f>
        <v>9.4369406000666096</v>
      </c>
      <c r="N63" s="29">
        <f>Table2234210234[[#This Row],[X-Y]]^2</f>
        <v>0.12195225976097324</v>
      </c>
      <c r="O63" s="57">
        <f>Table2234210234[[#This Row],[yest_rect]]-Table2234210234[[#This Row],[REF]]</f>
        <v>-0.50305899993339054</v>
      </c>
      <c r="P63" s="57">
        <f>Table2234210234[[#This Row],[dif rec]]^2</f>
        <v>0.25306835741398304</v>
      </c>
      <c r="Q63" s="57">
        <f>ABS(Table2234210234[[#This Row],[diff-bias]])</f>
        <v>1.1194219069337983</v>
      </c>
      <c r="R63" s="57">
        <f ca="1">CELL("row",Table2234210234[[#This Row],[Position]])</f>
        <v>63</v>
      </c>
      <c r="S63" s="4">
        <f>Table2234210234[[#This Row],[REF]]-D$13</f>
        <v>-1.0700006500000008</v>
      </c>
      <c r="T63" s="4">
        <f>ABS(Table2234210234[[#This Row],[lab-med]])</f>
        <v>1.0700006500000008</v>
      </c>
      <c r="U63" s="4">
        <f>Table2234210234[[#This Row],[Y_pred]]-F$13</f>
        <v>-2.1865547275493498</v>
      </c>
      <c r="V63" s="4">
        <f>ABS(Table2234210234[[#This Row],[anl-med]])</f>
        <v>2.1865547275493498</v>
      </c>
      <c r="W63" s="4">
        <f>Table2234210234[[#This Row],[lab-med]]*Table2234210234[[#This Row],[anl-med]]</f>
        <v>2.339614979738379</v>
      </c>
    </row>
    <row r="64" spans="2:28" x14ac:dyDescent="0.25">
      <c r="B64" s="46">
        <f ca="1">VALUE((Table2234210234[[#This Row],[Column3]]-62))</f>
        <v>2</v>
      </c>
      <c r="C64" t="s">
        <v>70</v>
      </c>
      <c r="D64">
        <v>10.0200005</v>
      </c>
      <c r="E64"/>
      <c r="F64" s="87">
        <v>12.8123007733034</v>
      </c>
      <c r="G64" s="29">
        <f>Table2234210234[[#This Row],[Y_pred]]-Table2234210234[[#This Row],[REF]]</f>
        <v>2.7923002733034004</v>
      </c>
      <c r="H64" s="29">
        <f>Table2234210234[[#This Row],[X-Y]]-E$20</f>
        <v>2.0220950036608016</v>
      </c>
      <c r="I64" s="29">
        <f>Table2234210234[[#This Row],[Y_pred]]-E$20</f>
        <v>12.042095503660802</v>
      </c>
      <c r="J64" s="29">
        <f>Table2234210234[[#This Row],[Y_pred]]*E$21+E$22</f>
        <v>11.543501055528743</v>
      </c>
      <c r="K64" s="56">
        <f>Table2234210234[[#This Row],[Yest]]-Table2234210234[[#This Row],[REF]]</f>
        <v>1.5235005555287433</v>
      </c>
      <c r="L64" s="56">
        <f>ABS(Table2234210234[[#This Row],[RESyx]])</f>
        <v>1.5235005555287433</v>
      </c>
      <c r="M64" s="29">
        <f>Table2234210234[[#This Row],[Y_pred]]*E$25+E$26</f>
        <v>11.790965401384961</v>
      </c>
      <c r="N64" s="29">
        <f>Table2234210234[[#This Row],[X-Y]]^2</f>
        <v>7.7969408162902445</v>
      </c>
      <c r="O64" s="57">
        <f>Table2234210234[[#This Row],[yest_rect]]-Table2234210234[[#This Row],[REF]]</f>
        <v>1.7709649013849607</v>
      </c>
      <c r="P64" s="57">
        <f>Table2234210234[[#This Row],[dif rec]]^2</f>
        <v>3.1363166819374433</v>
      </c>
      <c r="Q64" s="57">
        <f>ABS(Table2234210234[[#This Row],[diff-bias]])</f>
        <v>2.0220950036608016</v>
      </c>
      <c r="R64" s="57">
        <f ca="1">CELL("row",Table2234210234[[#This Row],[Position]])</f>
        <v>64</v>
      </c>
      <c r="S64" s="4">
        <f>Table2234210234[[#This Row],[REF]]-D$13</f>
        <v>-0.98999975000000084</v>
      </c>
      <c r="T64" s="4">
        <f>ABS(Table2234210234[[#This Row],[lab-med]])</f>
        <v>0.98999975000000084</v>
      </c>
      <c r="U64" s="4">
        <f>Table2234210234[[#This Row],[Y_pred]]-F$13</f>
        <v>1.0349630830452501</v>
      </c>
      <c r="V64" s="4">
        <f>ABS(Table2234210234[[#This Row],[anl-med]])</f>
        <v>1.0349630830452501</v>
      </c>
      <c r="W64" s="4">
        <f>Table2234210234[[#This Row],[lab-med]]*Table2234210234[[#This Row],[anl-med]]</f>
        <v>-1.0246131934740277</v>
      </c>
    </row>
    <row r="65" spans="2:23" x14ac:dyDescent="0.25">
      <c r="B65" s="46">
        <f ca="1">VALUE((Table2234210234[[#This Row],[Column3]]-62))</f>
        <v>3</v>
      </c>
      <c r="C65" t="s">
        <v>71</v>
      </c>
      <c r="D65">
        <v>10</v>
      </c>
      <c r="E65"/>
      <c r="F65" s="87">
        <v>8.7886582957074495</v>
      </c>
      <c r="G65" s="29">
        <f>Table2234210234[[#This Row],[Y_pred]]-Table2234210234[[#This Row],[REF]]</f>
        <v>-1.2113417042925505</v>
      </c>
      <c r="H65" s="29">
        <f>Table2234210234[[#This Row],[X-Y]]-E$20</f>
        <v>-1.9815469739351492</v>
      </c>
      <c r="I65" s="29">
        <f>Table2234210234[[#This Row],[Y_pred]]-E$20</f>
        <v>8.0184530260648508</v>
      </c>
      <c r="J65" s="29">
        <f>Table2234210234[[#This Row],[Y_pred]]*E$21+E$22</f>
        <v>9.6710224530527178</v>
      </c>
      <c r="K65" s="56">
        <f>Table2234210234[[#This Row],[Yest]]-Table2234210234[[#This Row],[REF]]</f>
        <v>-0.32897754694728221</v>
      </c>
      <c r="L65" s="56">
        <f>ABS(Table2234210234[[#This Row],[RESyx]])</f>
        <v>0.32897754694728221</v>
      </c>
      <c r="M65" s="29">
        <f>Table2234210234[[#This Row],[Y_pred]]*E$25+E$26</f>
        <v>8.8508127339841653</v>
      </c>
      <c r="N65" s="29">
        <f>Table2234210234[[#This Row],[X-Y]]^2</f>
        <v>1.4673487245583809</v>
      </c>
      <c r="O65" s="57">
        <f>Table2234210234[[#This Row],[yest_rect]]-Table2234210234[[#This Row],[REF]]</f>
        <v>-1.1491872660158347</v>
      </c>
      <c r="P65" s="57">
        <f>Table2234210234[[#This Row],[dif rec]]^2</f>
        <v>1.3206313723729488</v>
      </c>
      <c r="Q65" s="57">
        <f>ABS(Table2234210234[[#This Row],[diff-bias]])</f>
        <v>1.9815469739351492</v>
      </c>
      <c r="R65" s="57">
        <f ca="1">CELL("row",Table2234210234[[#This Row],[Position]])</f>
        <v>65</v>
      </c>
      <c r="S65" s="4">
        <f>Table2234210234[[#This Row],[REF]]-D$13</f>
        <v>-1.0100002500000009</v>
      </c>
      <c r="T65" s="4">
        <f>ABS(Table2234210234[[#This Row],[lab-med]])</f>
        <v>1.0100002500000009</v>
      </c>
      <c r="U65" s="4">
        <f>Table2234210234[[#This Row],[Y_pred]]-F$13</f>
        <v>-2.9886793945507009</v>
      </c>
      <c r="V65" s="4">
        <f>ABS(Table2234210234[[#This Row],[anl-med]])</f>
        <v>2.9886793945507009</v>
      </c>
      <c r="W65" s="4">
        <f>Table2234210234[[#This Row],[lab-med]]*Table2234210234[[#This Row],[anl-med]]</f>
        <v>3.0185669356660592</v>
      </c>
    </row>
    <row r="66" spans="2:23" x14ac:dyDescent="0.25">
      <c r="B66" s="46">
        <f ca="1">VALUE((Table2234210234[[#This Row],[Column3]]-62))</f>
        <v>4</v>
      </c>
      <c r="C66" t="s">
        <v>72</v>
      </c>
      <c r="D66">
        <v>10.5</v>
      </c>
      <c r="E66"/>
      <c r="F66" s="87">
        <v>14.0037328566728</v>
      </c>
      <c r="G66" s="29">
        <f>Table2234210234[[#This Row],[Y_pred]]-Table2234210234[[#This Row],[REF]]</f>
        <v>3.5037328566727997</v>
      </c>
      <c r="H66" s="29">
        <f>Table2234210234[[#This Row],[X-Y]]-E$20</f>
        <v>2.7335275870302009</v>
      </c>
      <c r="I66" s="29">
        <f>Table2234210234[[#This Row],[Y_pred]]-E$20</f>
        <v>13.233527587030201</v>
      </c>
      <c r="J66" s="29">
        <f>Table2234210234[[#This Row],[Y_pred]]*E$21+E$22</f>
        <v>12.097956650138524</v>
      </c>
      <c r="K66" s="56">
        <f>Table2234210234[[#This Row],[Yest]]-Table2234210234[[#This Row],[REF]]</f>
        <v>1.5979566501385243</v>
      </c>
      <c r="L66" s="56">
        <f>ABS(Table2234210234[[#This Row],[RESyx]])</f>
        <v>1.5979566501385243</v>
      </c>
      <c r="M66" s="29">
        <f>Table2234210234[[#This Row],[Y_pred]]*E$25+E$26</f>
        <v>12.661567657288769</v>
      </c>
      <c r="N66" s="29">
        <f>Table2234210234[[#This Row],[X-Y]]^2</f>
        <v>12.276143930928537</v>
      </c>
      <c r="O66" s="57">
        <f>Table2234210234[[#This Row],[yest_rect]]-Table2234210234[[#This Row],[REF]]</f>
        <v>2.161567657288769</v>
      </c>
      <c r="P66" s="57">
        <f>Table2234210234[[#This Row],[dif rec]]^2</f>
        <v>4.6723747370368569</v>
      </c>
      <c r="Q66" s="57">
        <f>ABS(Table2234210234[[#This Row],[diff-bias]])</f>
        <v>2.7335275870302009</v>
      </c>
      <c r="R66" s="57">
        <f ca="1">CELL("row",Table2234210234[[#This Row],[Position]])</f>
        <v>66</v>
      </c>
      <c r="S66" s="4">
        <f>Table2234210234[[#This Row],[REF]]-D$13</f>
        <v>-0.51000025000000093</v>
      </c>
      <c r="T66" s="4">
        <f>ABS(Table2234210234[[#This Row],[lab-med]])</f>
        <v>0.51000025000000093</v>
      </c>
      <c r="U66" s="4">
        <f>Table2234210234[[#This Row],[Y_pred]]-F$13</f>
        <v>2.2263951664146493</v>
      </c>
      <c r="V66" s="4">
        <f>ABS(Table2234210234[[#This Row],[anl-med]])</f>
        <v>2.2263951664146493</v>
      </c>
      <c r="W66" s="4">
        <f>Table2234210234[[#This Row],[lab-med]]*Table2234210234[[#This Row],[anl-med]]</f>
        <v>-1.1354620914702649</v>
      </c>
    </row>
    <row r="67" spans="2:23" x14ac:dyDescent="0.25">
      <c r="B67" s="46">
        <f ca="1">VALUE((Table2234210234[[#This Row],[Column3]]-62))</f>
        <v>5</v>
      </c>
      <c r="C67" t="s">
        <v>73</v>
      </c>
      <c r="D67">
        <v>10.779999699999999</v>
      </c>
      <c r="E67"/>
      <c r="F67" s="87">
        <v>9.9301256259771602</v>
      </c>
      <c r="G67" s="29">
        <f>Table2234210234[[#This Row],[Y_pred]]-Table2234210234[[#This Row],[REF]]</f>
        <v>-0.84987407402283921</v>
      </c>
      <c r="H67" s="29">
        <f>Table2234210234[[#This Row],[X-Y]]-E$20</f>
        <v>-1.6200793436654379</v>
      </c>
      <c r="I67" s="29">
        <f>Table2234210234[[#This Row],[Y_pred]]-E$20</f>
        <v>9.1599203563345615</v>
      </c>
      <c r="J67" s="29">
        <f>Table2234210234[[#This Row],[Y_pred]]*E$21+E$22</f>
        <v>10.202225998908638</v>
      </c>
      <c r="K67" s="56">
        <f>Table2234210234[[#This Row],[Yest]]-Table2234210234[[#This Row],[REF]]</f>
        <v>-0.5777737010913615</v>
      </c>
      <c r="L67" s="56">
        <f>ABS(Table2234210234[[#This Row],[RESyx]])</f>
        <v>0.5777737010913615</v>
      </c>
      <c r="M67" s="29">
        <f>Table2234210234[[#This Row],[Y_pred]]*E$25+E$26</f>
        <v>9.6849047872742862</v>
      </c>
      <c r="N67" s="29">
        <f>Table2234210234[[#This Row],[X-Y]]^2</f>
        <v>0.72228594169617844</v>
      </c>
      <c r="O67" s="57">
        <f>Table2234210234[[#This Row],[yest_rect]]-Table2234210234[[#This Row],[REF]]</f>
        <v>-1.0950949127257132</v>
      </c>
      <c r="P67" s="57">
        <f>Table2234210234[[#This Row],[dif rec]]^2</f>
        <v>1.1992328678777375</v>
      </c>
      <c r="Q67" s="57">
        <f>ABS(Table2234210234[[#This Row],[diff-bias]])</f>
        <v>1.6200793436654379</v>
      </c>
      <c r="R67" s="57">
        <f ca="1">CELL("row",Table2234210234[[#This Row],[Position]])</f>
        <v>67</v>
      </c>
      <c r="S67" s="4">
        <f>Table2234210234[[#This Row],[REF]]-D$13</f>
        <v>-0.23000055000000152</v>
      </c>
      <c r="T67" s="4">
        <f>ABS(Table2234210234[[#This Row],[lab-med]])</f>
        <v>0.23000055000000152</v>
      </c>
      <c r="U67" s="4">
        <f>Table2234210234[[#This Row],[Y_pred]]-F$13</f>
        <v>-1.8472120642809902</v>
      </c>
      <c r="V67" s="4">
        <f>ABS(Table2234210234[[#This Row],[anl-med]])</f>
        <v>1.8472120642809902</v>
      </c>
      <c r="W67" s="4">
        <f>Table2234210234[[#This Row],[lab-med]]*Table2234210234[[#This Row],[anl-med]]</f>
        <v>0.4248597907512659</v>
      </c>
    </row>
    <row r="68" spans="2:23" x14ac:dyDescent="0.25">
      <c r="B68" s="46">
        <f ca="1">VALUE((Table2234210234[[#This Row],[Column3]]-62))</f>
        <v>6</v>
      </c>
      <c r="C68" t="s">
        <v>74</v>
      </c>
      <c r="D68">
        <v>10.449999800000001</v>
      </c>
      <c r="E68"/>
      <c r="F68" s="87">
        <v>12.7006500819483</v>
      </c>
      <c r="G68" s="29">
        <f>Table2234210234[[#This Row],[Y_pred]]-Table2234210234[[#This Row],[REF]]</f>
        <v>2.2506502819482996</v>
      </c>
      <c r="H68" s="29">
        <f>Table2234210234[[#This Row],[X-Y]]-E$20</f>
        <v>1.4804450123057009</v>
      </c>
      <c r="I68" s="29">
        <f>Table2234210234[[#This Row],[Y_pred]]-E$20</f>
        <v>11.930444812305701</v>
      </c>
      <c r="J68" s="29">
        <f>Table2234210234[[#This Row],[Y_pred]]*E$21+E$22</f>
        <v>11.49154228143831</v>
      </c>
      <c r="K68" s="56">
        <f>Table2234210234[[#This Row],[Yest]]-Table2234210234[[#This Row],[REF]]</f>
        <v>1.0415424814383094</v>
      </c>
      <c r="L68" s="56">
        <f>ABS(Table2234210234[[#This Row],[RESyx]])</f>
        <v>1.0415424814383094</v>
      </c>
      <c r="M68" s="29">
        <f>Table2234210234[[#This Row],[Y_pred]]*E$25+E$26</f>
        <v>11.709380101539688</v>
      </c>
      <c r="N68" s="29">
        <f>Table2234210234[[#This Row],[X-Y]]^2</f>
        <v>5.0654266916339603</v>
      </c>
      <c r="O68" s="57">
        <f>Table2234210234[[#This Row],[yest_rect]]-Table2234210234[[#This Row],[REF]]</f>
        <v>1.2593803015396876</v>
      </c>
      <c r="P68" s="57">
        <f>Table2234210234[[#This Row],[dif rec]]^2</f>
        <v>1.5860387439061945</v>
      </c>
      <c r="Q68" s="57">
        <f>ABS(Table2234210234[[#This Row],[diff-bias]])</f>
        <v>1.4804450123057009</v>
      </c>
      <c r="R68" s="57">
        <f ca="1">CELL("row",Table2234210234[[#This Row],[Position]])</f>
        <v>68</v>
      </c>
      <c r="S68" s="4">
        <f>Table2234210234[[#This Row],[REF]]-D$13</f>
        <v>-0.56000045000000043</v>
      </c>
      <c r="T68" s="4">
        <f>ABS(Table2234210234[[#This Row],[lab-med]])</f>
        <v>0.56000045000000043</v>
      </c>
      <c r="U68" s="4">
        <f>Table2234210234[[#This Row],[Y_pred]]-F$13</f>
        <v>0.92331239169014978</v>
      </c>
      <c r="V68" s="4">
        <f>ABS(Table2234210234[[#This Row],[anl-med]])</f>
        <v>0.92331239169014978</v>
      </c>
      <c r="W68" s="4">
        <f>Table2234210234[[#This Row],[lab-med]]*Table2234210234[[#This Row],[anl-med]]</f>
        <v>-0.51705535483706055</v>
      </c>
    </row>
    <row r="69" spans="2:23" x14ac:dyDescent="0.25">
      <c r="B69" s="46">
        <f ca="1">VALUE((Table2234210234[[#This Row],[Column3]]-62))</f>
        <v>7</v>
      </c>
      <c r="C69" t="s">
        <v>75</v>
      </c>
      <c r="D69">
        <v>11.0200005</v>
      </c>
      <c r="E69"/>
      <c r="F69" s="87">
        <v>9.9560812857157295</v>
      </c>
      <c r="G69" s="29">
        <f>Table2234210234[[#This Row],[Y_pred]]-Table2234210234[[#This Row],[REF]]</f>
        <v>-1.0639192142842706</v>
      </c>
      <c r="H69" s="29">
        <f>Table2234210234[[#This Row],[X-Y]]-E$20</f>
        <v>-1.8341244839268693</v>
      </c>
      <c r="I69" s="29">
        <f>Table2234210234[[#This Row],[Y_pred]]-E$20</f>
        <v>9.1858760160731308</v>
      </c>
      <c r="J69" s="29">
        <f>Table2234210234[[#This Row],[Y_pred]]*E$21+E$22</f>
        <v>10.214304959140378</v>
      </c>
      <c r="K69" s="56">
        <f>Table2234210234[[#This Row],[Yest]]-Table2234210234[[#This Row],[REF]]</f>
        <v>-0.80569554085962203</v>
      </c>
      <c r="L69" s="56">
        <f>ABS(Table2234210234[[#This Row],[RESyx]])</f>
        <v>0.80569554085962203</v>
      </c>
      <c r="M69" s="29">
        <f>Table2234210234[[#This Row],[Y_pred]]*E$25+E$26</f>
        <v>9.7038710852591148</v>
      </c>
      <c r="N69" s="29">
        <f>Table2234210234[[#This Row],[X-Y]]^2</f>
        <v>1.1319240945232598</v>
      </c>
      <c r="O69" s="57">
        <f>Table2234210234[[#This Row],[yest_rect]]-Table2234210234[[#This Row],[REF]]</f>
        <v>-1.3161294147408853</v>
      </c>
      <c r="P69" s="57">
        <f>Table2234210234[[#This Row],[dif rec]]^2</f>
        <v>1.7321966363461851</v>
      </c>
      <c r="Q69" s="57">
        <f>ABS(Table2234210234[[#This Row],[diff-bias]])</f>
        <v>1.8341244839268693</v>
      </c>
      <c r="R69" s="57">
        <f ca="1">CELL("row",Table2234210234[[#This Row],[Position]])</f>
        <v>69</v>
      </c>
      <c r="S69" s="4">
        <f>Table2234210234[[#This Row],[REF]]-D$13</f>
        <v>1.0000249999999156E-2</v>
      </c>
      <c r="T69" s="4">
        <f>ABS(Table2234210234[[#This Row],[lab-med]])</f>
        <v>1.0000249999999156E-2</v>
      </c>
      <c r="U69" s="4">
        <f>Table2234210234[[#This Row],[Y_pred]]-F$13</f>
        <v>-1.8212564045424209</v>
      </c>
      <c r="V69" s="4">
        <f>ABS(Table2234210234[[#This Row],[anl-med]])</f>
        <v>1.8212564045424209</v>
      </c>
      <c r="W69" s="4">
        <f>Table2234210234[[#This Row],[lab-med]]*Table2234210234[[#This Row],[anl-med]]</f>
        <v>-1.8213019359523807E-2</v>
      </c>
    </row>
    <row r="70" spans="2:23" x14ac:dyDescent="0.25">
      <c r="B70" s="46">
        <f ca="1">VALUE((Table2234210234[[#This Row],[Column3]]-62))</f>
        <v>8</v>
      </c>
      <c r="C70" t="s">
        <v>76</v>
      </c>
      <c r="D70">
        <v>10.800000199999999</v>
      </c>
      <c r="E70"/>
      <c r="F70" s="87">
        <v>11.2463675459909</v>
      </c>
      <c r="G70" s="29">
        <f>Table2234210234[[#This Row],[Y_pred]]-Table2234210234[[#This Row],[REF]]</f>
        <v>0.44636734599090033</v>
      </c>
      <c r="H70" s="29">
        <f>Table2234210234[[#This Row],[X-Y]]-E$20</f>
        <v>-0.32383792365169839</v>
      </c>
      <c r="I70" s="29">
        <f>Table2234210234[[#This Row],[Y_pred]]-E$20</f>
        <v>10.476162276348301</v>
      </c>
      <c r="J70" s="29">
        <f>Table2234210234[[#This Row],[Y_pred]]*E$21+E$22</f>
        <v>10.814764226306083</v>
      </c>
      <c r="K70" s="56">
        <f>Table2234210234[[#This Row],[Yest]]-Table2234210234[[#This Row],[REF]]</f>
        <v>1.4764026306083977E-2</v>
      </c>
      <c r="L70" s="56">
        <f>ABS(Table2234210234[[#This Row],[RESyx]])</f>
        <v>1.4764026306083977E-2</v>
      </c>
      <c r="M70" s="29">
        <f>Table2234210234[[#This Row],[Y_pred]]*E$25+E$26</f>
        <v>10.64670798266787</v>
      </c>
      <c r="N70" s="29">
        <f>Table2234210234[[#This Row],[X-Y]]^2</f>
        <v>0.19924380756696014</v>
      </c>
      <c r="O70" s="57">
        <f>Table2234210234[[#This Row],[yest_rect]]-Table2234210234[[#This Row],[REF]]</f>
        <v>-0.15329221733212961</v>
      </c>
      <c r="P70" s="57">
        <f>Table2234210234[[#This Row],[dif rec]]^2</f>
        <v>2.3498503894600859E-2</v>
      </c>
      <c r="Q70" s="57">
        <f>ABS(Table2234210234[[#This Row],[diff-bias]])</f>
        <v>0.32383792365169839</v>
      </c>
      <c r="R70" s="57">
        <f ca="1">CELL("row",Table2234210234[[#This Row],[Position]])</f>
        <v>70</v>
      </c>
      <c r="S70" s="4">
        <f>Table2234210234[[#This Row],[REF]]-D$13</f>
        <v>-0.21000005000000144</v>
      </c>
      <c r="T70" s="4">
        <f>ABS(Table2234210234[[#This Row],[lab-med]])</f>
        <v>0.21000005000000144</v>
      </c>
      <c r="U70" s="4">
        <f>Table2234210234[[#This Row],[Y_pred]]-F$13</f>
        <v>-0.53097014426725053</v>
      </c>
      <c r="V70" s="4">
        <f>ABS(Table2234210234[[#This Row],[anl-med]])</f>
        <v>0.53097014426725053</v>
      </c>
      <c r="W70" s="4">
        <f>Table2234210234[[#This Row],[lab-med]]*Table2234210234[[#This Row],[anl-med]]</f>
        <v>0.11150375684463058</v>
      </c>
    </row>
    <row r="71" spans="2:23" x14ac:dyDescent="0.25">
      <c r="B71" s="46">
        <f ca="1">VALUE((Table2234210234[[#This Row],[Column3]]-62))</f>
        <v>9</v>
      </c>
      <c r="C71" t="s">
        <v>77</v>
      </c>
      <c r="D71">
        <v>10.8800001</v>
      </c>
      <c r="E71"/>
      <c r="F71" s="87">
        <v>11.8069677117605</v>
      </c>
      <c r="G71" s="29">
        <f>Table2234210234[[#This Row],[Y_pred]]-Table2234210234[[#This Row],[REF]]</f>
        <v>0.92696761176049947</v>
      </c>
      <c r="H71" s="29">
        <f>Table2234210234[[#This Row],[X-Y]]-E$20</f>
        <v>0.15676234211790074</v>
      </c>
      <c r="I71" s="29">
        <f>Table2234210234[[#This Row],[Y_pred]]-E$20</f>
        <v>11.036762442117901</v>
      </c>
      <c r="J71" s="29">
        <f>Table2234210234[[#This Row],[Y_pred]]*E$21+E$22</f>
        <v>11.075650182449799</v>
      </c>
      <c r="K71" s="56">
        <f>Table2234210234[[#This Row],[Yest]]-Table2234210234[[#This Row],[REF]]</f>
        <v>0.19565008244979865</v>
      </c>
      <c r="L71" s="56">
        <f>ABS(Table2234210234[[#This Row],[RESyx]])</f>
        <v>0.19565008244979865</v>
      </c>
      <c r="M71" s="29">
        <f>Table2234210234[[#This Row],[Y_pred]]*E$25+E$26</f>
        <v>11.056349267128514</v>
      </c>
      <c r="N71" s="29">
        <f>Table2234210234[[#This Row],[X-Y]]^2</f>
        <v>0.85926895325296404</v>
      </c>
      <c r="O71" s="57">
        <f>Table2234210234[[#This Row],[yest_rect]]-Table2234210234[[#This Row],[REF]]</f>
        <v>0.17634916712851378</v>
      </c>
      <c r="P71" s="57">
        <f>Table2234210234[[#This Row],[dif rec]]^2</f>
        <v>3.1099028746920488E-2</v>
      </c>
      <c r="Q71" s="57">
        <f>ABS(Table2234210234[[#This Row],[diff-bias]])</f>
        <v>0.15676234211790074</v>
      </c>
      <c r="R71" s="57">
        <f ca="1">CELL("row",Table2234210234[[#This Row],[Position]])</f>
        <v>71</v>
      </c>
      <c r="S71" s="4">
        <f>Table2234210234[[#This Row],[REF]]-D$13</f>
        <v>-0.13000015000000076</v>
      </c>
      <c r="T71" s="4">
        <f>ABS(Table2234210234[[#This Row],[lab-med]])</f>
        <v>0.13000015000000076</v>
      </c>
      <c r="U71" s="4">
        <f>Table2234210234[[#This Row],[Y_pred]]-F$13</f>
        <v>2.963002150234928E-2</v>
      </c>
      <c r="V71" s="4">
        <f>ABS(Table2234210234[[#This Row],[anl-med]])</f>
        <v>2.963002150234928E-2</v>
      </c>
      <c r="W71" s="4">
        <f>Table2234210234[[#This Row],[lab-med]]*Table2234210234[[#This Row],[anl-med]]</f>
        <v>-3.8519072398086542E-3</v>
      </c>
    </row>
    <row r="72" spans="2:23" x14ac:dyDescent="0.25">
      <c r="B72" s="46">
        <f ca="1">VALUE((Table2234210234[[#This Row],[Column3]]-62))</f>
        <v>10</v>
      </c>
      <c r="C72" t="s">
        <v>78</v>
      </c>
      <c r="D72">
        <v>11.0600004</v>
      </c>
      <c r="E72"/>
      <c r="F72" s="87">
        <v>10.549199656766</v>
      </c>
      <c r="G72" s="29">
        <f>Table2234210234[[#This Row],[Y_pred]]-Table2234210234[[#This Row],[REF]]</f>
        <v>-0.51080074323400027</v>
      </c>
      <c r="H72" s="29">
        <f>Table2234210234[[#This Row],[X-Y]]-E$20</f>
        <v>-1.281006012876599</v>
      </c>
      <c r="I72" s="29">
        <f>Table2234210234[[#This Row],[Y_pred]]-E$20</f>
        <v>9.7789943871234009</v>
      </c>
      <c r="J72" s="29">
        <f>Table2234210234[[#This Row],[Y_pred]]*E$21+E$22</f>
        <v>10.490323880978242</v>
      </c>
      <c r="K72" s="56">
        <f>Table2234210234[[#This Row],[Yest]]-Table2234210234[[#This Row],[REF]]</f>
        <v>-0.56967651902175831</v>
      </c>
      <c r="L72" s="56">
        <f>ABS(Table2234210234[[#This Row],[RESyx]])</f>
        <v>0.56967651902175831</v>
      </c>
      <c r="M72" s="29">
        <f>Table2234210234[[#This Row],[Y_pred]]*E$25+E$26</f>
        <v>10.137274045496723</v>
      </c>
      <c r="N72" s="29">
        <f>Table2234210234[[#This Row],[X-Y]]^2</f>
        <v>0.26091739928840707</v>
      </c>
      <c r="O72" s="57">
        <f>Table2234210234[[#This Row],[yest_rect]]-Table2234210234[[#This Row],[REF]]</f>
        <v>-0.92272635450327734</v>
      </c>
      <c r="P72" s="57">
        <f>Table2234210234[[#This Row],[dif rec]]^2</f>
        <v>0.85142392529490785</v>
      </c>
      <c r="Q72" s="57">
        <f>ABS(Table2234210234[[#This Row],[diff-bias]])</f>
        <v>1.281006012876599</v>
      </c>
      <c r="R72" s="57">
        <f ca="1">CELL("row",Table2234210234[[#This Row],[Position]])</f>
        <v>72</v>
      </c>
      <c r="S72" s="4">
        <f>Table2234210234[[#This Row],[REF]]-D$13</f>
        <v>5.0000149999998911E-2</v>
      </c>
      <c r="T72" s="4">
        <f>ABS(Table2234210234[[#This Row],[lab-med]])</f>
        <v>5.0000149999998911E-2</v>
      </c>
      <c r="U72" s="4">
        <f>Table2234210234[[#This Row],[Y_pred]]-F$13</f>
        <v>-1.2281380334921508</v>
      </c>
      <c r="V72" s="4">
        <f>ABS(Table2234210234[[#This Row],[anl-med]])</f>
        <v>1.2281380334921508</v>
      </c>
      <c r="W72" s="4">
        <f>Table2234210234[[#This Row],[lab-med]]*Table2234210234[[#This Row],[anl-med]]</f>
        <v>-6.1407085895311228E-2</v>
      </c>
    </row>
    <row r="73" spans="2:23" x14ac:dyDescent="0.25">
      <c r="B73" s="46">
        <f ca="1">VALUE((Table2234210234[[#This Row],[Column3]]-62))</f>
        <v>11</v>
      </c>
      <c r="C73" t="s">
        <v>79</v>
      </c>
      <c r="D73">
        <v>11.0900002</v>
      </c>
      <c r="E73"/>
      <c r="F73" s="87">
        <v>13.178681443267701</v>
      </c>
      <c r="G73" s="29">
        <f>Table2234210234[[#This Row],[Y_pred]]-Table2234210234[[#This Row],[REF]]</f>
        <v>2.0886812432677004</v>
      </c>
      <c r="H73" s="29">
        <f>Table2234210234[[#This Row],[X-Y]]-E$20</f>
        <v>1.3184759736251017</v>
      </c>
      <c r="I73" s="29">
        <f>Table2234210234[[#This Row],[Y_pred]]-E$20</f>
        <v>12.408476173625102</v>
      </c>
      <c r="J73" s="29">
        <f>Table2234210234[[#This Row],[Y_pred]]*E$21+E$22</f>
        <v>11.714003273031647</v>
      </c>
      <c r="K73" s="56">
        <f>Table2234210234[[#This Row],[Yest]]-Table2234210234[[#This Row],[REF]]</f>
        <v>0.62400307303164659</v>
      </c>
      <c r="L73" s="56">
        <f>ABS(Table2234210234[[#This Row],[RESyx]])</f>
        <v>0.62400307303164659</v>
      </c>
      <c r="M73" s="29">
        <f>Table2234210234[[#This Row],[Y_pred]]*E$25+E$26</f>
        <v>12.058686778241297</v>
      </c>
      <c r="N73" s="29">
        <f>Table2234210234[[#This Row],[X-Y]]^2</f>
        <v>4.3625893359783072</v>
      </c>
      <c r="O73" s="57">
        <f>Table2234210234[[#This Row],[yest_rect]]-Table2234210234[[#This Row],[REF]]</f>
        <v>0.96868657824129656</v>
      </c>
      <c r="P73" s="57">
        <f>Table2234210234[[#This Row],[dif rec]]^2</f>
        <v>0.93835368686483156</v>
      </c>
      <c r="Q73" s="57">
        <f>ABS(Table2234210234[[#This Row],[diff-bias]])</f>
        <v>1.3184759736251017</v>
      </c>
      <c r="R73" s="57">
        <f ca="1">CELL("row",Table2234210234[[#This Row],[Position]])</f>
        <v>73</v>
      </c>
      <c r="S73" s="4">
        <f>Table2234210234[[#This Row],[REF]]-D$13</f>
        <v>7.9999949999999487E-2</v>
      </c>
      <c r="T73" s="4">
        <f>ABS(Table2234210234[[#This Row],[lab-med]])</f>
        <v>7.9999949999999487E-2</v>
      </c>
      <c r="U73" s="4">
        <f>Table2234210234[[#This Row],[Y_pred]]-F$13</f>
        <v>1.4013437530095505</v>
      </c>
      <c r="V73" s="4">
        <f>ABS(Table2234210234[[#This Row],[anl-med]])</f>
        <v>1.4013437530095505</v>
      </c>
      <c r="W73" s="4">
        <f>Table2234210234[[#This Row],[lab-med]]*Table2234210234[[#This Row],[anl-med]]</f>
        <v>0.11210743017357568</v>
      </c>
    </row>
    <row r="74" spans="2:23" x14ac:dyDescent="0.25">
      <c r="B74" s="46">
        <f ca="1">VALUE((Table2234210234[[#This Row],[Column3]]-62))</f>
        <v>12</v>
      </c>
      <c r="C74" t="s">
        <v>80</v>
      </c>
      <c r="D74">
        <v>11.6199999</v>
      </c>
      <c r="E74"/>
      <c r="F74" s="87">
        <v>12.457609270619599</v>
      </c>
      <c r="G74" s="29">
        <f>Table2234210234[[#This Row],[Y_pred]]-Table2234210234[[#This Row],[REF]]</f>
        <v>0.8376093706195995</v>
      </c>
      <c r="H74" s="29">
        <f>Table2234210234[[#This Row],[X-Y]]-E$20</f>
        <v>6.740410097700078E-2</v>
      </c>
      <c r="I74" s="29">
        <f>Table2234210234[[#This Row],[Y_pred]]-E$20</f>
        <v>11.687404000977001</v>
      </c>
      <c r="J74" s="29">
        <f>Table2234210234[[#This Row],[Y_pred]]*E$21+E$22</f>
        <v>11.378438614480974</v>
      </c>
      <c r="K74" s="56">
        <f>Table2234210234[[#This Row],[Yest]]-Table2234210234[[#This Row],[REF]]</f>
        <v>-0.24156128551902611</v>
      </c>
      <c r="L74" s="56">
        <f>ABS(Table2234210234[[#This Row],[RESyx]])</f>
        <v>0.24156128551902611</v>
      </c>
      <c r="M74" s="29">
        <f>Table2234210234[[#This Row],[Y_pred]]*E$25+E$26</f>
        <v>11.531785523071504</v>
      </c>
      <c r="N74" s="29">
        <f>Table2234210234[[#This Row],[X-Y]]^2</f>
        <v>0.70158945774976156</v>
      </c>
      <c r="O74" s="57">
        <f>Table2234210234[[#This Row],[yest_rect]]-Table2234210234[[#This Row],[REF]]</f>
        <v>-8.8214376928496208E-2</v>
      </c>
      <c r="P74" s="57">
        <f>Table2234210234[[#This Row],[dif rec]]^2</f>
        <v>7.7817762968828037E-3</v>
      </c>
      <c r="Q74" s="57">
        <f>ABS(Table2234210234[[#This Row],[diff-bias]])</f>
        <v>6.740410097700078E-2</v>
      </c>
      <c r="R74" s="57">
        <f ca="1">CELL("row",Table2234210234[[#This Row],[Position]])</f>
        <v>74</v>
      </c>
      <c r="S74" s="4">
        <f>Table2234210234[[#This Row],[REF]]-D$13</f>
        <v>0.60999964999999889</v>
      </c>
      <c r="T74" s="4">
        <f>ABS(Table2234210234[[#This Row],[lab-med]])</f>
        <v>0.60999964999999889</v>
      </c>
      <c r="U74" s="4">
        <f>Table2234210234[[#This Row],[Y_pred]]-F$13</f>
        <v>0.68027158036144897</v>
      </c>
      <c r="V74" s="4">
        <f>ABS(Table2234210234[[#This Row],[anl-med]])</f>
        <v>0.68027158036144897</v>
      </c>
      <c r="W74" s="4">
        <f>Table2234210234[[#This Row],[lab-med]]*Table2234210234[[#This Row],[anl-med]]</f>
        <v>0.41496542592543001</v>
      </c>
    </row>
    <row r="75" spans="2:23" x14ac:dyDescent="0.25">
      <c r="B75" s="46">
        <f ca="1">VALUE((Table2234210234[[#This Row],[Column3]]-62))</f>
        <v>13</v>
      </c>
      <c r="C75" t="s">
        <v>81</v>
      </c>
      <c r="D75">
        <v>9.9600000000000009</v>
      </c>
      <c r="E75"/>
      <c r="F75" s="87">
        <v>10.7436345255808</v>
      </c>
      <c r="G75" s="29">
        <f>Table2234210234[[#This Row],[Y_pred]]-Table2234210234[[#This Row],[REF]]</f>
        <v>0.78363452558079949</v>
      </c>
      <c r="H75" s="29">
        <f>Table2234210234[[#This Row],[X-Y]]-E$20</f>
        <v>1.3429255938200768E-2</v>
      </c>
      <c r="I75" s="29">
        <f>Table2234210234[[#This Row],[Y_pred]]-E$20</f>
        <v>9.9734292559382016</v>
      </c>
      <c r="J75" s="29">
        <f>Table2234210234[[#This Row],[Y_pred]]*E$21+E$22</f>
        <v>10.580807847547874</v>
      </c>
      <c r="K75" s="56">
        <f>Table2234210234[[#This Row],[Yest]]-Table2234210234[[#This Row],[REF]]</f>
        <v>0.62080784754787288</v>
      </c>
      <c r="L75" s="56">
        <f>ABS(Table2234210234[[#This Row],[RESyx]])</f>
        <v>0.62080784754787288</v>
      </c>
      <c r="M75" s="29">
        <f>Table2234210234[[#This Row],[Y_pred]]*E$25+E$26</f>
        <v>10.279351330286477</v>
      </c>
      <c r="N75" s="29">
        <f>Table2234210234[[#This Row],[X-Y]]^2</f>
        <v>0.61408306968224469</v>
      </c>
      <c r="O75" s="57">
        <f>Table2234210234[[#This Row],[yest_rect]]-Table2234210234[[#This Row],[REF]]</f>
        <v>0.31935133028647655</v>
      </c>
      <c r="P75" s="57">
        <f>Table2234210234[[#This Row],[dif rec]]^2</f>
        <v>0.10198527215574224</v>
      </c>
      <c r="Q75" s="57">
        <f>ABS(Table2234210234[[#This Row],[diff-bias]])</f>
        <v>1.3429255938200768E-2</v>
      </c>
      <c r="R75" s="57">
        <f ca="1">CELL("row",Table2234210234[[#This Row],[Position]])</f>
        <v>75</v>
      </c>
      <c r="S75" s="4">
        <f>Table2234210234[[#This Row],[REF]]-D$13</f>
        <v>-1.0500002500000001</v>
      </c>
      <c r="T75" s="4">
        <f>ABS(Table2234210234[[#This Row],[lab-med]])</f>
        <v>1.0500002500000001</v>
      </c>
      <c r="U75" s="4">
        <f>Table2234210234[[#This Row],[Y_pred]]-F$13</f>
        <v>-1.03370316467735</v>
      </c>
      <c r="V75" s="4">
        <f>ABS(Table2234210234[[#This Row],[anl-med]])</f>
        <v>1.03370316467735</v>
      </c>
      <c r="W75" s="4">
        <f>Table2234210234[[#This Row],[lab-med]]*Table2234210234[[#This Row],[anl-med]]</f>
        <v>1.0853885813370088</v>
      </c>
    </row>
    <row r="76" spans="2:23" x14ac:dyDescent="0.25">
      <c r="B76" s="46">
        <f ca="1">VALUE((Table2234210234[[#This Row],[Column3]]-62))</f>
        <v>14</v>
      </c>
      <c r="C76" t="s">
        <v>82</v>
      </c>
      <c r="D76">
        <v>9.5</v>
      </c>
      <c r="E76"/>
      <c r="F76" s="87">
        <v>11.4769449484661</v>
      </c>
      <c r="G76" s="29">
        <f>Table2234210234[[#This Row],[Y_pred]]-Table2234210234[[#This Row],[REF]]</f>
        <v>1.9769449484660999</v>
      </c>
      <c r="H76" s="29">
        <f>Table2234210234[[#This Row],[X-Y]]-E$20</f>
        <v>1.2067396788235012</v>
      </c>
      <c r="I76" s="29">
        <f>Table2234210234[[#This Row],[Y_pred]]-E$20</f>
        <v>10.706739678823501</v>
      </c>
      <c r="J76" s="29">
        <f>Table2234210234[[#This Row],[Y_pred]]*E$21+E$22</f>
        <v>10.922067808757394</v>
      </c>
      <c r="K76" s="56">
        <f>Table2234210234[[#This Row],[Yest]]-Table2234210234[[#This Row],[REF]]</f>
        <v>1.4220678087573937</v>
      </c>
      <c r="L76" s="56">
        <f>ABS(Table2234210234[[#This Row],[RESyx]])</f>
        <v>1.4220678087573937</v>
      </c>
      <c r="M76" s="29">
        <f>Table2234210234[[#This Row],[Y_pred]]*E$25+E$26</f>
        <v>10.815195309438229</v>
      </c>
      <c r="N76" s="29">
        <f>Table2234210234[[#This Row],[X-Y]]^2</f>
        <v>3.9083113292656306</v>
      </c>
      <c r="O76" s="57">
        <f>Table2234210234[[#This Row],[yest_rect]]-Table2234210234[[#This Row],[REF]]</f>
        <v>1.3151953094382289</v>
      </c>
      <c r="P76" s="57">
        <f>Table2234210234[[#This Row],[dif rec]]^2</f>
        <v>1.7297387019683188</v>
      </c>
      <c r="Q76" s="57">
        <f>ABS(Table2234210234[[#This Row],[diff-bias]])</f>
        <v>1.2067396788235012</v>
      </c>
      <c r="R76" s="57">
        <f ca="1">CELL("row",Table2234210234[[#This Row],[Position]])</f>
        <v>76</v>
      </c>
      <c r="S76" s="4">
        <f>Table2234210234[[#This Row],[REF]]-D$13</f>
        <v>-1.5100002500000009</v>
      </c>
      <c r="T76" s="4">
        <f>ABS(Table2234210234[[#This Row],[lab-med]])</f>
        <v>1.5100002500000009</v>
      </c>
      <c r="U76" s="4">
        <f>Table2234210234[[#This Row],[Y_pred]]-F$13</f>
        <v>-0.30039274179205044</v>
      </c>
      <c r="V76" s="4">
        <f>ABS(Table2234210234[[#This Row],[anl-med]])</f>
        <v>0.30039274179205044</v>
      </c>
      <c r="W76" s="4">
        <f>Table2234210234[[#This Row],[lab-med]]*Table2234210234[[#This Row],[anl-med]]</f>
        <v>0.45359311520418188</v>
      </c>
    </row>
    <row r="77" spans="2:23" x14ac:dyDescent="0.25">
      <c r="B77" s="46">
        <f ca="1">VALUE((Table2234210234[[#This Row],[Column3]]-62))</f>
        <v>15</v>
      </c>
      <c r="C77" t="s">
        <v>83</v>
      </c>
      <c r="D77">
        <v>9.9899997999999997</v>
      </c>
      <c r="E77"/>
      <c r="F77" s="87">
        <v>9.5212608161641903</v>
      </c>
      <c r="G77" s="29">
        <f>Table2234210234[[#This Row],[Y_pred]]-Table2234210234[[#This Row],[REF]]</f>
        <v>-0.46873898383580936</v>
      </c>
      <c r="H77" s="29">
        <f>Table2234210234[[#This Row],[X-Y]]-E$20</f>
        <v>-1.2389442534784081</v>
      </c>
      <c r="I77" s="29">
        <f>Table2234210234[[#This Row],[Y_pred]]-E$20</f>
        <v>8.7510555465215916</v>
      </c>
      <c r="J77" s="29">
        <f>Table2234210234[[#This Row],[Y_pred]]*E$21+E$22</f>
        <v>10.011952978394739</v>
      </c>
      <c r="K77" s="56">
        <f>Table2234210234[[#This Row],[Yest]]-Table2234210234[[#This Row],[REF]]</f>
        <v>2.195317839473887E-2</v>
      </c>
      <c r="L77" s="56">
        <f>ABS(Table2234210234[[#This Row],[RESyx]])</f>
        <v>2.195317839473887E-2</v>
      </c>
      <c r="M77" s="29">
        <f>Table2234210234[[#This Row],[Y_pred]]*E$25+E$26</f>
        <v>9.3861394352651359</v>
      </c>
      <c r="N77" s="29">
        <f>Table2234210234[[#This Row],[X-Y]]^2</f>
        <v>0.21971623496742715</v>
      </c>
      <c r="O77" s="57">
        <f>Table2234210234[[#This Row],[yest_rect]]-Table2234210234[[#This Row],[REF]]</f>
        <v>-0.60386036473486371</v>
      </c>
      <c r="P77" s="57">
        <f>Table2234210234[[#This Row],[dif rec]]^2</f>
        <v>0.36464734009772265</v>
      </c>
      <c r="Q77" s="57">
        <f>ABS(Table2234210234[[#This Row],[diff-bias]])</f>
        <v>1.2389442534784081</v>
      </c>
      <c r="R77" s="57">
        <f ca="1">CELL("row",Table2234210234[[#This Row],[Position]])</f>
        <v>77</v>
      </c>
      <c r="S77" s="4">
        <f>Table2234210234[[#This Row],[REF]]-D$13</f>
        <v>-1.0200004500000013</v>
      </c>
      <c r="T77" s="4">
        <f>ABS(Table2234210234[[#This Row],[lab-med]])</f>
        <v>1.0200004500000013</v>
      </c>
      <c r="U77" s="4">
        <f>Table2234210234[[#This Row],[Y_pred]]-F$13</f>
        <v>-2.2560768740939601</v>
      </c>
      <c r="V77" s="4">
        <f>ABS(Table2234210234[[#This Row],[anl-med]])</f>
        <v>2.2560768740939601</v>
      </c>
      <c r="W77" s="4">
        <f>Table2234210234[[#This Row],[lab-med]]*Table2234210234[[#This Row],[anl-med]]</f>
        <v>2.3011994268104354</v>
      </c>
    </row>
    <row r="78" spans="2:23" x14ac:dyDescent="0.25">
      <c r="B78" s="46">
        <f ca="1">VALUE((Table2234210234[[#This Row],[Column3]]-62))</f>
        <v>16</v>
      </c>
      <c r="C78" t="s">
        <v>84</v>
      </c>
      <c r="D78">
        <v>10.0100002</v>
      </c>
      <c r="E78"/>
      <c r="F78" s="87">
        <v>10.8171827444339</v>
      </c>
      <c r="G78" s="29">
        <f>Table2234210234[[#This Row],[Y_pred]]-Table2234210234[[#This Row],[REF]]</f>
        <v>0.80718254443389981</v>
      </c>
      <c r="H78" s="29">
        <f>Table2234210234[[#This Row],[X-Y]]-E$20</f>
        <v>3.6977274791301085E-2</v>
      </c>
      <c r="I78" s="29">
        <f>Table2234210234[[#This Row],[Y_pred]]-E$20</f>
        <v>10.046977474791301</v>
      </c>
      <c r="J78" s="29">
        <f>Table2234210234[[#This Row],[Y_pred]]*E$21+E$22</f>
        <v>10.615034910916322</v>
      </c>
      <c r="K78" s="56">
        <f>Table2234210234[[#This Row],[Yest]]-Table2234210234[[#This Row],[REF]]</f>
        <v>0.60503471091632122</v>
      </c>
      <c r="L78" s="56">
        <f>ABS(Table2234210234[[#This Row],[RESyx]])</f>
        <v>0.60503471091632122</v>
      </c>
      <c r="M78" s="29">
        <f>Table2234210234[[#This Row],[Y_pred]]*E$25+E$26</f>
        <v>10.333094423279352</v>
      </c>
      <c r="N78" s="29">
        <f>Table2234210234[[#This Row],[X-Y]]^2</f>
        <v>0.65154366003878461</v>
      </c>
      <c r="O78" s="57">
        <f>Table2234210234[[#This Row],[yest_rect]]-Table2234210234[[#This Row],[REF]]</f>
        <v>0.32309422327935167</v>
      </c>
      <c r="P78" s="57">
        <f>Table2234210234[[#This Row],[dif rec]]^2</f>
        <v>0.10438987711648755</v>
      </c>
      <c r="Q78" s="57">
        <f>ABS(Table2234210234[[#This Row],[diff-bias]])</f>
        <v>3.6977274791301085E-2</v>
      </c>
      <c r="R78" s="57">
        <f ca="1">CELL("row",Table2234210234[[#This Row],[Position]])</f>
        <v>78</v>
      </c>
      <c r="S78" s="4">
        <f>Table2234210234[[#This Row],[REF]]-D$13</f>
        <v>-1.0000000500000006</v>
      </c>
      <c r="T78" s="4">
        <f>ABS(Table2234210234[[#This Row],[lab-med]])</f>
        <v>1.0000000500000006</v>
      </c>
      <c r="U78" s="4">
        <f>Table2234210234[[#This Row],[Y_pred]]-F$13</f>
        <v>-0.96015494582425021</v>
      </c>
      <c r="V78" s="4">
        <f>ABS(Table2234210234[[#This Row],[anl-med]])</f>
        <v>0.96015494582425021</v>
      </c>
      <c r="W78" s="4">
        <f>Table2234210234[[#This Row],[lab-med]]*Table2234210234[[#This Row],[anl-med]]</f>
        <v>0.96015499383199809</v>
      </c>
    </row>
    <row r="79" spans="2:23" x14ac:dyDescent="0.25">
      <c r="B79" s="46">
        <f ca="1">VALUE((Table2234210234[[#This Row],[Column3]]-62))</f>
        <v>17</v>
      </c>
      <c r="C79" t="s">
        <v>85</v>
      </c>
      <c r="D79">
        <v>9.8299999000000007</v>
      </c>
      <c r="E79"/>
      <c r="F79" s="87">
        <v>11.572542281162001</v>
      </c>
      <c r="G79" s="29">
        <f>Table2234210234[[#This Row],[Y_pred]]-Table2234210234[[#This Row],[REF]]</f>
        <v>1.742542381162</v>
      </c>
      <c r="H79" s="29">
        <f>Table2234210234[[#This Row],[X-Y]]-E$20</f>
        <v>0.97233711151940128</v>
      </c>
      <c r="I79" s="29">
        <f>Table2234210234[[#This Row],[Y_pred]]-E$20</f>
        <v>10.802337011519402</v>
      </c>
      <c r="J79" s="29">
        <f>Table2234210234[[#This Row],[Y_pred]]*E$21+E$22</f>
        <v>10.96655584687797</v>
      </c>
      <c r="K79" s="56">
        <f>Table2234210234[[#This Row],[Yest]]-Table2234210234[[#This Row],[REF]]</f>
        <v>1.1365559468779693</v>
      </c>
      <c r="L79" s="56">
        <f>ABS(Table2234210234[[#This Row],[RESyx]])</f>
        <v>1.1365559468779693</v>
      </c>
      <c r="M79" s="29">
        <f>Table2234210234[[#This Row],[Y_pred]]*E$25+E$26</f>
        <v>10.88505011246491</v>
      </c>
      <c r="N79" s="29">
        <f>Table2234210234[[#This Row],[X-Y]]^2</f>
        <v>3.036453950145733</v>
      </c>
      <c r="O79" s="57">
        <f>Table2234210234[[#This Row],[yest_rect]]-Table2234210234[[#This Row],[REF]]</f>
        <v>1.0550502124649093</v>
      </c>
      <c r="P79" s="57">
        <f>Table2234210234[[#This Row],[dif rec]]^2</f>
        <v>1.1131309508222502</v>
      </c>
      <c r="Q79" s="57">
        <f>ABS(Table2234210234[[#This Row],[diff-bias]])</f>
        <v>0.97233711151940128</v>
      </c>
      <c r="R79" s="57">
        <f ca="1">CELL("row",Table2234210234[[#This Row],[Position]])</f>
        <v>79</v>
      </c>
      <c r="S79" s="4">
        <f>Table2234210234[[#This Row],[REF]]-D$13</f>
        <v>-1.1800003500000003</v>
      </c>
      <c r="T79" s="4">
        <f>ABS(Table2234210234[[#This Row],[lab-med]])</f>
        <v>1.1800003500000003</v>
      </c>
      <c r="U79" s="4">
        <f>Table2234210234[[#This Row],[Y_pred]]-F$13</f>
        <v>-0.20479540909614968</v>
      </c>
      <c r="V79" s="4">
        <f>ABS(Table2234210234[[#This Row],[anl-med]])</f>
        <v>0.20479540909614968</v>
      </c>
      <c r="W79" s="4">
        <f>Table2234210234[[#This Row],[lab-med]]*Table2234210234[[#This Row],[anl-med]]</f>
        <v>0.24165865441184986</v>
      </c>
    </row>
    <row r="80" spans="2:23" x14ac:dyDescent="0.25">
      <c r="B80" s="46">
        <f ca="1">VALUE((Table2234210234[[#This Row],[Column3]]-62))</f>
        <v>18</v>
      </c>
      <c r="C80" t="s">
        <v>86</v>
      </c>
      <c r="D80">
        <v>9.5699997000000003</v>
      </c>
      <c r="E80"/>
      <c r="F80" s="87">
        <v>10.520870146675801</v>
      </c>
      <c r="G80" s="29">
        <f>Table2234210234[[#This Row],[Y_pred]]-Table2234210234[[#This Row],[REF]]</f>
        <v>0.95087044667580045</v>
      </c>
      <c r="H80" s="29">
        <f>Table2234210234[[#This Row],[X-Y]]-E$20</f>
        <v>0.18066517703320173</v>
      </c>
      <c r="I80" s="29">
        <f>Table2234210234[[#This Row],[Y_pred]]-E$20</f>
        <v>9.7506648770332021</v>
      </c>
      <c r="J80" s="29">
        <f>Table2234210234[[#This Row],[Y_pred]]*E$21+E$22</f>
        <v>10.477140204307689</v>
      </c>
      <c r="K80" s="56">
        <f>Table2234210234[[#This Row],[Yest]]-Table2234210234[[#This Row],[REF]]</f>
        <v>0.907140504307689</v>
      </c>
      <c r="L80" s="56">
        <f>ABS(Table2234210234[[#This Row],[RESyx]])</f>
        <v>0.907140504307689</v>
      </c>
      <c r="M80" s="29">
        <f>Table2234210234[[#This Row],[Y_pred]]*E$25+E$26</f>
        <v>10.116573129567527</v>
      </c>
      <c r="N80" s="29">
        <f>Table2234210234[[#This Row],[X-Y]]^2</f>
        <v>0.9041546063614363</v>
      </c>
      <c r="O80" s="57">
        <f>Table2234210234[[#This Row],[yest_rect]]-Table2234210234[[#This Row],[REF]]</f>
        <v>0.54657342956752686</v>
      </c>
      <c r="P80" s="57">
        <f>Table2234210234[[#This Row],[dif rec]]^2</f>
        <v>0.29874251390920825</v>
      </c>
      <c r="Q80" s="57">
        <f>ABS(Table2234210234[[#This Row],[diff-bias]])</f>
        <v>0.18066517703320173</v>
      </c>
      <c r="R80" s="57">
        <f ca="1">CELL("row",Table2234210234[[#This Row],[Position]])</f>
        <v>80</v>
      </c>
      <c r="S80" s="4">
        <f>Table2234210234[[#This Row],[REF]]-D$13</f>
        <v>-1.4400005500000006</v>
      </c>
      <c r="T80" s="4">
        <f>ABS(Table2234210234[[#This Row],[lab-med]])</f>
        <v>1.4400005500000006</v>
      </c>
      <c r="U80" s="4">
        <f>Table2234210234[[#This Row],[Y_pred]]-F$13</f>
        <v>-1.2564675435823496</v>
      </c>
      <c r="V80" s="4">
        <f>ABS(Table2234210234[[#This Row],[anl-med]])</f>
        <v>1.2564675435823496</v>
      </c>
      <c r="W80" s="4">
        <f>Table2234210234[[#This Row],[lab-med]]*Table2234210234[[#This Row],[anl-med]]</f>
        <v>1.809313953815733</v>
      </c>
    </row>
    <row r="81" spans="2:23" x14ac:dyDescent="0.25">
      <c r="B81" s="46">
        <f ca="1">VALUE((Table2234210234[[#This Row],[Column3]]-62))</f>
        <v>19</v>
      </c>
      <c r="C81" t="s">
        <v>87</v>
      </c>
      <c r="D81">
        <v>9.9200000999999993</v>
      </c>
      <c r="E81"/>
      <c r="F81" s="87">
        <v>11.1040041917498</v>
      </c>
      <c r="G81" s="29">
        <f>Table2234210234[[#This Row],[Y_pred]]-Table2234210234[[#This Row],[REF]]</f>
        <v>1.1840040917498005</v>
      </c>
      <c r="H81" s="29">
        <f>Table2234210234[[#This Row],[X-Y]]-E$20</f>
        <v>0.41379882210720176</v>
      </c>
      <c r="I81" s="29">
        <f>Table2234210234[[#This Row],[Y_pred]]-E$20</f>
        <v>10.333798922107201</v>
      </c>
      <c r="J81" s="29">
        <f>Table2234210234[[#This Row],[Y_pred]]*E$21+E$22</f>
        <v>10.74851273003685</v>
      </c>
      <c r="K81" s="56">
        <f>Table2234210234[[#This Row],[Yest]]-Table2234210234[[#This Row],[REF]]</f>
        <v>0.82851263003685105</v>
      </c>
      <c r="L81" s="56">
        <f>ABS(Table2234210234[[#This Row],[RESyx]])</f>
        <v>0.82851263003685105</v>
      </c>
      <c r="M81" s="29">
        <f>Table2234210234[[#This Row],[Y_pred]]*E$25+E$26</f>
        <v>10.542680351474806</v>
      </c>
      <c r="N81" s="29">
        <f>Table2234210234[[#This Row],[X-Y]]^2</f>
        <v>1.4018656892802699</v>
      </c>
      <c r="O81" s="57">
        <f>Table2234210234[[#This Row],[yest_rect]]-Table2234210234[[#This Row],[REF]]</f>
        <v>0.62268025147480621</v>
      </c>
      <c r="P81" s="57">
        <f>Table2234210234[[#This Row],[dif rec]]^2</f>
        <v>0.3877306955767279</v>
      </c>
      <c r="Q81" s="57">
        <f>ABS(Table2234210234[[#This Row],[diff-bias]])</f>
        <v>0.41379882210720176</v>
      </c>
      <c r="R81" s="57">
        <f ca="1">CELL("row",Table2234210234[[#This Row],[Position]])</f>
        <v>81</v>
      </c>
      <c r="S81" s="4">
        <f>Table2234210234[[#This Row],[REF]]-D$13</f>
        <v>-1.0900001500000016</v>
      </c>
      <c r="T81" s="4">
        <f>ABS(Table2234210234[[#This Row],[lab-med]])</f>
        <v>1.0900001500000016</v>
      </c>
      <c r="U81" s="4">
        <f>Table2234210234[[#This Row],[Y_pred]]-F$13</f>
        <v>-0.67333349850835056</v>
      </c>
      <c r="V81" s="4">
        <f>ABS(Table2234210234[[#This Row],[anl-med]])</f>
        <v>0.67333349850835056</v>
      </c>
      <c r="W81" s="4">
        <f>Table2234210234[[#This Row],[lab-med]]*Table2234210234[[#This Row],[anl-med]]</f>
        <v>0.73393361437412796</v>
      </c>
    </row>
    <row r="82" spans="2:23" x14ac:dyDescent="0.25">
      <c r="B82" s="46">
        <f ca="1">VALUE((Table2234210234[[#This Row],[Column3]]-62))</f>
        <v>20</v>
      </c>
      <c r="C82" t="s">
        <v>88</v>
      </c>
      <c r="D82">
        <v>11.670000099999999</v>
      </c>
      <c r="E82"/>
      <c r="F82" s="87">
        <v>11.8470154218352</v>
      </c>
      <c r="G82" s="29">
        <f>Table2234210234[[#This Row],[Y_pred]]-Table2234210234[[#This Row],[REF]]</f>
        <v>0.17701532183520108</v>
      </c>
      <c r="H82" s="29">
        <f>Table2234210234[[#This Row],[X-Y]]-E$20</f>
        <v>-0.59318994780739764</v>
      </c>
      <c r="I82" s="29">
        <f>Table2234210234[[#This Row],[Y_pred]]-E$20</f>
        <v>11.076810152192602</v>
      </c>
      <c r="J82" s="29">
        <f>Table2234210234[[#This Row],[Y_pred]]*E$21+E$22</f>
        <v>11.094287146496825</v>
      </c>
      <c r="K82" s="56">
        <f>Table2234210234[[#This Row],[Yest]]-Table2234210234[[#This Row],[REF]]</f>
        <v>-0.57571295350317442</v>
      </c>
      <c r="L82" s="56">
        <f>ABS(Table2234210234[[#This Row],[RESyx]])</f>
        <v>0.57571295350317442</v>
      </c>
      <c r="M82" s="29">
        <f>Table2234210234[[#This Row],[Y_pred]]*E$25+E$26</f>
        <v>11.085612896353787</v>
      </c>
      <c r="N82" s="29">
        <f>Table2234210234[[#This Row],[X-Y]]^2</f>
        <v>3.1334424164419818E-2</v>
      </c>
      <c r="O82" s="57">
        <f>Table2234210234[[#This Row],[yest_rect]]-Table2234210234[[#This Row],[REF]]</f>
        <v>-0.58438720364621233</v>
      </c>
      <c r="P82" s="57">
        <f>Table2234210234[[#This Row],[dif rec]]^2</f>
        <v>0.34150840378543962</v>
      </c>
      <c r="Q82" s="57">
        <f>ABS(Table2234210234[[#This Row],[diff-bias]])</f>
        <v>0.59318994780739764</v>
      </c>
      <c r="R82" s="57">
        <f ca="1">CELL("row",Table2234210234[[#This Row],[Position]])</f>
        <v>82</v>
      </c>
      <c r="S82" s="4">
        <f>Table2234210234[[#This Row],[REF]]-D$13</f>
        <v>0.65999984999999839</v>
      </c>
      <c r="T82" s="4">
        <f>ABS(Table2234210234[[#This Row],[lab-med]])</f>
        <v>0.65999984999999839</v>
      </c>
      <c r="U82" s="4">
        <f>Table2234210234[[#This Row],[Y_pred]]-F$13</f>
        <v>6.9677731577050039E-2</v>
      </c>
      <c r="V82" s="4">
        <f>ABS(Table2234210234[[#This Row],[anl-med]])</f>
        <v>6.9677731577050039E-2</v>
      </c>
      <c r="W82" s="4">
        <f>Table2234210234[[#This Row],[lab-med]]*Table2234210234[[#This Row],[anl-med]]</f>
        <v>4.5987292389193177E-2</v>
      </c>
    </row>
    <row r="83" spans="2:23" x14ac:dyDescent="0.25">
      <c r="B83" s="46">
        <f ca="1">VALUE((Table2234210234[[#This Row],[Column3]]-62))</f>
        <v>21</v>
      </c>
      <c r="C83" t="s">
        <v>89</v>
      </c>
      <c r="D83">
        <v>11.5</v>
      </c>
      <c r="E83"/>
      <c r="F83" s="87">
        <v>10.770667699508</v>
      </c>
      <c r="G83" s="29">
        <f>Table2234210234[[#This Row],[Y_pred]]-Table2234210234[[#This Row],[REF]]</f>
        <v>-0.72933230049200048</v>
      </c>
      <c r="H83" s="29">
        <f>Table2234210234[[#This Row],[X-Y]]-E$20</f>
        <v>-1.4995375701345992</v>
      </c>
      <c r="I83" s="29">
        <f>Table2234210234[[#This Row],[Y_pred]]-E$20</f>
        <v>10.000462429865401</v>
      </c>
      <c r="J83" s="29">
        <f>Table2234210234[[#This Row],[Y_pred]]*E$21+E$22</f>
        <v>10.59338824951389</v>
      </c>
      <c r="K83" s="56">
        <f>Table2234210234[[#This Row],[Yest]]-Table2234210234[[#This Row],[REF]]</f>
        <v>-0.90661175048611042</v>
      </c>
      <c r="L83" s="56">
        <f>ABS(Table2234210234[[#This Row],[RESyx]])</f>
        <v>0.90661175048611042</v>
      </c>
      <c r="M83" s="29">
        <f>Table2234210234[[#This Row],[Y_pred]]*E$25+E$26</f>
        <v>10.299104988538405</v>
      </c>
      <c r="N83" s="29">
        <f>Table2234210234[[#This Row],[X-Y]]^2</f>
        <v>0.53192560454095372</v>
      </c>
      <c r="O83" s="57">
        <f>Table2234210234[[#This Row],[yest_rect]]-Table2234210234[[#This Row],[REF]]</f>
        <v>-1.2008950114615953</v>
      </c>
      <c r="P83" s="57">
        <f>Table2234210234[[#This Row],[dif rec]]^2</f>
        <v>1.442148828553345</v>
      </c>
      <c r="Q83" s="57">
        <f>ABS(Table2234210234[[#This Row],[diff-bias]])</f>
        <v>1.4995375701345992</v>
      </c>
      <c r="R83" s="57">
        <f ca="1">CELL("row",Table2234210234[[#This Row],[Position]])</f>
        <v>83</v>
      </c>
      <c r="S83" s="4">
        <f>Table2234210234[[#This Row],[REF]]-D$13</f>
        <v>0.48999974999999907</v>
      </c>
      <c r="T83" s="4">
        <f>ABS(Table2234210234[[#This Row],[lab-med]])</f>
        <v>0.48999974999999907</v>
      </c>
      <c r="U83" s="4">
        <f>Table2234210234[[#This Row],[Y_pred]]-F$13</f>
        <v>-1.0066699907501508</v>
      </c>
      <c r="V83" s="4">
        <f>ABS(Table2234210234[[#This Row],[anl-med]])</f>
        <v>1.0066699907501508</v>
      </c>
      <c r="W83" s="4">
        <f>Table2234210234[[#This Row],[lab-med]]*Table2234210234[[#This Row],[anl-med]]</f>
        <v>-0.49326804380007527</v>
      </c>
    </row>
    <row r="84" spans="2:23" x14ac:dyDescent="0.25">
      <c r="B84" s="46">
        <f ca="1">VALUE((Table2234210234[[#This Row],[Column3]]-62))</f>
        <v>22</v>
      </c>
      <c r="C84" t="s">
        <v>90</v>
      </c>
      <c r="D84">
        <v>11.3699999</v>
      </c>
      <c r="E84"/>
      <c r="F84" s="87">
        <v>13.236268858214</v>
      </c>
      <c r="G84" s="29">
        <f>Table2234210234[[#This Row],[Y_pred]]-Table2234210234[[#This Row],[REF]]</f>
        <v>1.8662689582140004</v>
      </c>
      <c r="H84" s="29">
        <f>Table2234210234[[#This Row],[X-Y]]-E$20</f>
        <v>1.0960636885714017</v>
      </c>
      <c r="I84" s="29">
        <f>Table2234210234[[#This Row],[Y_pred]]-E$20</f>
        <v>12.466063588571402</v>
      </c>
      <c r="J84" s="29">
        <f>Table2234210234[[#This Row],[Y_pred]]*E$21+E$22</f>
        <v>11.740802672545712</v>
      </c>
      <c r="K84" s="56">
        <f>Table2234210234[[#This Row],[Yest]]-Table2234210234[[#This Row],[REF]]</f>
        <v>0.37080277254571214</v>
      </c>
      <c r="L84" s="56">
        <f>ABS(Table2234210234[[#This Row],[RESyx]])</f>
        <v>0.37080277254571214</v>
      </c>
      <c r="M84" s="29">
        <f>Table2234210234[[#This Row],[Y_pred]]*E$25+E$26</f>
        <v>12.100767005946876</v>
      </c>
      <c r="N84" s="29">
        <f>Table2234210234[[#This Row],[X-Y]]^2</f>
        <v>3.4829598243931703</v>
      </c>
      <c r="O84" s="57">
        <f>Table2234210234[[#This Row],[yest_rect]]-Table2234210234[[#This Row],[REF]]</f>
        <v>0.73076710594687633</v>
      </c>
      <c r="P84" s="57">
        <f>Table2234210234[[#This Row],[dif rec]]^2</f>
        <v>0.53402056313397317</v>
      </c>
      <c r="Q84" s="57">
        <f>ABS(Table2234210234[[#This Row],[diff-bias]])</f>
        <v>1.0960636885714017</v>
      </c>
      <c r="R84" s="57">
        <f ca="1">CELL("row",Table2234210234[[#This Row],[Position]])</f>
        <v>84</v>
      </c>
      <c r="S84" s="4">
        <f>Table2234210234[[#This Row],[REF]]-D$13</f>
        <v>0.35999964999999889</v>
      </c>
      <c r="T84" s="4">
        <f>ABS(Table2234210234[[#This Row],[lab-med]])</f>
        <v>0.35999964999999889</v>
      </c>
      <c r="U84" s="4">
        <f>Table2234210234[[#This Row],[Y_pred]]-F$13</f>
        <v>1.4589311679558499</v>
      </c>
      <c r="V84" s="4">
        <f>ABS(Table2234210234[[#This Row],[anl-med]])</f>
        <v>1.4589311679558499</v>
      </c>
      <c r="W84" s="4">
        <f>Table2234210234[[#This Row],[lab-med]]*Table2234210234[[#This Row],[anl-med]]</f>
        <v>0.52521470983819551</v>
      </c>
    </row>
    <row r="85" spans="2:23" x14ac:dyDescent="0.25">
      <c r="B85" s="46">
        <f ca="1">VALUE((Table2234210234[[#This Row],[Column3]]-62))</f>
        <v>23</v>
      </c>
      <c r="C85" t="s">
        <v>91</v>
      </c>
      <c r="D85">
        <v>11.5900002</v>
      </c>
      <c r="E85"/>
      <c r="F85" s="87">
        <v>13.036375087244901</v>
      </c>
      <c r="G85" s="29">
        <f>Table2234210234[[#This Row],[Y_pred]]-Table2234210234[[#This Row],[REF]]</f>
        <v>1.4463748872449003</v>
      </c>
      <c r="H85" s="29">
        <f>Table2234210234[[#This Row],[X-Y]]-E$20</f>
        <v>0.67616961760230154</v>
      </c>
      <c r="I85" s="29">
        <f>Table2234210234[[#This Row],[Y_pred]]-E$20</f>
        <v>12.266169817602302</v>
      </c>
      <c r="J85" s="29">
        <f>Table2234210234[[#This Row],[Y_pred]]*E$21+E$22</f>
        <v>11.647778301968055</v>
      </c>
      <c r="K85" s="56">
        <f>Table2234210234[[#This Row],[Yest]]-Table2234210234[[#This Row],[REF]]</f>
        <v>5.777810196805433E-2</v>
      </c>
      <c r="L85" s="56">
        <f>ABS(Table2234210234[[#This Row],[RESyx]])</f>
        <v>5.777810196805433E-2</v>
      </c>
      <c r="M85" s="29">
        <f>Table2234210234[[#This Row],[Y_pred]]*E$25+E$26</f>
        <v>11.954700796738658</v>
      </c>
      <c r="N85" s="29">
        <f>Table2234210234[[#This Row],[X-Y]]^2</f>
        <v>2.0920003144526977</v>
      </c>
      <c r="O85" s="57">
        <f>Table2234210234[[#This Row],[yest_rect]]-Table2234210234[[#This Row],[REF]]</f>
        <v>0.36470059673865762</v>
      </c>
      <c r="P85" s="57">
        <f>Table2234210234[[#This Row],[dif rec]]^2</f>
        <v>0.13300652526153298</v>
      </c>
      <c r="Q85" s="57">
        <f>ABS(Table2234210234[[#This Row],[diff-bias]])</f>
        <v>0.67616961760230154</v>
      </c>
      <c r="R85" s="57">
        <f ca="1">CELL("row",Table2234210234[[#This Row],[Position]])</f>
        <v>85</v>
      </c>
      <c r="S85" s="4">
        <f>Table2234210234[[#This Row],[REF]]-D$13</f>
        <v>0.57999994999999949</v>
      </c>
      <c r="T85" s="4">
        <f>ABS(Table2234210234[[#This Row],[lab-med]])</f>
        <v>0.57999994999999949</v>
      </c>
      <c r="U85" s="4">
        <f>Table2234210234[[#This Row],[Y_pred]]-F$13</f>
        <v>1.2590373969867503</v>
      </c>
      <c r="V85" s="4">
        <f>ABS(Table2234210234[[#This Row],[anl-med]])</f>
        <v>1.2590373969867503</v>
      </c>
      <c r="W85" s="4">
        <f>Table2234210234[[#This Row],[lab-med]]*Table2234210234[[#This Row],[anl-med]]</f>
        <v>0.73024162730044473</v>
      </c>
    </row>
    <row r="86" spans="2:23" x14ac:dyDescent="0.25">
      <c r="B86" s="46">
        <f ca="1">VALUE((Table2234210234[[#This Row],[Column3]]-62))</f>
        <v>24</v>
      </c>
      <c r="C86" t="s">
        <v>92</v>
      </c>
      <c r="D86">
        <v>9.8800001000000002</v>
      </c>
      <c r="E86"/>
      <c r="F86" s="87">
        <v>10.4081896114883</v>
      </c>
      <c r="G86" s="29">
        <f>Table2234210234[[#This Row],[Y_pred]]-Table2234210234[[#This Row],[REF]]</f>
        <v>0.52818951148829996</v>
      </c>
      <c r="H86" s="29">
        <f>Table2234210234[[#This Row],[X-Y]]-E$20</f>
        <v>-0.24201575815429877</v>
      </c>
      <c r="I86" s="29">
        <f>Table2234210234[[#This Row],[Y_pred]]-E$20</f>
        <v>9.6379843418457014</v>
      </c>
      <c r="J86" s="29">
        <f>Table2234210234[[#This Row],[Y_pred]]*E$21+E$22</f>
        <v>10.424702172790484</v>
      </c>
      <c r="K86" s="56">
        <f>Table2234210234[[#This Row],[Yest]]-Table2234210234[[#This Row],[REF]]</f>
        <v>0.54470207279048388</v>
      </c>
      <c r="L86" s="56">
        <f>ABS(Table2234210234[[#This Row],[RESyx]])</f>
        <v>0.54470207279048388</v>
      </c>
      <c r="M86" s="29">
        <f>Table2234210234[[#This Row],[Y_pred]]*E$25+E$26</f>
        <v>10.034235303098008</v>
      </c>
      <c r="N86" s="29">
        <f>Table2234210234[[#This Row],[X-Y]]^2</f>
        <v>0.27898416004624893</v>
      </c>
      <c r="O86" s="57">
        <f>Table2234210234[[#This Row],[yest_rect]]-Table2234210234[[#This Row],[REF]]</f>
        <v>0.15423520309800764</v>
      </c>
      <c r="P86" s="57">
        <f>Table2234210234[[#This Row],[dif rec]]^2</f>
        <v>2.3788497874683668E-2</v>
      </c>
      <c r="Q86" s="57">
        <f>ABS(Table2234210234[[#This Row],[diff-bias]])</f>
        <v>0.24201575815429877</v>
      </c>
      <c r="R86" s="57">
        <f ca="1">CELL("row",Table2234210234[[#This Row],[Position]])</f>
        <v>86</v>
      </c>
      <c r="S86" s="4">
        <f>Table2234210234[[#This Row],[REF]]-D$13</f>
        <v>-1.1300001500000008</v>
      </c>
      <c r="T86" s="4">
        <f>ABS(Table2234210234[[#This Row],[lab-med]])</f>
        <v>1.1300001500000008</v>
      </c>
      <c r="U86" s="4">
        <f>Table2234210234[[#This Row],[Y_pred]]-F$13</f>
        <v>-1.3691480787698502</v>
      </c>
      <c r="V86" s="4">
        <f>ABS(Table2234210234[[#This Row],[anl-med]])</f>
        <v>1.3691480787698502</v>
      </c>
      <c r="W86" s="4">
        <f>Table2234210234[[#This Row],[lab-med]]*Table2234210234[[#This Row],[anl-med]]</f>
        <v>1.5471375343821436</v>
      </c>
    </row>
    <row r="87" spans="2:23" x14ac:dyDescent="0.25">
      <c r="B87" s="46">
        <f ca="1">VALUE((Table2234210234[[#This Row],[Column3]]-62))</f>
        <v>25</v>
      </c>
      <c r="C87" t="s">
        <v>93</v>
      </c>
      <c r="D87">
        <v>11.8400002</v>
      </c>
      <c r="E87"/>
      <c r="F87" s="87">
        <v>14.038381916056901</v>
      </c>
      <c r="G87" s="29">
        <f>Table2234210234[[#This Row],[Y_pred]]-Table2234210234[[#This Row],[REF]]</f>
        <v>2.1983817160569004</v>
      </c>
      <c r="H87" s="29">
        <f>Table2234210234[[#This Row],[X-Y]]-E$20</f>
        <v>1.4281764464143016</v>
      </c>
      <c r="I87" s="29">
        <f>Table2234210234[[#This Row],[Y_pred]]-E$20</f>
        <v>13.268176646414302</v>
      </c>
      <c r="J87" s="29">
        <f>Table2234210234[[#This Row],[Y_pred]]*E$21+E$22</f>
        <v>12.114081249342828</v>
      </c>
      <c r="K87" s="56">
        <f>Table2234210234[[#This Row],[Yest]]-Table2234210234[[#This Row],[REF]]</f>
        <v>0.2740810493428274</v>
      </c>
      <c r="L87" s="56">
        <f>ABS(Table2234210234[[#This Row],[RESyx]])</f>
        <v>0.2740810493428274</v>
      </c>
      <c r="M87" s="29">
        <f>Table2234210234[[#This Row],[Y_pred]]*E$25+E$26</f>
        <v>12.686886388994763</v>
      </c>
      <c r="N87" s="29">
        <f>Table2234210234[[#This Row],[X-Y]]^2</f>
        <v>4.8328821694932822</v>
      </c>
      <c r="O87" s="57">
        <f>Table2234210234[[#This Row],[yest_rect]]-Table2234210234[[#This Row],[REF]]</f>
        <v>0.84688618899476253</v>
      </c>
      <c r="P87" s="57">
        <f>Table2234210234[[#This Row],[dif rec]]^2</f>
        <v>0.71721621711007266</v>
      </c>
      <c r="Q87" s="57">
        <f>ABS(Table2234210234[[#This Row],[diff-bias]])</f>
        <v>1.4281764464143016</v>
      </c>
      <c r="R87" s="57">
        <f ca="1">CELL("row",Table2234210234[[#This Row],[Position]])</f>
        <v>87</v>
      </c>
      <c r="S87" s="4">
        <f>Table2234210234[[#This Row],[REF]]-D$13</f>
        <v>0.82999994999999949</v>
      </c>
      <c r="T87" s="4">
        <f>ABS(Table2234210234[[#This Row],[lab-med]])</f>
        <v>0.82999994999999949</v>
      </c>
      <c r="U87" s="4">
        <f>Table2234210234[[#This Row],[Y_pred]]-F$13</f>
        <v>2.2610442257987504</v>
      </c>
      <c r="V87" s="4">
        <f>ABS(Table2234210234[[#This Row],[anl-med]])</f>
        <v>2.2610442257987504</v>
      </c>
      <c r="W87" s="4">
        <f>Table2234210234[[#This Row],[lab-med]]*Table2234210234[[#This Row],[anl-med]]</f>
        <v>1.8766665943607503</v>
      </c>
    </row>
    <row r="88" spans="2:23" x14ac:dyDescent="0.25">
      <c r="B88" s="46">
        <f ca="1">VALUE((Table2234210234[[#This Row],[Column3]]-62))</f>
        <v>26</v>
      </c>
      <c r="C88" t="s">
        <v>94</v>
      </c>
      <c r="D88">
        <v>10</v>
      </c>
      <c r="E88"/>
      <c r="F88" s="87">
        <v>10.457967472385</v>
      </c>
      <c r="G88" s="29">
        <f>Table2234210234[[#This Row],[Y_pred]]-Table2234210234[[#This Row],[REF]]</f>
        <v>0.45796747238500046</v>
      </c>
      <c r="H88" s="29">
        <f>Table2234210234[[#This Row],[X-Y]]-E$20</f>
        <v>-0.31223779725759826</v>
      </c>
      <c r="I88" s="29">
        <f>Table2234210234[[#This Row],[Y_pred]]-E$20</f>
        <v>9.6877622027424017</v>
      </c>
      <c r="J88" s="29">
        <f>Table2234210234[[#This Row],[Y_pred]]*E$21+E$22</f>
        <v>10.447867247700865</v>
      </c>
      <c r="K88" s="56">
        <f>Table2234210234[[#This Row],[Yest]]-Table2234210234[[#This Row],[REF]]</f>
        <v>0.44786724770086472</v>
      </c>
      <c r="L88" s="56">
        <f>ABS(Table2234210234[[#This Row],[RESyx]])</f>
        <v>0.44786724770086472</v>
      </c>
      <c r="M88" s="29">
        <f>Table2234210234[[#This Row],[Y_pred]]*E$25+E$26</f>
        <v>10.070608939997374</v>
      </c>
      <c r="N88" s="29">
        <f>Table2234210234[[#This Row],[X-Y]]^2</f>
        <v>0.20973420576270616</v>
      </c>
      <c r="O88" s="57">
        <f>Table2234210234[[#This Row],[yest_rect]]-Table2234210234[[#This Row],[REF]]</f>
        <v>7.0608939997374165E-2</v>
      </c>
      <c r="P88" s="57">
        <f>Table2234210234[[#This Row],[dif rec]]^2</f>
        <v>4.9856224075527852E-3</v>
      </c>
      <c r="Q88" s="57">
        <f>ABS(Table2234210234[[#This Row],[diff-bias]])</f>
        <v>0.31223779725759826</v>
      </c>
      <c r="R88" s="57">
        <f ca="1">CELL("row",Table2234210234[[#This Row],[Position]])</f>
        <v>88</v>
      </c>
      <c r="S88" s="4">
        <f>Table2234210234[[#This Row],[REF]]-D$13</f>
        <v>-1.0100002500000009</v>
      </c>
      <c r="T88" s="4">
        <f>ABS(Table2234210234[[#This Row],[lab-med]])</f>
        <v>1.0100002500000009</v>
      </c>
      <c r="U88" s="4">
        <f>Table2234210234[[#This Row],[Y_pred]]-F$13</f>
        <v>-1.3193702178731499</v>
      </c>
      <c r="V88" s="4">
        <f>ABS(Table2234210234[[#This Row],[anl-med]])</f>
        <v>1.3193702178731499</v>
      </c>
      <c r="W88" s="4">
        <f>Table2234210234[[#This Row],[lab-med]]*Table2234210234[[#This Row],[anl-med]]</f>
        <v>1.332564249894437</v>
      </c>
    </row>
    <row r="89" spans="2:23" x14ac:dyDescent="0.25">
      <c r="B89" s="46">
        <f ca="1">VALUE((Table2234210234[[#This Row],[Column3]]-62))</f>
        <v>27</v>
      </c>
      <c r="C89" t="s">
        <v>95</v>
      </c>
      <c r="D89">
        <v>10.100000400000001</v>
      </c>
      <c r="E89"/>
      <c r="F89" s="87">
        <v>11.7257813319604</v>
      </c>
      <c r="G89" s="29">
        <f>Table2234210234[[#This Row],[Y_pred]]-Table2234210234[[#This Row],[REF]]</f>
        <v>1.6257809319603993</v>
      </c>
      <c r="H89" s="29">
        <f>Table2234210234[[#This Row],[X-Y]]-E$20</f>
        <v>0.85557566231780058</v>
      </c>
      <c r="I89" s="29">
        <f>Table2234210234[[#This Row],[Y_pred]]-E$20</f>
        <v>10.955576062317801</v>
      </c>
      <c r="J89" s="29">
        <f>Table2234210234[[#This Row],[Y_pred]]*E$21+E$22</f>
        <v>11.037868555519811</v>
      </c>
      <c r="K89" s="56">
        <f>Table2234210234[[#This Row],[Yest]]-Table2234210234[[#This Row],[REF]]</f>
        <v>0.93786815551981029</v>
      </c>
      <c r="L89" s="56">
        <f>ABS(Table2234210234[[#This Row],[RESyx]])</f>
        <v>0.93786815551981029</v>
      </c>
      <c r="M89" s="29">
        <f>Table2234210234[[#This Row],[Y_pred]]*E$25+E$26</f>
        <v>10.997024823554069</v>
      </c>
      <c r="N89" s="29">
        <f>Table2234210234[[#This Row],[X-Y]]^2</f>
        <v>2.6431636387260244</v>
      </c>
      <c r="O89" s="57">
        <f>Table2234210234[[#This Row],[yest_rect]]-Table2234210234[[#This Row],[REF]]</f>
        <v>0.89702442355406831</v>
      </c>
      <c r="P89" s="57">
        <f>Table2234210234[[#This Row],[dif rec]]^2</f>
        <v>0.80465281645250852</v>
      </c>
      <c r="Q89" s="57">
        <f>ABS(Table2234210234[[#This Row],[diff-bias]])</f>
        <v>0.85557566231780058</v>
      </c>
      <c r="R89" s="57">
        <f ca="1">CELL("row",Table2234210234[[#This Row],[Position]])</f>
        <v>89</v>
      </c>
      <c r="S89" s="4">
        <f>Table2234210234[[#This Row],[REF]]-D$13</f>
        <v>-0.90999985000000017</v>
      </c>
      <c r="T89" s="4">
        <f>ABS(Table2234210234[[#This Row],[lab-med]])</f>
        <v>0.90999985000000017</v>
      </c>
      <c r="U89" s="4">
        <f>Table2234210234[[#This Row],[Y_pred]]-F$13</f>
        <v>-5.1556358297750293E-2</v>
      </c>
      <c r="V89" s="4">
        <f>ABS(Table2234210234[[#This Row],[anl-med]])</f>
        <v>5.1556358297750293E-2</v>
      </c>
      <c r="W89" s="4">
        <f>Table2234210234[[#This Row],[lab-med]]*Table2234210234[[#This Row],[anl-med]]</f>
        <v>4.6916278317499033E-2</v>
      </c>
    </row>
    <row r="90" spans="2:23" x14ac:dyDescent="0.25">
      <c r="B90" s="46">
        <f ca="1">VALUE((Table2234210234[[#This Row],[Column3]]-62))</f>
        <v>28</v>
      </c>
      <c r="C90" t="s">
        <v>96</v>
      </c>
      <c r="D90">
        <v>11.399999599999999</v>
      </c>
      <c r="E90"/>
      <c r="F90" s="87">
        <v>13.3201508099317</v>
      </c>
      <c r="G90" s="29">
        <f>Table2234210234[[#This Row],[Y_pred]]-Table2234210234[[#This Row],[REF]]</f>
        <v>1.9201512099317011</v>
      </c>
      <c r="H90" s="29">
        <f>Table2234210234[[#This Row],[X-Y]]-E$20</f>
        <v>1.1499459402891024</v>
      </c>
      <c r="I90" s="29">
        <f>Table2234210234[[#This Row],[Y_pred]]-E$20</f>
        <v>12.549945540289102</v>
      </c>
      <c r="J90" s="29">
        <f>Table2234210234[[#This Row],[Y_pred]]*E$21+E$22</f>
        <v>11.779838735168045</v>
      </c>
      <c r="K90" s="56">
        <f>Table2234210234[[#This Row],[Yest]]-Table2234210234[[#This Row],[REF]]</f>
        <v>0.37983913516804613</v>
      </c>
      <c r="L90" s="56">
        <f>ABS(Table2234210234[[#This Row],[RESyx]])</f>
        <v>0.37983913516804613</v>
      </c>
      <c r="M90" s="29">
        <f>Table2234210234[[#This Row],[Y_pred]]*E$25+E$26</f>
        <v>12.162061155579408</v>
      </c>
      <c r="N90" s="29">
        <f>Table2234210234[[#This Row],[X-Y]]^2</f>
        <v>3.6869806690021756</v>
      </c>
      <c r="O90" s="57">
        <f>Table2234210234[[#This Row],[yest_rect]]-Table2234210234[[#This Row],[REF]]</f>
        <v>0.76206155557940924</v>
      </c>
      <c r="P90" s="57">
        <f>Table2234210234[[#This Row],[dif rec]]^2</f>
        <v>0.58073781449210904</v>
      </c>
      <c r="Q90" s="57">
        <f>ABS(Table2234210234[[#This Row],[diff-bias]])</f>
        <v>1.1499459402891024</v>
      </c>
      <c r="R90" s="57">
        <f ca="1">CELL("row",Table2234210234[[#This Row],[Position]])</f>
        <v>90</v>
      </c>
      <c r="S90" s="4">
        <f>Table2234210234[[#This Row],[REF]]-D$13</f>
        <v>0.3899993499999983</v>
      </c>
      <c r="T90" s="4">
        <f>ABS(Table2234210234[[#This Row],[lab-med]])</f>
        <v>0.3899993499999983</v>
      </c>
      <c r="U90" s="4">
        <f>Table2234210234[[#This Row],[Y_pred]]-F$13</f>
        <v>1.5428131196735499</v>
      </c>
      <c r="V90" s="4">
        <f>ABS(Table2234210234[[#This Row],[anl-med]])</f>
        <v>1.5428131196735499</v>
      </c>
      <c r="W90" s="4">
        <f>Table2234210234[[#This Row],[lab-med]]*Table2234210234[[#This Row],[anl-med]]</f>
        <v>0.60169611384415411</v>
      </c>
    </row>
    <row r="91" spans="2:23" x14ac:dyDescent="0.25">
      <c r="B91" s="46">
        <f ca="1">VALUE((Table2234210234[[#This Row],[Column3]]-62))</f>
        <v>29</v>
      </c>
      <c r="C91" t="s">
        <v>97</v>
      </c>
      <c r="D91">
        <v>10.279999699999999</v>
      </c>
      <c r="E91"/>
      <c r="F91" s="87">
        <v>11.3042455720141</v>
      </c>
      <c r="G91" s="29">
        <f>Table2234210234[[#This Row],[Y_pred]]-Table2234210234[[#This Row],[REF]]</f>
        <v>1.0242458720141006</v>
      </c>
      <c r="H91" s="29">
        <f>Table2234210234[[#This Row],[X-Y]]-E$20</f>
        <v>0.25404060237150183</v>
      </c>
      <c r="I91" s="29">
        <f>Table2234210234[[#This Row],[Y_pred]]-E$20</f>
        <v>10.534040302371501</v>
      </c>
      <c r="J91" s="29">
        <f>Table2234210234[[#This Row],[Y_pred]]*E$21+E$22</f>
        <v>10.841698867215516</v>
      </c>
      <c r="K91" s="56">
        <f>Table2234210234[[#This Row],[Yest]]-Table2234210234[[#This Row],[REF]]</f>
        <v>0.56169916721551694</v>
      </c>
      <c r="L91" s="56">
        <f>ABS(Table2234210234[[#This Row],[RESyx]])</f>
        <v>0.56169916721551694</v>
      </c>
      <c r="M91" s="29">
        <f>Table2234210234[[#This Row],[Y_pred]]*E$25+E$26</f>
        <v>10.689000565456606</v>
      </c>
      <c r="N91" s="29">
        <f>Table2234210234[[#This Row],[X-Y]]^2</f>
        <v>1.0490796063379253</v>
      </c>
      <c r="O91" s="57">
        <f>Table2234210234[[#This Row],[yest_rect]]-Table2234210234[[#This Row],[REF]]</f>
        <v>0.40900086545660663</v>
      </c>
      <c r="P91" s="57">
        <f>Table2234210234[[#This Row],[dif rec]]^2</f>
        <v>0.16728170794425323</v>
      </c>
      <c r="Q91" s="57">
        <f>ABS(Table2234210234[[#This Row],[diff-bias]])</f>
        <v>0.25404060237150183</v>
      </c>
      <c r="R91" s="57">
        <f ca="1">CELL("row",Table2234210234[[#This Row],[Position]])</f>
        <v>91</v>
      </c>
      <c r="S91" s="4">
        <f>Table2234210234[[#This Row],[REF]]-D$13</f>
        <v>-0.73000055000000152</v>
      </c>
      <c r="T91" s="4">
        <f>ABS(Table2234210234[[#This Row],[lab-med]])</f>
        <v>0.73000055000000152</v>
      </c>
      <c r="U91" s="4">
        <f>Table2234210234[[#This Row],[Y_pred]]-F$13</f>
        <v>-0.4730921182440504</v>
      </c>
      <c r="V91" s="4">
        <f>ABS(Table2234210234[[#This Row],[anl-med]])</f>
        <v>0.4730921182440504</v>
      </c>
      <c r="W91" s="4">
        <f>Table2234210234[[#This Row],[lab-med]]*Table2234210234[[#This Row],[anl-med]]</f>
        <v>0.34535750651882252</v>
      </c>
    </row>
    <row r="92" spans="2:23" x14ac:dyDescent="0.25">
      <c r="B92" s="46">
        <f ca="1">VALUE((Table2234210234[[#This Row],[Column3]]-62))</f>
        <v>30</v>
      </c>
      <c r="C92" t="s">
        <v>98</v>
      </c>
      <c r="D92">
        <v>12.21</v>
      </c>
      <c r="E92"/>
      <c r="F92" s="87">
        <v>12.4897868416296</v>
      </c>
      <c r="G92" s="29">
        <f>Table2234210234[[#This Row],[Y_pred]]-Table2234210234[[#This Row],[REF]]</f>
        <v>0.27978684162959944</v>
      </c>
      <c r="H92" s="29">
        <f>Table2234210234[[#This Row],[X-Y]]-E$20</f>
        <v>-0.49041842801299929</v>
      </c>
      <c r="I92" s="29">
        <f>Table2234210234[[#This Row],[Y_pred]]-E$20</f>
        <v>11.719581571987002</v>
      </c>
      <c r="J92" s="29">
        <f>Table2234210234[[#This Row],[Y_pred]]*E$21+E$22</f>
        <v>11.39341305953452</v>
      </c>
      <c r="K92" s="56">
        <f>Table2234210234[[#This Row],[Yest]]-Table2234210234[[#This Row],[REF]]</f>
        <v>-0.81658694046548064</v>
      </c>
      <c r="L92" s="56">
        <f>ABS(Table2234210234[[#This Row],[RESyx]])</f>
        <v>0.81658694046548064</v>
      </c>
      <c r="M92" s="29">
        <f>Table2234210234[[#This Row],[Y_pred]]*E$25+E$26</f>
        <v>11.555298290858978</v>
      </c>
      <c r="N92" s="29">
        <f>Table2234210234[[#This Row],[X-Y]]^2</f>
        <v>7.8280676749066552E-2</v>
      </c>
      <c r="O92" s="57">
        <f>Table2234210234[[#This Row],[yest_rect]]-Table2234210234[[#This Row],[REF]]</f>
        <v>-0.65470170914102255</v>
      </c>
      <c r="P92" s="57">
        <f>Table2234210234[[#This Row],[dif rec]]^2</f>
        <v>0.4286343279521761</v>
      </c>
      <c r="Q92" s="57">
        <f>ABS(Table2234210234[[#This Row],[diff-bias]])</f>
        <v>0.49041842801299929</v>
      </c>
      <c r="R92" s="57">
        <f ca="1">CELL("row",Table2234210234[[#This Row],[Position]])</f>
        <v>92</v>
      </c>
      <c r="S92" s="4">
        <f>Table2234210234[[#This Row],[REF]]-D$13</f>
        <v>1.1999997499999999</v>
      </c>
      <c r="T92" s="4">
        <f>ABS(Table2234210234[[#This Row],[lab-med]])</f>
        <v>1.1999997499999999</v>
      </c>
      <c r="U92" s="4">
        <f>Table2234210234[[#This Row],[Y_pred]]-F$13</f>
        <v>0.71244915137144993</v>
      </c>
      <c r="V92" s="4">
        <f>ABS(Table2234210234[[#This Row],[anl-med]])</f>
        <v>0.71244915137144993</v>
      </c>
      <c r="W92" s="4">
        <f>Table2234210234[[#This Row],[lab-med]]*Table2234210234[[#This Row],[anl-med]]</f>
        <v>0.85493880353345197</v>
      </c>
    </row>
    <row r="93" spans="2:23" x14ac:dyDescent="0.25">
      <c r="B93" s="46">
        <f ca="1">VALUE((Table2234210234[[#This Row],[Column3]]-62))</f>
        <v>31</v>
      </c>
      <c r="C93" t="s">
        <v>99</v>
      </c>
      <c r="D93">
        <v>11.9399996</v>
      </c>
      <c r="E93"/>
      <c r="F93" s="87">
        <v>12.9683058442589</v>
      </c>
      <c r="G93" s="29">
        <f>Table2234210234[[#This Row],[Y_pred]]-Table2234210234[[#This Row],[REF]]</f>
        <v>1.0283062442588999</v>
      </c>
      <c r="H93" s="29">
        <f>Table2234210234[[#This Row],[X-Y]]-E$20</f>
        <v>0.25810097461630122</v>
      </c>
      <c r="I93" s="29">
        <f>Table2234210234[[#This Row],[Y_pred]]-E$20</f>
        <v>12.198100574616301</v>
      </c>
      <c r="J93" s="29">
        <f>Table2234210234[[#This Row],[Y_pred]]*E$21+E$22</f>
        <v>11.616100984291913</v>
      </c>
      <c r="K93" s="56">
        <f>Table2234210234[[#This Row],[Yest]]-Table2234210234[[#This Row],[REF]]</f>
        <v>-0.32389861570808698</v>
      </c>
      <c r="L93" s="56">
        <f>ABS(Table2234210234[[#This Row],[RESyx]])</f>
        <v>0.32389861570808698</v>
      </c>
      <c r="M93" s="29">
        <f>Table2234210234[[#This Row],[Y_pred]]*E$25+E$26</f>
        <v>11.90496129641088</v>
      </c>
      <c r="N93" s="29">
        <f>Table2234210234[[#This Row],[X-Y]]^2</f>
        <v>1.0574137319818444</v>
      </c>
      <c r="O93" s="57">
        <f>Table2234210234[[#This Row],[yest_rect]]-Table2234210234[[#This Row],[REF]]</f>
        <v>-3.503830358912019E-2</v>
      </c>
      <c r="P93" s="57">
        <f>Table2234210234[[#This Row],[dif rec]]^2</f>
        <v>1.2276827184033528E-3</v>
      </c>
      <c r="Q93" s="57">
        <f>ABS(Table2234210234[[#This Row],[diff-bias]])</f>
        <v>0.25810097461630122</v>
      </c>
      <c r="R93" s="57">
        <f ca="1">CELL("row",Table2234210234[[#This Row],[Position]])</f>
        <v>93</v>
      </c>
      <c r="S93" s="4">
        <f>Table2234210234[[#This Row],[REF]]-D$13</f>
        <v>0.92999934999999923</v>
      </c>
      <c r="T93" s="4">
        <f>ABS(Table2234210234[[#This Row],[lab-med]])</f>
        <v>0.92999934999999923</v>
      </c>
      <c r="U93" s="4">
        <f>Table2234210234[[#This Row],[Y_pred]]-F$13</f>
        <v>1.1909681540007497</v>
      </c>
      <c r="V93" s="4">
        <f>ABS(Table2234210234[[#This Row],[anl-med]])</f>
        <v>1.1909681540007497</v>
      </c>
      <c r="W93" s="4">
        <f>Table2234210234[[#This Row],[lab-med]]*Table2234210234[[#This Row],[anl-med]]</f>
        <v>1.1075996090913962</v>
      </c>
    </row>
    <row r="94" spans="2:23" x14ac:dyDescent="0.25">
      <c r="B94" s="46">
        <f ca="1">VALUE((Table2234210234[[#This Row],[Column3]]-62))</f>
        <v>32</v>
      </c>
      <c r="C94" t="s">
        <v>100</v>
      </c>
      <c r="D94">
        <v>10.3699999</v>
      </c>
      <c r="E94"/>
      <c r="F94" s="87">
        <v>11.758745443748801</v>
      </c>
      <c r="G94" s="29">
        <f>Table2234210234[[#This Row],[Y_pred]]-Table2234210234[[#This Row],[REF]]</f>
        <v>1.3887455437488008</v>
      </c>
      <c r="H94" s="29">
        <f>Table2234210234[[#This Row],[X-Y]]-E$20</f>
        <v>0.61854027410620205</v>
      </c>
      <c r="I94" s="29">
        <f>Table2234210234[[#This Row],[Y_pred]]-E$20</f>
        <v>10.988540174106202</v>
      </c>
      <c r="J94" s="29">
        <f>Table2234210234[[#This Row],[Y_pred]]*E$21+E$22</f>
        <v>11.053209032293555</v>
      </c>
      <c r="K94" s="56">
        <f>Table2234210234[[#This Row],[Yest]]-Table2234210234[[#This Row],[REF]]</f>
        <v>0.6832091322935554</v>
      </c>
      <c r="L94" s="56">
        <f>ABS(Table2234210234[[#This Row],[RESyx]])</f>
        <v>0.6832091322935554</v>
      </c>
      <c r="M94" s="29">
        <f>Table2234210234[[#This Row],[Y_pred]]*E$25+E$26</f>
        <v>11.021112331761577</v>
      </c>
      <c r="N94" s="29">
        <f>Table2234210234[[#This Row],[X-Y]]^2</f>
        <v>1.9286141852821523</v>
      </c>
      <c r="O94" s="57">
        <f>Table2234210234[[#This Row],[yest_rect]]-Table2234210234[[#This Row],[REF]]</f>
        <v>0.65111243176157707</v>
      </c>
      <c r="P94" s="57">
        <f>Table2234210234[[#This Row],[dif rec]]^2</f>
        <v>0.42394739879447435</v>
      </c>
      <c r="Q94" s="57">
        <f>ABS(Table2234210234[[#This Row],[diff-bias]])</f>
        <v>0.61854027410620205</v>
      </c>
      <c r="R94" s="57">
        <f ca="1">CELL("row",Table2234210234[[#This Row],[Position]])</f>
        <v>94</v>
      </c>
      <c r="S94" s="4">
        <f>Table2234210234[[#This Row],[REF]]-D$13</f>
        <v>-0.64000035000000111</v>
      </c>
      <c r="T94" s="4">
        <f>ABS(Table2234210234[[#This Row],[lab-med]])</f>
        <v>0.64000035000000111</v>
      </c>
      <c r="U94" s="4">
        <f>Table2234210234[[#This Row],[Y_pred]]-F$13</f>
        <v>-1.8592246509349764E-2</v>
      </c>
      <c r="V94" s="4">
        <f>ABS(Table2234210234[[#This Row],[anl-med]])</f>
        <v>1.8592246509349764E-2</v>
      </c>
      <c r="W94" s="4">
        <f>Table2234210234[[#This Row],[lab-med]]*Table2234210234[[#This Row],[anl-med]]</f>
        <v>1.1899044273270147E-2</v>
      </c>
    </row>
    <row r="95" spans="2:23" x14ac:dyDescent="0.25">
      <c r="B95" s="46">
        <f ca="1">VALUE((Table2234210234[[#This Row],[Column3]]-62))</f>
        <v>33</v>
      </c>
      <c r="C95" t="s">
        <v>101</v>
      </c>
      <c r="D95">
        <v>10.3800001</v>
      </c>
      <c r="E95"/>
      <c r="F95" s="87">
        <v>11.622583729472201</v>
      </c>
      <c r="G95" s="29">
        <f>Table2234210234[[#This Row],[Y_pred]]-Table2234210234[[#This Row],[REF]]</f>
        <v>1.2425836294722004</v>
      </c>
      <c r="H95" s="29">
        <f>Table2234210234[[#This Row],[X-Y]]-E$20</f>
        <v>0.47237835982960164</v>
      </c>
      <c r="I95" s="29">
        <f>Table2234210234[[#This Row],[Y_pred]]-E$20</f>
        <v>10.852378459829602</v>
      </c>
      <c r="J95" s="29">
        <f>Table2234210234[[#This Row],[Y_pred]]*E$21+E$22</f>
        <v>10.989843587207659</v>
      </c>
      <c r="K95" s="56">
        <f>Table2234210234[[#This Row],[Yest]]-Table2234210234[[#This Row],[REF]]</f>
        <v>0.6098434872076588</v>
      </c>
      <c r="L95" s="56">
        <f>ABS(Table2234210234[[#This Row],[RESyx]])</f>
        <v>0.6098434872076588</v>
      </c>
      <c r="M95" s="29">
        <f>Table2234210234[[#This Row],[Y_pred]]*E$25+E$26</f>
        <v>10.921616357738705</v>
      </c>
      <c r="N95" s="29">
        <f>Table2234210234[[#This Row],[X-Y]]^2</f>
        <v>1.5440140762323065</v>
      </c>
      <c r="O95" s="57">
        <f>Table2234210234[[#This Row],[yest_rect]]-Table2234210234[[#This Row],[REF]]</f>
        <v>0.54161625773870448</v>
      </c>
      <c r="P95" s="57">
        <f>Table2234210234[[#This Row],[dif rec]]^2</f>
        <v>0.29334817064687874</v>
      </c>
      <c r="Q95" s="57">
        <f>ABS(Table2234210234[[#This Row],[diff-bias]])</f>
        <v>0.47237835982960164</v>
      </c>
      <c r="R95" s="57">
        <f ca="1">CELL("row",Table2234210234[[#This Row],[Position]])</f>
        <v>95</v>
      </c>
      <c r="S95" s="4">
        <f>Table2234210234[[#This Row],[REF]]-D$13</f>
        <v>-0.63000015000000076</v>
      </c>
      <c r="T95" s="4">
        <f>ABS(Table2234210234[[#This Row],[lab-med]])</f>
        <v>0.63000015000000076</v>
      </c>
      <c r="U95" s="4">
        <f>Table2234210234[[#This Row],[Y_pred]]-F$13</f>
        <v>-0.15475396078594983</v>
      </c>
      <c r="V95" s="4">
        <f>ABS(Table2234210234[[#This Row],[anl-med]])</f>
        <v>0.15475396078594983</v>
      </c>
      <c r="W95" s="4">
        <f>Table2234210234[[#This Row],[lab-med]]*Table2234210234[[#This Row],[anl-med]]</f>
        <v>9.7495018508242631E-2</v>
      </c>
    </row>
    <row r="96" spans="2:23" x14ac:dyDescent="0.25">
      <c r="B96" s="46">
        <f ca="1">VALUE((Table2234210234[[#This Row],[Column3]]-62))</f>
        <v>34</v>
      </c>
      <c r="C96" t="s">
        <v>102</v>
      </c>
      <c r="D96">
        <v>9.8800001000000002</v>
      </c>
      <c r="E96"/>
      <c r="F96" s="87">
        <v>12.263069342043</v>
      </c>
      <c r="G96" s="29">
        <f>Table2234210234[[#This Row],[Y_pred]]-Table2234210234[[#This Row],[REF]]</f>
        <v>2.3830692420429997</v>
      </c>
      <c r="H96" s="29">
        <f>Table2234210234[[#This Row],[X-Y]]-E$20</f>
        <v>1.612863972400401</v>
      </c>
      <c r="I96" s="29">
        <f>Table2234210234[[#This Row],[Y_pred]]-E$20</f>
        <v>11.492864072400401</v>
      </c>
      <c r="J96" s="29">
        <f>Table2234210234[[#This Row],[Y_pred]]*E$21+E$22</f>
        <v>11.287905756351755</v>
      </c>
      <c r="K96" s="56">
        <f>Table2234210234[[#This Row],[Yest]]-Table2234210234[[#This Row],[REF]]</f>
        <v>1.4079056563517547</v>
      </c>
      <c r="L96" s="56">
        <f>ABS(Table2234210234[[#This Row],[RESyx]])</f>
        <v>1.4079056563517547</v>
      </c>
      <c r="M96" s="29">
        <f>Table2234210234[[#This Row],[Y_pred]]*E$25+E$26</f>
        <v>11.389631469100438</v>
      </c>
      <c r="N96" s="29">
        <f>Table2234210234[[#This Row],[X-Y]]^2</f>
        <v>5.6790190123713975</v>
      </c>
      <c r="O96" s="57">
        <f>Table2234210234[[#This Row],[yest_rect]]-Table2234210234[[#This Row],[REF]]</f>
        <v>1.5096313691004379</v>
      </c>
      <c r="P96" s="57">
        <f>Table2234210234[[#This Row],[dif rec]]^2</f>
        <v>2.2789868705720626</v>
      </c>
      <c r="Q96" s="57">
        <f>ABS(Table2234210234[[#This Row],[diff-bias]])</f>
        <v>1.612863972400401</v>
      </c>
      <c r="R96" s="57">
        <f ca="1">CELL("row",Table2234210234[[#This Row],[Position]])</f>
        <v>96</v>
      </c>
      <c r="S96" s="4">
        <f>Table2234210234[[#This Row],[REF]]-D$13</f>
        <v>-1.1300001500000008</v>
      </c>
      <c r="T96" s="4">
        <f>ABS(Table2234210234[[#This Row],[lab-med]])</f>
        <v>1.1300001500000008</v>
      </c>
      <c r="U96" s="4">
        <f>Table2234210234[[#This Row],[Y_pred]]-F$13</f>
        <v>0.48573165178484956</v>
      </c>
      <c r="V96" s="4">
        <f>ABS(Table2234210234[[#This Row],[anl-med]])</f>
        <v>0.48573165178484956</v>
      </c>
      <c r="W96" s="4">
        <f>Table2234210234[[#This Row],[lab-med]]*Table2234210234[[#This Row],[anl-med]]</f>
        <v>-0.54887683937662812</v>
      </c>
    </row>
    <row r="97" spans="2:23" x14ac:dyDescent="0.25">
      <c r="B97" s="46">
        <f ca="1">VALUE((Table2234210234[[#This Row],[Column3]]-62))</f>
        <v>35</v>
      </c>
      <c r="C97" t="s">
        <v>103</v>
      </c>
      <c r="D97">
        <v>12.079999900000001</v>
      </c>
      <c r="E97"/>
      <c r="F97" s="87">
        <v>11.7959299367675</v>
      </c>
      <c r="G97" s="29">
        <f>Table2234210234[[#This Row],[Y_pred]]-Table2234210234[[#This Row],[REF]]</f>
        <v>-0.28406996323250056</v>
      </c>
      <c r="H97" s="29">
        <f>Table2234210234[[#This Row],[X-Y]]-E$20</f>
        <v>-1.0542752328750993</v>
      </c>
      <c r="I97" s="29">
        <f>Table2234210234[[#This Row],[Y_pred]]-E$20</f>
        <v>11.025724667124901</v>
      </c>
      <c r="J97" s="29">
        <f>Table2234210234[[#This Row],[Y_pred]]*E$21+E$22</f>
        <v>11.070513543792558</v>
      </c>
      <c r="K97" s="56">
        <f>Table2234210234[[#This Row],[Yest]]-Table2234210234[[#This Row],[REF]]</f>
        <v>-1.009486356207443</v>
      </c>
      <c r="L97" s="56">
        <f>ABS(Table2234210234[[#This Row],[RESyx]])</f>
        <v>1.009486356207443</v>
      </c>
      <c r="M97" s="29">
        <f>Table2234210234[[#This Row],[Y_pred]]*E$25+E$26</f>
        <v>11.048283753413381</v>
      </c>
      <c r="N97" s="29">
        <f>Table2234210234[[#This Row],[X-Y]]^2</f>
        <v>8.0695744010914214E-2</v>
      </c>
      <c r="O97" s="57">
        <f>Table2234210234[[#This Row],[yest_rect]]-Table2234210234[[#This Row],[REF]]</f>
        <v>-1.0317161465866196</v>
      </c>
      <c r="P97" s="57">
        <f>Table2234210234[[#This Row],[dif rec]]^2</f>
        <v>1.0644382071275431</v>
      </c>
      <c r="Q97" s="57">
        <f>ABS(Table2234210234[[#This Row],[diff-bias]])</f>
        <v>1.0542752328750993</v>
      </c>
      <c r="R97" s="57">
        <f ca="1">CELL("row",Table2234210234[[#This Row],[Position]])</f>
        <v>97</v>
      </c>
      <c r="S97" s="4">
        <f>Table2234210234[[#This Row],[REF]]-D$13</f>
        <v>1.0699996499999997</v>
      </c>
      <c r="T97" s="4">
        <f>ABS(Table2234210234[[#This Row],[lab-med]])</f>
        <v>1.0699996499999997</v>
      </c>
      <c r="U97" s="4">
        <f>Table2234210234[[#This Row],[Y_pred]]-F$13</f>
        <v>1.8592246509349764E-2</v>
      </c>
      <c r="V97" s="4">
        <f>ABS(Table2234210234[[#This Row],[anl-med]])</f>
        <v>1.8592246509349764E-2</v>
      </c>
      <c r="W97" s="4">
        <f>Table2234210234[[#This Row],[lab-med]]*Table2234210234[[#This Row],[anl-med]]</f>
        <v>1.9893697257717963E-2</v>
      </c>
    </row>
    <row r="98" spans="2:23" x14ac:dyDescent="0.25">
      <c r="B98" s="46">
        <f ca="1">VALUE((Table2234210234[[#This Row],[Column3]]-62))</f>
        <v>36</v>
      </c>
      <c r="C98" t="s">
        <v>104</v>
      </c>
      <c r="D98">
        <v>9.0799999000000007</v>
      </c>
      <c r="E98"/>
      <c r="F98" s="87">
        <v>8.0820684470731692</v>
      </c>
      <c r="G98" s="29">
        <f>Table2234210234[[#This Row],[Y_pred]]-Table2234210234[[#This Row],[REF]]</f>
        <v>-0.9979314529268315</v>
      </c>
      <c r="H98" s="29">
        <f>Table2234210234[[#This Row],[X-Y]]-E$20</f>
        <v>-1.7681367225694302</v>
      </c>
      <c r="I98" s="29">
        <f>Table2234210234[[#This Row],[Y_pred]]-E$20</f>
        <v>7.3118631774305705</v>
      </c>
      <c r="J98" s="29">
        <f>Table2234210234[[#This Row],[Y_pred]]*E$21+E$22</f>
        <v>9.3421974196006961</v>
      </c>
      <c r="K98" s="56">
        <f>Table2234210234[[#This Row],[Yest]]-Table2234210234[[#This Row],[REF]]</f>
        <v>0.26219751960069537</v>
      </c>
      <c r="L98" s="56">
        <f>ABS(Table2234210234[[#This Row],[RESyx]])</f>
        <v>0.26219751960069537</v>
      </c>
      <c r="M98" s="29">
        <f>Table2234210234[[#This Row],[Y_pred]]*E$25+E$26</f>
        <v>8.3344939905103033</v>
      </c>
      <c r="N98" s="29">
        <f>Table2234210234[[#This Row],[X-Y]]^2</f>
        <v>0.99586718474065694</v>
      </c>
      <c r="O98" s="57">
        <f>Table2234210234[[#This Row],[yest_rect]]-Table2234210234[[#This Row],[REF]]</f>
        <v>-0.74550590948969742</v>
      </c>
      <c r="P98" s="57">
        <f>Table2234210234[[#This Row],[dif rec]]^2</f>
        <v>0.55577906108406094</v>
      </c>
      <c r="Q98" s="57">
        <f>ABS(Table2234210234[[#This Row],[diff-bias]])</f>
        <v>1.7681367225694302</v>
      </c>
      <c r="R98" s="57">
        <f ca="1">CELL("row",Table2234210234[[#This Row],[Position]])</f>
        <v>98</v>
      </c>
      <c r="S98" s="4">
        <f>Table2234210234[[#This Row],[REF]]-D$13</f>
        <v>-1.9300003500000003</v>
      </c>
      <c r="T98" s="4">
        <f>ABS(Table2234210234[[#This Row],[lab-med]])</f>
        <v>1.9300003500000003</v>
      </c>
      <c r="U98" s="4">
        <f>Table2234210234[[#This Row],[Y_pred]]-F$13</f>
        <v>-3.6952692431849812</v>
      </c>
      <c r="V98" s="4">
        <f>ABS(Table2234210234[[#This Row],[anl-med]])</f>
        <v>3.6952692431849812</v>
      </c>
      <c r="W98" s="4">
        <f>Table2234210234[[#This Row],[lab-med]]*Table2234210234[[#This Row],[anl-med]]</f>
        <v>7.1318709326912497</v>
      </c>
    </row>
    <row r="99" spans="2:23" x14ac:dyDescent="0.25">
      <c r="B99" s="46">
        <f ca="1">VALUE((Table2234210234[[#This Row],[Column3]]-62))</f>
        <v>37</v>
      </c>
      <c r="C99" t="s">
        <v>105</v>
      </c>
      <c r="D99">
        <v>10.800000199999999</v>
      </c>
      <c r="E99"/>
      <c r="F99" s="87">
        <v>9.4566882176730491</v>
      </c>
      <c r="G99" s="29">
        <f>Table2234210234[[#This Row],[Y_pred]]-Table2234210234[[#This Row],[REF]]</f>
        <v>-1.3433119823269504</v>
      </c>
      <c r="H99" s="29">
        <f>Table2234210234[[#This Row],[X-Y]]-E$20</f>
        <v>-2.1135172519695491</v>
      </c>
      <c r="I99" s="29">
        <f>Table2234210234[[#This Row],[Y_pred]]-E$20</f>
        <v>8.6864829480304504</v>
      </c>
      <c r="J99" s="29">
        <f>Table2234210234[[#This Row],[Y_pred]]*E$21+E$22</f>
        <v>9.9819028907802974</v>
      </c>
      <c r="K99" s="56">
        <f>Table2234210234[[#This Row],[Yest]]-Table2234210234[[#This Row],[REF]]</f>
        <v>-0.81809730921970214</v>
      </c>
      <c r="L99" s="56">
        <f>ABS(Table2234210234[[#This Row],[RESyx]])</f>
        <v>0.81809730921970214</v>
      </c>
      <c r="M99" s="29">
        <f>Table2234210234[[#This Row],[Y_pred]]*E$25+E$26</f>
        <v>9.3389550000793928</v>
      </c>
      <c r="N99" s="29">
        <f>Table2234210234[[#This Row],[X-Y]]^2</f>
        <v>1.8044870818631611</v>
      </c>
      <c r="O99" s="57">
        <f>Table2234210234[[#This Row],[yest_rect]]-Table2234210234[[#This Row],[REF]]</f>
        <v>-1.4610451999206067</v>
      </c>
      <c r="P99" s="57">
        <f>Table2234210234[[#This Row],[dif rec]]^2</f>
        <v>2.1346530762110456</v>
      </c>
      <c r="Q99" s="57">
        <f>ABS(Table2234210234[[#This Row],[diff-bias]])</f>
        <v>2.1135172519695491</v>
      </c>
      <c r="R99" s="57">
        <f ca="1">CELL("row",Table2234210234[[#This Row],[Position]])</f>
        <v>99</v>
      </c>
      <c r="S99" s="4">
        <f>Table2234210234[[#This Row],[REF]]-D$13</f>
        <v>-0.21000005000000144</v>
      </c>
      <c r="T99" s="4">
        <f>ABS(Table2234210234[[#This Row],[lab-med]])</f>
        <v>0.21000005000000144</v>
      </c>
      <c r="U99" s="4">
        <f>Table2234210234[[#This Row],[Y_pred]]-F$13</f>
        <v>-2.3206494725851012</v>
      </c>
      <c r="V99" s="4">
        <f>ABS(Table2234210234[[#This Row],[anl-med]])</f>
        <v>2.3206494725851012</v>
      </c>
      <c r="W99" s="4">
        <f>Table2234210234[[#This Row],[lab-med]]*Table2234210234[[#This Row],[anl-med]]</f>
        <v>0.48733650527534822</v>
      </c>
    </row>
    <row r="100" spans="2:23" x14ac:dyDescent="0.25">
      <c r="B100" s="46">
        <f ca="1">VALUE((Table2234210234[[#This Row],[Column3]]-62))</f>
        <v>38</v>
      </c>
      <c r="C100" t="s">
        <v>106</v>
      </c>
      <c r="D100">
        <v>9.3599996999999995</v>
      </c>
      <c r="E100"/>
      <c r="F100" s="87">
        <v>11.2950739186787</v>
      </c>
      <c r="G100" s="29">
        <f>Table2234210234[[#This Row],[Y_pred]]-Table2234210234[[#This Row],[REF]]</f>
        <v>1.9350742186787002</v>
      </c>
      <c r="H100" s="29">
        <f>Table2234210234[[#This Row],[X-Y]]-E$20</f>
        <v>1.1648689490361015</v>
      </c>
      <c r="I100" s="29">
        <f>Table2234210234[[#This Row],[Y_pred]]-E$20</f>
        <v>10.524868649036101</v>
      </c>
      <c r="J100" s="29">
        <f>Table2234210234[[#This Row],[Y_pred]]*E$21+E$22</f>
        <v>10.837430663786538</v>
      </c>
      <c r="K100" s="56">
        <f>Table2234210234[[#This Row],[Yest]]-Table2234210234[[#This Row],[REF]]</f>
        <v>1.4774309637865386</v>
      </c>
      <c r="L100" s="56">
        <f>ABS(Table2234210234[[#This Row],[RESyx]])</f>
        <v>1.4774309637865386</v>
      </c>
      <c r="M100" s="29">
        <f>Table2234210234[[#This Row],[Y_pred]]*E$25+E$26</f>
        <v>10.682298662599008</v>
      </c>
      <c r="N100" s="29">
        <f>Table2234210234[[#This Row],[X-Y]]^2</f>
        <v>3.7445122317949822</v>
      </c>
      <c r="O100" s="57">
        <f>Table2234210234[[#This Row],[yest_rect]]-Table2234210234[[#This Row],[REF]]</f>
        <v>1.3222989625990085</v>
      </c>
      <c r="P100" s="57">
        <f>Table2234210234[[#This Row],[dif rec]]^2</f>
        <v>1.7484745464904141</v>
      </c>
      <c r="Q100" s="57">
        <f>ABS(Table2234210234[[#This Row],[diff-bias]])</f>
        <v>1.1648689490361015</v>
      </c>
      <c r="R100" s="57">
        <f ca="1">CELL("row",Table2234210234[[#This Row],[Position]])</f>
        <v>100</v>
      </c>
      <c r="S100" s="4">
        <f>Table2234210234[[#This Row],[REF]]-D$13</f>
        <v>-1.6500005500000015</v>
      </c>
      <c r="T100" s="4">
        <f>ABS(Table2234210234[[#This Row],[lab-med]])</f>
        <v>1.6500005500000015</v>
      </c>
      <c r="U100" s="4">
        <f>Table2234210234[[#This Row],[Y_pred]]-F$13</f>
        <v>-0.48226377157945066</v>
      </c>
      <c r="V100" s="4">
        <f>ABS(Table2234210234[[#This Row],[anl-med]])</f>
        <v>0.48226377157945066</v>
      </c>
      <c r="W100" s="4">
        <f>Table2234210234[[#This Row],[lab-med]]*Table2234210234[[#This Row],[anl-med]]</f>
        <v>0.7957354883511687</v>
      </c>
    </row>
    <row r="101" spans="2:23" x14ac:dyDescent="0.25">
      <c r="B101" s="46">
        <f ca="1">VALUE((Table2234210234[[#This Row],[Column3]]-62))</f>
        <v>39</v>
      </c>
      <c r="C101" t="s">
        <v>107</v>
      </c>
      <c r="D101">
        <v>12.449999800000001</v>
      </c>
      <c r="E101"/>
      <c r="F101" s="87">
        <v>12.5192361111085</v>
      </c>
      <c r="G101" s="29">
        <f>Table2234210234[[#This Row],[Y_pred]]-Table2234210234[[#This Row],[REF]]</f>
        <v>6.9236311108499038E-2</v>
      </c>
      <c r="H101" s="29">
        <f>Table2234210234[[#This Row],[X-Y]]-E$20</f>
        <v>-0.70096895853409968</v>
      </c>
      <c r="I101" s="29">
        <f>Table2234210234[[#This Row],[Y_pred]]-E$20</f>
        <v>11.749030841465901</v>
      </c>
      <c r="J101" s="29">
        <f>Table2234210234[[#This Row],[Y_pred]]*E$21+E$22</f>
        <v>11.407117837547187</v>
      </c>
      <c r="K101" s="56">
        <f>Table2234210234[[#This Row],[Yest]]-Table2234210234[[#This Row],[REF]]</f>
        <v>-1.0428819624528138</v>
      </c>
      <c r="L101" s="56">
        <f>ABS(Table2234210234[[#This Row],[RESyx]])</f>
        <v>1.0428819624528138</v>
      </c>
      <c r="M101" s="29">
        <f>Table2234210234[[#This Row],[Y_pred]]*E$25+E$26</f>
        <v>11.576817436432549</v>
      </c>
      <c r="N101" s="29">
        <f>Table2234210234[[#This Row],[X-Y]]^2</f>
        <v>4.7936667759128672E-3</v>
      </c>
      <c r="O101" s="57">
        <f>Table2234210234[[#This Row],[yest_rect]]-Table2234210234[[#This Row],[REF]]</f>
        <v>-0.8731823635674516</v>
      </c>
      <c r="P101" s="57">
        <f>Table2234210234[[#This Row],[dif rec]]^2</f>
        <v>0.76244744004524123</v>
      </c>
      <c r="Q101" s="57">
        <f>ABS(Table2234210234[[#This Row],[diff-bias]])</f>
        <v>0.70096895853409968</v>
      </c>
      <c r="R101" s="57">
        <f ca="1">CELL("row",Table2234210234[[#This Row],[Position]])</f>
        <v>101</v>
      </c>
      <c r="S101" s="4">
        <f>Table2234210234[[#This Row],[REF]]-D$13</f>
        <v>1.4399995499999996</v>
      </c>
      <c r="T101" s="4">
        <f>ABS(Table2234210234[[#This Row],[lab-med]])</f>
        <v>1.4399995499999996</v>
      </c>
      <c r="U101" s="4">
        <f>Table2234210234[[#This Row],[Y_pred]]-F$13</f>
        <v>0.74189842085034918</v>
      </c>
      <c r="V101" s="4">
        <f>ABS(Table2234210234[[#This Row],[anl-med]])</f>
        <v>0.74189842085034918</v>
      </c>
      <c r="W101" s="4">
        <f>Table2234210234[[#This Row],[lab-med]]*Table2234210234[[#This Row],[anl-med]]</f>
        <v>1.0683333921702132</v>
      </c>
    </row>
    <row r="102" spans="2:23" x14ac:dyDescent="0.25">
      <c r="B102" s="46">
        <f ca="1">VALUE((Table2234210234[[#This Row],[Column3]]-62))</f>
        <v>40</v>
      </c>
      <c r="C102" t="s">
        <v>108</v>
      </c>
      <c r="D102">
        <v>10.920000099999999</v>
      </c>
      <c r="E102"/>
      <c r="F102" s="87">
        <v>10.4499904386421</v>
      </c>
      <c r="G102" s="29">
        <f>Table2234210234[[#This Row],[Y_pred]]-Table2234210234[[#This Row],[REF]]</f>
        <v>-0.47000966135789923</v>
      </c>
      <c r="H102" s="29">
        <f>Table2234210234[[#This Row],[X-Y]]-E$20</f>
        <v>-1.240214931000498</v>
      </c>
      <c r="I102" s="29">
        <f>Table2234210234[[#This Row],[Y_pred]]-E$20</f>
        <v>9.6797851689995014</v>
      </c>
      <c r="J102" s="29">
        <f>Table2234210234[[#This Row],[Y_pred]]*E$21+E$22</f>
        <v>10.444154983234531</v>
      </c>
      <c r="K102" s="56">
        <f>Table2234210234[[#This Row],[Yest]]-Table2234210234[[#This Row],[REF]]</f>
        <v>-0.47584511676546803</v>
      </c>
      <c r="L102" s="56">
        <f>ABS(Table2234210234[[#This Row],[RESyx]])</f>
        <v>0.47584511676546803</v>
      </c>
      <c r="M102" s="29">
        <f>Table2234210234[[#This Row],[Y_pred]]*E$25+E$26</f>
        <v>10.064779968569686</v>
      </c>
      <c r="N102" s="29">
        <f>Table2234210234[[#This Row],[X-Y]]^2</f>
        <v>0.22090908176976712</v>
      </c>
      <c r="O102" s="57">
        <f>Table2234210234[[#This Row],[yest_rect]]-Table2234210234[[#This Row],[REF]]</f>
        <v>-0.85522013143031295</v>
      </c>
      <c r="P102" s="57">
        <f>Table2234210234[[#This Row],[dif rec]]^2</f>
        <v>0.73140147320368176</v>
      </c>
      <c r="Q102" s="57">
        <f>ABS(Table2234210234[[#This Row],[diff-bias]])</f>
        <v>1.240214931000498</v>
      </c>
      <c r="R102" s="57">
        <f ca="1">CELL("row",Table2234210234[[#This Row],[Position]])</f>
        <v>102</v>
      </c>
      <c r="S102" s="4">
        <f>Table2234210234[[#This Row],[REF]]-D$13</f>
        <v>-9.0000150000001611E-2</v>
      </c>
      <c r="T102" s="4">
        <f>ABS(Table2234210234[[#This Row],[lab-med]])</f>
        <v>9.0000150000001611E-2</v>
      </c>
      <c r="U102" s="4">
        <f>Table2234210234[[#This Row],[Y_pred]]-F$13</f>
        <v>-1.3273472516160503</v>
      </c>
      <c r="V102" s="4">
        <f>ABS(Table2234210234[[#This Row],[anl-med]])</f>
        <v>1.3273472516160503</v>
      </c>
      <c r="W102" s="4">
        <f>Table2234210234[[#This Row],[lab-med]]*Table2234210234[[#This Row],[anl-med]]</f>
        <v>0.11946145174753441</v>
      </c>
    </row>
    <row r="103" spans="2:23" x14ac:dyDescent="0.25">
      <c r="B103" s="46">
        <f ca="1">VALUE((Table2234210234[[#This Row],[Column3]]-62))</f>
        <v>41</v>
      </c>
      <c r="C103" t="s">
        <v>109</v>
      </c>
      <c r="D103">
        <v>10.949999800000001</v>
      </c>
      <c r="E103"/>
      <c r="F103" s="87">
        <v>12.3424716213637</v>
      </c>
      <c r="G103" s="29">
        <f>Table2234210234[[#This Row],[Y_pred]]-Table2234210234[[#This Row],[REF]]</f>
        <v>1.3924718213636993</v>
      </c>
      <c r="H103" s="29">
        <f>Table2234210234[[#This Row],[X-Y]]-E$20</f>
        <v>0.62226655172110057</v>
      </c>
      <c r="I103" s="29">
        <f>Table2234210234[[#This Row],[Y_pred]]-E$20</f>
        <v>11.572266351721101</v>
      </c>
      <c r="J103" s="29">
        <f>Table2234210234[[#This Row],[Y_pred]]*E$21+E$22</f>
        <v>11.324857118169732</v>
      </c>
      <c r="K103" s="56">
        <f>Table2234210234[[#This Row],[Yest]]-Table2234210234[[#This Row],[REF]]</f>
        <v>0.374857318169731</v>
      </c>
      <c r="L103" s="56">
        <f>ABS(Table2234210234[[#This Row],[RESyx]])</f>
        <v>0.374857318169731</v>
      </c>
      <c r="M103" s="29">
        <f>Table2234210234[[#This Row],[Y_pred]]*E$25+E$26</f>
        <v>11.44765223626411</v>
      </c>
      <c r="N103" s="29">
        <f>Table2234210234[[#This Row],[X-Y]]^2</f>
        <v>1.938977773291938</v>
      </c>
      <c r="O103" s="57">
        <f>Table2234210234[[#This Row],[yest_rect]]-Table2234210234[[#This Row],[REF]]</f>
        <v>0.49765243626410971</v>
      </c>
      <c r="P103" s="57">
        <f>Table2234210234[[#This Row],[dif rec]]^2</f>
        <v>0.24765794731960378</v>
      </c>
      <c r="Q103" s="57">
        <f>ABS(Table2234210234[[#This Row],[diff-bias]])</f>
        <v>0.62226655172110057</v>
      </c>
      <c r="R103" s="57">
        <f ca="1">CELL("row",Table2234210234[[#This Row],[Position]])</f>
        <v>103</v>
      </c>
      <c r="S103" s="4">
        <f>Table2234210234[[#This Row],[REF]]-D$13</f>
        <v>-6.0000450000000427E-2</v>
      </c>
      <c r="T103" s="4">
        <f>ABS(Table2234210234[[#This Row],[lab-med]])</f>
        <v>6.0000450000000427E-2</v>
      </c>
      <c r="U103" s="4">
        <f>Table2234210234[[#This Row],[Y_pred]]-F$13</f>
        <v>0.56513393110554944</v>
      </c>
      <c r="V103" s="4">
        <f>ABS(Table2234210234[[#This Row],[anl-med]])</f>
        <v>0.56513393110554944</v>
      </c>
      <c r="W103" s="4">
        <f>Table2234210234[[#This Row],[lab-med]]*Table2234210234[[#This Row],[anl-med]]</f>
        <v>-3.3908290176602206E-2</v>
      </c>
    </row>
    <row r="104" spans="2:23" x14ac:dyDescent="0.25">
      <c r="B104" s="46">
        <f ca="1">VALUE((Table2234210234[[#This Row],[Column3]]-62))</f>
        <v>42</v>
      </c>
      <c r="C104" t="s">
        <v>110</v>
      </c>
      <c r="D104">
        <v>10.9899998</v>
      </c>
      <c r="E104"/>
      <c r="F104" s="87">
        <v>11.261041418738399</v>
      </c>
      <c r="G104" s="29">
        <f>Table2234210234[[#This Row],[Y_pred]]-Table2234210234[[#This Row],[REF]]</f>
        <v>0.27104161873839949</v>
      </c>
      <c r="H104" s="29">
        <f>Table2234210234[[#This Row],[X-Y]]-E$20</f>
        <v>-0.49916365090419923</v>
      </c>
      <c r="I104" s="29">
        <f>Table2234210234[[#This Row],[Y_pred]]-E$20</f>
        <v>10.4908361490958</v>
      </c>
      <c r="J104" s="29">
        <f>Table2234210234[[#This Row],[Y_pred]]*E$21+E$22</f>
        <v>10.821592992253391</v>
      </c>
      <c r="K104" s="56">
        <f>Table2234210234[[#This Row],[Yest]]-Table2234210234[[#This Row],[REF]]</f>
        <v>-0.16840680774660832</v>
      </c>
      <c r="L104" s="56">
        <f>ABS(Table2234210234[[#This Row],[RESyx]])</f>
        <v>0.16840680774660832</v>
      </c>
      <c r="M104" s="29">
        <f>Table2234210234[[#This Row],[Y_pred]]*E$25+E$26</f>
        <v>10.657430462694334</v>
      </c>
      <c r="N104" s="29">
        <f>Table2234210234[[#This Row],[X-Y]]^2</f>
        <v>7.3463559088331909E-2</v>
      </c>
      <c r="O104" s="57">
        <f>Table2234210234[[#This Row],[yest_rect]]-Table2234210234[[#This Row],[REF]]</f>
        <v>-0.33256933730566551</v>
      </c>
      <c r="P104" s="57">
        <f>Table2234210234[[#This Row],[dif rec]]^2</f>
        <v>0.11060236411592952</v>
      </c>
      <c r="Q104" s="57">
        <f>ABS(Table2234210234[[#This Row],[diff-bias]])</f>
        <v>0.49916365090419923</v>
      </c>
      <c r="R104" s="57">
        <f ca="1">CELL("row",Table2234210234[[#This Row],[Position]])</f>
        <v>104</v>
      </c>
      <c r="S104" s="4">
        <f>Table2234210234[[#This Row],[REF]]-D$13</f>
        <v>-2.000045000000128E-2</v>
      </c>
      <c r="T104" s="4">
        <f>ABS(Table2234210234[[#This Row],[lab-med]])</f>
        <v>2.000045000000128E-2</v>
      </c>
      <c r="U104" s="4">
        <f>Table2234210234[[#This Row],[Y_pred]]-F$13</f>
        <v>-0.51629627151975122</v>
      </c>
      <c r="V104" s="4">
        <f>ABS(Table2234210234[[#This Row],[anl-med]])</f>
        <v>0.51629627151975122</v>
      </c>
      <c r="W104" s="4">
        <f>Table2234210234[[#This Row],[lab-med]]*Table2234210234[[#This Row],[anl-med]]</f>
        <v>1.0326157763717869E-2</v>
      </c>
    </row>
    <row r="105" spans="2:23" x14ac:dyDescent="0.25">
      <c r="B105" s="46">
        <f ca="1">VALUE((Table2234210234[[#This Row],[Column3]]-62))</f>
        <v>43</v>
      </c>
      <c r="C105" t="s">
        <v>111</v>
      </c>
      <c r="D105">
        <v>11</v>
      </c>
      <c r="E105"/>
      <c r="F105" s="87">
        <v>12.4614311299788</v>
      </c>
      <c r="G105" s="29">
        <f>Table2234210234[[#This Row],[Y_pred]]-Table2234210234[[#This Row],[REF]]</f>
        <v>1.4614311299788003</v>
      </c>
      <c r="H105" s="29">
        <f>Table2234210234[[#This Row],[X-Y]]-E$20</f>
        <v>0.69122586033620159</v>
      </c>
      <c r="I105" s="29">
        <f>Table2234210234[[#This Row],[Y_pred]]-E$20</f>
        <v>11.691225860336202</v>
      </c>
      <c r="J105" s="29">
        <f>Table2234210234[[#This Row],[Y_pred]]*E$21+E$22</f>
        <v>11.380217189469089</v>
      </c>
      <c r="K105" s="56">
        <f>Table2234210234[[#This Row],[Yest]]-Table2234210234[[#This Row],[REF]]</f>
        <v>0.38021718946908933</v>
      </c>
      <c r="L105" s="56">
        <f>ABS(Table2234210234[[#This Row],[RESyx]])</f>
        <v>0.38021718946908933</v>
      </c>
      <c r="M105" s="29">
        <f>Table2234210234[[#This Row],[Y_pred]]*E$25+E$26</f>
        <v>11.534578228947325</v>
      </c>
      <c r="N105" s="29">
        <f>Table2234210234[[#This Row],[X-Y]]^2</f>
        <v>2.1357809476711132</v>
      </c>
      <c r="O105" s="57">
        <f>Table2234210234[[#This Row],[yest_rect]]-Table2234210234[[#This Row],[REF]]</f>
        <v>0.53457822894732487</v>
      </c>
      <c r="P105" s="57">
        <f>Table2234210234[[#This Row],[dif rec]]^2</f>
        <v>0.28577388286445848</v>
      </c>
      <c r="Q105" s="57">
        <f>ABS(Table2234210234[[#This Row],[diff-bias]])</f>
        <v>0.69122586033620159</v>
      </c>
      <c r="R105" s="57">
        <f ca="1">CELL("row",Table2234210234[[#This Row],[Position]])</f>
        <v>105</v>
      </c>
      <c r="S105" s="4">
        <f>Table2234210234[[#This Row],[REF]]-D$13</f>
        <v>-1.0000250000000932E-2</v>
      </c>
      <c r="T105" s="4">
        <f>ABS(Table2234210234[[#This Row],[lab-med]])</f>
        <v>1.0000250000000932E-2</v>
      </c>
      <c r="U105" s="4">
        <f>Table2234210234[[#This Row],[Y_pred]]-F$13</f>
        <v>0.68409343972064995</v>
      </c>
      <c r="V105" s="4">
        <f>ABS(Table2234210234[[#This Row],[anl-med]])</f>
        <v>0.68409343972064995</v>
      </c>
      <c r="W105" s="4">
        <f>Table2234210234[[#This Row],[lab-med]]*Table2234210234[[#This Row],[anl-med]]</f>
        <v>-6.8411054205670674E-3</v>
      </c>
    </row>
    <row r="106" spans="2:23" x14ac:dyDescent="0.25">
      <c r="B106" s="46">
        <f ca="1">VALUE((Table2234210234[[#This Row],[Column3]]-62))</f>
        <v>44</v>
      </c>
      <c r="C106" t="s">
        <v>112</v>
      </c>
      <c r="D106">
        <v>9.9700003000000006</v>
      </c>
      <c r="E106"/>
      <c r="F106" s="87">
        <v>12.241699891511599</v>
      </c>
      <c r="G106" s="29">
        <f>Table2234210234[[#This Row],[Y_pred]]-Table2234210234[[#This Row],[REF]]</f>
        <v>2.2716995915115987</v>
      </c>
      <c r="H106" s="29">
        <f>Table2234210234[[#This Row],[X-Y]]-E$20</f>
        <v>1.501494321869</v>
      </c>
      <c r="I106" s="29">
        <f>Table2234210234[[#This Row],[Y_pred]]-E$20</f>
        <v>11.471494621869001</v>
      </c>
      <c r="J106" s="29">
        <f>Table2234210234[[#This Row],[Y_pred]]*E$21+E$22</f>
        <v>11.277961075856526</v>
      </c>
      <c r="K106" s="56">
        <f>Table2234210234[[#This Row],[Yest]]-Table2234210234[[#This Row],[REF]]</f>
        <v>1.3079607758565253</v>
      </c>
      <c r="L106" s="56">
        <f>ABS(Table2234210234[[#This Row],[RESyx]])</f>
        <v>1.3079607758565253</v>
      </c>
      <c r="M106" s="29">
        <f>Table2234210234[[#This Row],[Y_pred]]*E$25+E$26</f>
        <v>11.374016402073327</v>
      </c>
      <c r="N106" s="29">
        <f>Table2234210234[[#This Row],[X-Y]]^2</f>
        <v>5.1606190340739646</v>
      </c>
      <c r="O106" s="57">
        <f>Table2234210234[[#This Row],[yest_rect]]-Table2234210234[[#This Row],[REF]]</f>
        <v>1.4040161020733262</v>
      </c>
      <c r="P106" s="57">
        <f>Table2234210234[[#This Row],[dif rec]]^2</f>
        <v>1.9712612148811766</v>
      </c>
      <c r="Q106" s="57">
        <f>ABS(Table2234210234[[#This Row],[diff-bias]])</f>
        <v>1.501494321869</v>
      </c>
      <c r="R106" s="57">
        <f ca="1">CELL("row",Table2234210234[[#This Row],[Position]])</f>
        <v>106</v>
      </c>
      <c r="S106" s="4">
        <f>Table2234210234[[#This Row],[REF]]-D$13</f>
        <v>-1.0399999500000003</v>
      </c>
      <c r="T106" s="4">
        <f>ABS(Table2234210234[[#This Row],[lab-med]])</f>
        <v>1.0399999500000003</v>
      </c>
      <c r="U106" s="4">
        <f>Table2234210234[[#This Row],[Y_pred]]-F$13</f>
        <v>0.46436220125344896</v>
      </c>
      <c r="V106" s="4">
        <f>ABS(Table2234210234[[#This Row],[anl-med]])</f>
        <v>0.46436220125344896</v>
      </c>
      <c r="W106" s="4">
        <f>Table2234210234[[#This Row],[lab-med]]*Table2234210234[[#This Row],[anl-med]]</f>
        <v>-0.48293666608547703</v>
      </c>
    </row>
    <row r="107" spans="2:23" x14ac:dyDescent="0.25">
      <c r="B107" s="46">
        <f ca="1">VALUE((Table2234210234[[#This Row],[Column3]]-62))</f>
        <v>45</v>
      </c>
      <c r="C107" t="s">
        <v>113</v>
      </c>
      <c r="D107">
        <v>12.899999599999999</v>
      </c>
      <c r="E107"/>
      <c r="F107" s="87">
        <v>12.5329161922641</v>
      </c>
      <c r="G107" s="29">
        <f>Table2234210234[[#This Row],[Y_pred]]-Table2234210234[[#This Row],[REF]]</f>
        <v>-0.36708340773589931</v>
      </c>
      <c r="H107" s="29">
        <f>Table2234210234[[#This Row],[X-Y]]-E$20</f>
        <v>-1.137288677378498</v>
      </c>
      <c r="I107" s="29">
        <f>Table2234210234[[#This Row],[Y_pred]]-E$20</f>
        <v>11.762710922621501</v>
      </c>
      <c r="J107" s="29">
        <f>Table2234210234[[#This Row],[Y_pred]]*E$21+E$22</f>
        <v>11.413484123663967</v>
      </c>
      <c r="K107" s="56">
        <f>Table2234210234[[#This Row],[Yest]]-Table2234210234[[#This Row],[REF]]</f>
        <v>-1.4865154763360326</v>
      </c>
      <c r="L107" s="56">
        <f>ABS(Table2234210234[[#This Row],[RESyx]])</f>
        <v>1.4865154763360326</v>
      </c>
      <c r="M107" s="29">
        <f>Table2234210234[[#This Row],[Y_pred]]*E$25+E$26</f>
        <v>11.586813733897808</v>
      </c>
      <c r="N107" s="29">
        <f>Table2234210234[[#This Row],[X-Y]]^2</f>
        <v>0.13475022823500049</v>
      </c>
      <c r="O107" s="57">
        <f>Table2234210234[[#This Row],[yest_rect]]-Table2234210234[[#This Row],[REF]]</f>
        <v>-1.3131858661021916</v>
      </c>
      <c r="P107" s="57">
        <f>Table2234210234[[#This Row],[dif rec]]^2</f>
        <v>1.7244571189305631</v>
      </c>
      <c r="Q107" s="57">
        <f>ABS(Table2234210234[[#This Row],[diff-bias]])</f>
        <v>1.137288677378498</v>
      </c>
      <c r="R107" s="57">
        <f ca="1">CELL("row",Table2234210234[[#This Row],[Position]])</f>
        <v>107</v>
      </c>
      <c r="S107" s="4">
        <f>Table2234210234[[#This Row],[REF]]-D$13</f>
        <v>1.8899993499999983</v>
      </c>
      <c r="T107" s="4">
        <f>ABS(Table2234210234[[#This Row],[lab-med]])</f>
        <v>1.8899993499999983</v>
      </c>
      <c r="U107" s="4">
        <f>Table2234210234[[#This Row],[Y_pred]]-F$13</f>
        <v>0.75557850200594956</v>
      </c>
      <c r="V107" s="4">
        <f>ABS(Table2234210234[[#This Row],[anl-med]])</f>
        <v>0.75557850200594956</v>
      </c>
      <c r="W107" s="4">
        <f>Table2234210234[[#This Row],[lab-med]]*Table2234210234[[#This Row],[anl-med]]</f>
        <v>1.428042877665217</v>
      </c>
    </row>
    <row r="108" spans="2:23" x14ac:dyDescent="0.25">
      <c r="B108" s="46">
        <f ca="1">VALUE((Table2234210234[[#This Row],[Column3]]-62))</f>
        <v>46</v>
      </c>
      <c r="C108" t="s">
        <v>114</v>
      </c>
      <c r="D108">
        <v>10.529999699999999</v>
      </c>
      <c r="E108"/>
      <c r="F108" s="87">
        <v>11.739682554826601</v>
      </c>
      <c r="G108" s="29">
        <f>Table2234210234[[#This Row],[Y_pred]]-Table2234210234[[#This Row],[REF]]</f>
        <v>1.2096828548266014</v>
      </c>
      <c r="H108" s="29">
        <f>Table2234210234[[#This Row],[X-Y]]-E$20</f>
        <v>0.43947758518400271</v>
      </c>
      <c r="I108" s="29">
        <f>Table2234210234[[#This Row],[Y_pred]]-E$20</f>
        <v>10.969477285184002</v>
      </c>
      <c r="J108" s="29">
        <f>Table2234210234[[#This Row],[Y_pred]]*E$21+E$22</f>
        <v>11.044337754140253</v>
      </c>
      <c r="K108" s="56">
        <f>Table2234210234[[#This Row],[Yest]]-Table2234210234[[#This Row],[REF]]</f>
        <v>0.51433805414025358</v>
      </c>
      <c r="L108" s="56">
        <f>ABS(Table2234210234[[#This Row],[RESyx]])</f>
        <v>0.51433805414025358</v>
      </c>
      <c r="M108" s="29">
        <f>Table2234210234[[#This Row],[Y_pred]]*E$25+E$26</f>
        <v>11.00718271350522</v>
      </c>
      <c r="N108" s="29">
        <f>Table2234210234[[#This Row],[X-Y]]^2</f>
        <v>1.4633326092614365</v>
      </c>
      <c r="O108" s="57">
        <f>Table2234210234[[#This Row],[yest_rect]]-Table2234210234[[#This Row],[REF]]</f>
        <v>0.47718301350522019</v>
      </c>
      <c r="P108" s="57">
        <f>Table2234210234[[#This Row],[dif rec]]^2</f>
        <v>0.22770362837792316</v>
      </c>
      <c r="Q108" s="57">
        <f>ABS(Table2234210234[[#This Row],[diff-bias]])</f>
        <v>0.43947758518400271</v>
      </c>
      <c r="R108" s="57">
        <f ca="1">CELL("row",Table2234210234[[#This Row],[Position]])</f>
        <v>108</v>
      </c>
      <c r="S108" s="4">
        <f>Table2234210234[[#This Row],[REF]]-D$13</f>
        <v>-0.48000055000000152</v>
      </c>
      <c r="T108" s="4">
        <f>ABS(Table2234210234[[#This Row],[lab-med]])</f>
        <v>0.48000055000000152</v>
      </c>
      <c r="U108" s="4">
        <f>Table2234210234[[#This Row],[Y_pred]]-F$13</f>
        <v>-3.7655135431549525E-2</v>
      </c>
      <c r="V108" s="4">
        <f>ABS(Table2234210234[[#This Row],[anl-med]])</f>
        <v>3.7655135431549525E-2</v>
      </c>
      <c r="W108" s="4">
        <f>Table2234210234[[#This Row],[lab-med]]*Table2234210234[[#This Row],[anl-med]]</f>
        <v>1.8074485717468315E-2</v>
      </c>
    </row>
    <row r="109" spans="2:23" x14ac:dyDescent="0.25">
      <c r="B109" s="46">
        <f ca="1">VALUE((Table2234210234[[#This Row],[Column3]]-62))</f>
        <v>47</v>
      </c>
      <c r="C109" t="s">
        <v>115</v>
      </c>
      <c r="D109">
        <v>11.0600004</v>
      </c>
      <c r="E109"/>
      <c r="F109" s="87">
        <v>12.9922221998468</v>
      </c>
      <c r="G109" s="29">
        <f>Table2234210234[[#This Row],[Y_pred]]-Table2234210234[[#This Row],[REF]]</f>
        <v>1.9322217998468005</v>
      </c>
      <c r="H109" s="29">
        <f>Table2234210234[[#This Row],[X-Y]]-E$20</f>
        <v>1.1620165302042018</v>
      </c>
      <c r="I109" s="29">
        <f>Table2234210234[[#This Row],[Y_pred]]-E$20</f>
        <v>12.222016930204202</v>
      </c>
      <c r="J109" s="29">
        <f>Table2234210234[[#This Row],[Y_pred]]*E$21+E$22</f>
        <v>11.627230915526336</v>
      </c>
      <c r="K109" s="56">
        <f>Table2234210234[[#This Row],[Yest]]-Table2234210234[[#This Row],[REF]]</f>
        <v>0.56723051552633663</v>
      </c>
      <c r="L109" s="56">
        <f>ABS(Table2234210234[[#This Row],[RESyx]])</f>
        <v>0.56723051552633663</v>
      </c>
      <c r="M109" s="29">
        <f>Table2234210234[[#This Row],[Y_pred]]*E$25+E$26</f>
        <v>11.922437435771624</v>
      </c>
      <c r="N109" s="29">
        <f>Table2234210234[[#This Row],[X-Y]]^2</f>
        <v>3.7334810838032095</v>
      </c>
      <c r="O109" s="57">
        <f>Table2234210234[[#This Row],[yest_rect]]-Table2234210234[[#This Row],[REF]]</f>
        <v>0.86243703577162378</v>
      </c>
      <c r="P109" s="57">
        <f>Table2234210234[[#This Row],[dif rec]]^2</f>
        <v>0.7437976406705451</v>
      </c>
      <c r="Q109" s="57">
        <f>ABS(Table2234210234[[#This Row],[diff-bias]])</f>
        <v>1.1620165302042018</v>
      </c>
      <c r="R109" s="57">
        <f ca="1">CELL("row",Table2234210234[[#This Row],[Position]])</f>
        <v>109</v>
      </c>
      <c r="S109" s="4">
        <f>Table2234210234[[#This Row],[REF]]-D$13</f>
        <v>5.0000149999998911E-2</v>
      </c>
      <c r="T109" s="4">
        <f>ABS(Table2234210234[[#This Row],[lab-med]])</f>
        <v>5.0000149999998911E-2</v>
      </c>
      <c r="U109" s="4">
        <f>Table2234210234[[#This Row],[Y_pred]]-F$13</f>
        <v>1.21488450958865</v>
      </c>
      <c r="V109" s="4">
        <f>ABS(Table2234210234[[#This Row],[anl-med]])</f>
        <v>1.21488450958865</v>
      </c>
      <c r="W109" s="4">
        <f>Table2234210234[[#This Row],[lab-med]]*Table2234210234[[#This Row],[anl-med]]</f>
        <v>6.0744407712107616E-2</v>
      </c>
    </row>
    <row r="110" spans="2:23" x14ac:dyDescent="0.25">
      <c r="B110" s="46">
        <f ca="1">VALUE((Table2234210234[[#This Row],[Column3]]-62))</f>
        <v>48</v>
      </c>
      <c r="C110" t="s">
        <v>116</v>
      </c>
      <c r="D110">
        <v>9.1000004000000008</v>
      </c>
      <c r="E110"/>
      <c r="F110" s="87">
        <v>11.3273622969296</v>
      </c>
      <c r="G110" s="29">
        <f>Table2234210234[[#This Row],[Y_pred]]-Table2234210234[[#This Row],[REF]]</f>
        <v>2.2273618969295992</v>
      </c>
      <c r="H110" s="29">
        <f>Table2234210234[[#This Row],[X-Y]]-E$20</f>
        <v>1.4571566272870005</v>
      </c>
      <c r="I110" s="29">
        <f>Table2234210234[[#This Row],[Y_pred]]-E$20</f>
        <v>10.557157027287001</v>
      </c>
      <c r="J110" s="29">
        <f>Table2234210234[[#This Row],[Y_pred]]*E$21+E$22</f>
        <v>10.852456675098454</v>
      </c>
      <c r="K110" s="56">
        <f>Table2234210234[[#This Row],[Yest]]-Table2234210234[[#This Row],[REF]]</f>
        <v>1.7524562750984529</v>
      </c>
      <c r="L110" s="56">
        <f>ABS(Table2234210234[[#This Row],[RESyx]])</f>
        <v>1.7524562750984529</v>
      </c>
      <c r="M110" s="29">
        <f>Table2234210234[[#This Row],[Y_pred]]*E$25+E$26</f>
        <v>10.705892399360916</v>
      </c>
      <c r="N110" s="29">
        <f>Table2234210234[[#This Row],[X-Y]]^2</f>
        <v>4.9611410198938222</v>
      </c>
      <c r="O110" s="57">
        <f>Table2234210234[[#This Row],[yest_rect]]-Table2234210234[[#This Row],[REF]]</f>
        <v>1.6058919993609155</v>
      </c>
      <c r="P110" s="57">
        <f>Table2234210234[[#This Row],[dif rec]]^2</f>
        <v>2.5788891136113987</v>
      </c>
      <c r="Q110" s="57">
        <f>ABS(Table2234210234[[#This Row],[diff-bias]])</f>
        <v>1.4571566272870005</v>
      </c>
      <c r="R110" s="57">
        <f ca="1">CELL("row",Table2234210234[[#This Row],[Position]])</f>
        <v>110</v>
      </c>
      <c r="S110" s="4">
        <f>Table2234210234[[#This Row],[REF]]-D$13</f>
        <v>-1.9099998500000002</v>
      </c>
      <c r="T110" s="4">
        <f>ABS(Table2234210234[[#This Row],[lab-med]])</f>
        <v>1.9099998500000002</v>
      </c>
      <c r="U110" s="4">
        <f>Table2234210234[[#This Row],[Y_pred]]-F$13</f>
        <v>-0.44997539332855041</v>
      </c>
      <c r="V110" s="4">
        <f>ABS(Table2234210234[[#This Row],[anl-med]])</f>
        <v>0.44997539332855041</v>
      </c>
      <c r="W110" s="4">
        <f>Table2234210234[[#This Row],[lab-med]]*Table2234210234[[#This Row],[anl-med]]</f>
        <v>0.85945293376122234</v>
      </c>
    </row>
    <row r="111" spans="2:23" x14ac:dyDescent="0.25">
      <c r="B111" s="46">
        <f ca="1">VALUE((Table2234210234[[#This Row],[Column3]]-62))</f>
        <v>49</v>
      </c>
      <c r="C111" t="s">
        <v>117</v>
      </c>
      <c r="D111">
        <v>8.9700003000000006</v>
      </c>
      <c r="E111"/>
      <c r="F111" s="87">
        <v>11.3580522343215</v>
      </c>
      <c r="G111" s="29">
        <f>Table2234210234[[#This Row],[Y_pred]]-Table2234210234[[#This Row],[REF]]</f>
        <v>2.3880519343214992</v>
      </c>
      <c r="H111" s="29">
        <f>Table2234210234[[#This Row],[X-Y]]-E$20</f>
        <v>1.6178466646789005</v>
      </c>
      <c r="I111" s="29">
        <f>Table2234210234[[#This Row],[Y_pred]]-E$20</f>
        <v>10.587846964678901</v>
      </c>
      <c r="J111" s="29">
        <f>Table2234210234[[#This Row],[Y_pred]]*E$21+E$22</f>
        <v>10.866738821536075</v>
      </c>
      <c r="K111" s="56">
        <f>Table2234210234[[#This Row],[Yest]]-Table2234210234[[#This Row],[REF]]</f>
        <v>1.8967385215360739</v>
      </c>
      <c r="L111" s="56">
        <f>ABS(Table2234210234[[#This Row],[RESyx]])</f>
        <v>1.8967385215360739</v>
      </c>
      <c r="M111" s="29">
        <f>Table2234210234[[#This Row],[Y_pred]]*E$25+E$26</f>
        <v>10.728318124754656</v>
      </c>
      <c r="N111" s="29">
        <f>Table2234210234[[#This Row],[X-Y]]^2</f>
        <v>5.7027920410166537</v>
      </c>
      <c r="O111" s="57">
        <f>Table2234210234[[#This Row],[yest_rect]]-Table2234210234[[#This Row],[REF]]</f>
        <v>1.7583178247546556</v>
      </c>
      <c r="P111" s="57">
        <f>Table2234210234[[#This Row],[dif rec]]^2</f>
        <v>3.0916815728499438</v>
      </c>
      <c r="Q111" s="57">
        <f>ABS(Table2234210234[[#This Row],[diff-bias]])</f>
        <v>1.6178466646789005</v>
      </c>
      <c r="R111" s="57">
        <f ca="1">CELL("row",Table2234210234[[#This Row],[Position]])</f>
        <v>111</v>
      </c>
      <c r="S111" s="4">
        <f>Table2234210234[[#This Row],[REF]]-D$13</f>
        <v>-2.0399999500000003</v>
      </c>
      <c r="T111" s="4">
        <f>ABS(Table2234210234[[#This Row],[lab-med]])</f>
        <v>2.0399999500000003</v>
      </c>
      <c r="U111" s="4">
        <f>Table2234210234[[#This Row],[Y_pred]]-F$13</f>
        <v>-0.41928545593665056</v>
      </c>
      <c r="V111" s="4">
        <f>ABS(Table2234210234[[#This Row],[anl-med]])</f>
        <v>0.41928545593665056</v>
      </c>
      <c r="W111" s="4">
        <f>Table2234210234[[#This Row],[lab-med]]*Table2234210234[[#This Row],[anl-med]]</f>
        <v>0.85534230914649445</v>
      </c>
    </row>
    <row r="112" spans="2:23" x14ac:dyDescent="0.25">
      <c r="B112" s="46">
        <f ca="1">VALUE((Table2234210234[[#This Row],[Column3]]-62))</f>
        <v>50</v>
      </c>
      <c r="C112" t="s">
        <v>118</v>
      </c>
      <c r="D112">
        <v>11.1199999</v>
      </c>
      <c r="E112"/>
      <c r="F112" s="87">
        <v>10.9030238653731</v>
      </c>
      <c r="G112" s="29">
        <f>Table2234210234[[#This Row],[Y_pred]]-Table2234210234[[#This Row],[REF]]</f>
        <v>-0.21697603462689941</v>
      </c>
      <c r="H112" s="29">
        <f>Table2234210234[[#This Row],[X-Y]]-E$20</f>
        <v>-0.98718130426949813</v>
      </c>
      <c r="I112" s="29">
        <f>Table2234210234[[#This Row],[Y_pred]]-E$20</f>
        <v>10.132818595730502</v>
      </c>
      <c r="J112" s="29">
        <f>Table2234210234[[#This Row],[Y_pred]]*E$21+E$22</f>
        <v>10.654982710221603</v>
      </c>
      <c r="K112" s="56">
        <f>Table2234210234[[#This Row],[Yest]]-Table2234210234[[#This Row],[REF]]</f>
        <v>-0.46501718977839701</v>
      </c>
      <c r="L112" s="56">
        <f>ABS(Table2234210234[[#This Row],[RESyx]])</f>
        <v>0.46501718977839701</v>
      </c>
      <c r="M112" s="29">
        <f>Table2234210234[[#This Row],[Y_pred]]*E$25+E$26</f>
        <v>10.395820175407525</v>
      </c>
      <c r="N112" s="29">
        <f>Table2234210234[[#This Row],[X-Y]]^2</f>
        <v>4.7078599602413451E-2</v>
      </c>
      <c r="O112" s="57">
        <f>Table2234210234[[#This Row],[yest_rect]]-Table2234210234[[#This Row],[REF]]</f>
        <v>-0.72417972459247437</v>
      </c>
      <c r="P112" s="57">
        <f>Table2234210234[[#This Row],[dif rec]]^2</f>
        <v>0.524436273510832</v>
      </c>
      <c r="Q112" s="57">
        <f>ABS(Table2234210234[[#This Row],[diff-bias]])</f>
        <v>0.98718130426949813</v>
      </c>
      <c r="R112" s="57">
        <f ca="1">CELL("row",Table2234210234[[#This Row],[Position]])</f>
        <v>112</v>
      </c>
      <c r="S112" s="4">
        <f>Table2234210234[[#This Row],[REF]]-D$13</f>
        <v>0.10999964999999889</v>
      </c>
      <c r="T112" s="4">
        <f>ABS(Table2234210234[[#This Row],[lab-med]])</f>
        <v>0.10999964999999889</v>
      </c>
      <c r="U112" s="4">
        <f>Table2234210234[[#This Row],[Y_pred]]-F$13</f>
        <v>-0.87431382488504994</v>
      </c>
      <c r="V112" s="4">
        <f>ABS(Table2234210234[[#This Row],[anl-med]])</f>
        <v>0.87431382488504994</v>
      </c>
      <c r="W112" s="4">
        <f>Table2234210234[[#This Row],[lab-med]]*Table2234210234[[#This Row],[anl-med]]</f>
        <v>-9.6174214727515819E-2</v>
      </c>
    </row>
    <row r="113" spans="2:23" x14ac:dyDescent="0.25">
      <c r="B113" s="46">
        <f ca="1">VALUE((Table2234210234[[#This Row],[Column3]]-62))</f>
        <v>51</v>
      </c>
      <c r="C113" t="s">
        <v>119</v>
      </c>
      <c r="D113">
        <v>9.2299994999999999</v>
      </c>
      <c r="E113"/>
      <c r="F113" s="87">
        <v>10.482469449979201</v>
      </c>
      <c r="G113" s="29">
        <f>Table2234210234[[#This Row],[Y_pred]]-Table2234210234[[#This Row],[REF]]</f>
        <v>1.2524699499792007</v>
      </c>
      <c r="H113" s="29">
        <f>Table2234210234[[#This Row],[X-Y]]-E$20</f>
        <v>0.48226468033660197</v>
      </c>
      <c r="I113" s="29">
        <f>Table2234210234[[#This Row],[Y_pred]]-E$20</f>
        <v>9.7122641803366019</v>
      </c>
      <c r="J113" s="29">
        <f>Table2234210234[[#This Row],[Y_pred]]*E$21+E$22</f>
        <v>10.459269709281124</v>
      </c>
      <c r="K113" s="56">
        <f>Table2234210234[[#This Row],[Yest]]-Table2234210234[[#This Row],[REF]]</f>
        <v>1.2292702092811236</v>
      </c>
      <c r="L113" s="56">
        <f>ABS(Table2234210234[[#This Row],[RESyx]])</f>
        <v>1.2292702092811236</v>
      </c>
      <c r="M113" s="29">
        <f>Table2234210234[[#This Row],[Y_pred]]*E$25+E$26</f>
        <v>10.088513004580971</v>
      </c>
      <c r="N113" s="29">
        <f>Table2234210234[[#This Row],[X-Y]]^2</f>
        <v>1.5686809756009015</v>
      </c>
      <c r="O113" s="57">
        <f>Table2234210234[[#This Row],[yest_rect]]-Table2234210234[[#This Row],[REF]]</f>
        <v>0.85851350458097109</v>
      </c>
      <c r="P113" s="57">
        <f>Table2234210234[[#This Row],[dif rec]]^2</f>
        <v>0.73704543754790108</v>
      </c>
      <c r="Q113" s="57">
        <f>ABS(Table2234210234[[#This Row],[diff-bias]])</f>
        <v>0.48226468033660197</v>
      </c>
      <c r="R113" s="57">
        <f ca="1">CELL("row",Table2234210234[[#This Row],[Position]])</f>
        <v>113</v>
      </c>
      <c r="S113" s="4">
        <f>Table2234210234[[#This Row],[REF]]-D$13</f>
        <v>-1.780000750000001</v>
      </c>
      <c r="T113" s="4">
        <f>ABS(Table2234210234[[#This Row],[lab-med]])</f>
        <v>1.780000750000001</v>
      </c>
      <c r="U113" s="4">
        <f>Table2234210234[[#This Row],[Y_pred]]-F$13</f>
        <v>-1.2948682402789498</v>
      </c>
      <c r="V113" s="4">
        <f>ABS(Table2234210234[[#This Row],[anl-med]])</f>
        <v>1.2948682402789498</v>
      </c>
      <c r="W113" s="4">
        <f>Table2234210234[[#This Row],[lab-med]]*Table2234210234[[#This Row],[anl-med]]</f>
        <v>2.304866438847712</v>
      </c>
    </row>
    <row r="114" spans="2:23" x14ac:dyDescent="0.25">
      <c r="B114" s="46">
        <f ca="1">VALUE((Table2234210234[[#This Row],[Column3]]-62))</f>
        <v>52</v>
      </c>
      <c r="C114" t="s">
        <v>120</v>
      </c>
      <c r="D114">
        <v>11.2299995</v>
      </c>
      <c r="E114"/>
      <c r="F114" s="87">
        <v>12.5172495263753</v>
      </c>
      <c r="G114" s="29">
        <f>Table2234210234[[#This Row],[Y_pred]]-Table2234210234[[#This Row],[REF]]</f>
        <v>1.2872500263753004</v>
      </c>
      <c r="H114" s="29">
        <f>Table2234210234[[#This Row],[X-Y]]-E$20</f>
        <v>0.51704475673270167</v>
      </c>
      <c r="I114" s="29">
        <f>Table2234210234[[#This Row],[Y_pred]]-E$20</f>
        <v>11.747044256732702</v>
      </c>
      <c r="J114" s="29">
        <f>Table2234210234[[#This Row],[Y_pred]]*E$21+E$22</f>
        <v>11.406193342534117</v>
      </c>
      <c r="K114" s="56">
        <f>Table2234210234[[#This Row],[Yest]]-Table2234210234[[#This Row],[REF]]</f>
        <v>0.17619384253411674</v>
      </c>
      <c r="L114" s="56">
        <f>ABS(Table2234210234[[#This Row],[RESyx]])</f>
        <v>0.17619384253411674</v>
      </c>
      <c r="M114" s="29">
        <f>Table2234210234[[#This Row],[Y_pred]]*E$25+E$26</f>
        <v>11.575365800897121</v>
      </c>
      <c r="N114" s="29">
        <f>Table2234210234[[#This Row],[X-Y]]^2</f>
        <v>1.6570126304032116</v>
      </c>
      <c r="O114" s="57">
        <f>Table2234210234[[#This Row],[yest_rect]]-Table2234210234[[#This Row],[REF]]</f>
        <v>0.34536630089712084</v>
      </c>
      <c r="P114" s="57">
        <f>Table2234210234[[#This Row],[dif rec]]^2</f>
        <v>0.11927788179536061</v>
      </c>
      <c r="Q114" s="57">
        <f>ABS(Table2234210234[[#This Row],[diff-bias]])</f>
        <v>0.51704475673270167</v>
      </c>
      <c r="R114" s="57">
        <f ca="1">CELL("row",Table2234210234[[#This Row],[Position]])</f>
        <v>114</v>
      </c>
      <c r="S114" s="4">
        <f>Table2234210234[[#This Row],[REF]]-D$13</f>
        <v>0.21999924999999898</v>
      </c>
      <c r="T114" s="4">
        <f>ABS(Table2234210234[[#This Row],[lab-med]])</f>
        <v>0.21999924999999898</v>
      </c>
      <c r="U114" s="4">
        <f>Table2234210234[[#This Row],[Y_pred]]-F$13</f>
        <v>0.73991183611714995</v>
      </c>
      <c r="V114" s="4">
        <f>ABS(Table2234210234[[#This Row],[anl-med]])</f>
        <v>0.73991183611714995</v>
      </c>
      <c r="W114" s="4">
        <f>Table2234210234[[#This Row],[lab-med]]*Table2234210234[[#This Row],[anl-med]]</f>
        <v>0.16278004901189513</v>
      </c>
    </row>
    <row r="115" spans="2:23" x14ac:dyDescent="0.25">
      <c r="B115" s="46">
        <f ca="1">VALUE((Table2234210234[[#This Row],[Column3]]-62))</f>
        <v>53</v>
      </c>
      <c r="C115" t="s">
        <v>121</v>
      </c>
      <c r="D115">
        <v>11.2299995</v>
      </c>
      <c r="E115"/>
      <c r="F115" s="87">
        <v>11.180507178981401</v>
      </c>
      <c r="G115" s="29">
        <f>Table2234210234[[#This Row],[Y_pred]]-Table2234210234[[#This Row],[REF]]</f>
        <v>-4.9492321018599128E-2</v>
      </c>
      <c r="H115" s="29">
        <f>Table2234210234[[#This Row],[X-Y]]-E$20</f>
        <v>-0.81969759066119785</v>
      </c>
      <c r="I115" s="29">
        <f>Table2234210234[[#This Row],[Y_pred]]-E$20</f>
        <v>10.410301909338802</v>
      </c>
      <c r="J115" s="29">
        <f>Table2234210234[[#This Row],[Y_pred]]*E$21+E$22</f>
        <v>10.784114851103595</v>
      </c>
      <c r="K115" s="56">
        <f>Table2234210234[[#This Row],[Yest]]-Table2234210234[[#This Row],[REF]]</f>
        <v>-0.44588464889640456</v>
      </c>
      <c r="L115" s="56">
        <f>ABS(Table2234210234[[#This Row],[RESyx]])</f>
        <v>0.44588464889640456</v>
      </c>
      <c r="M115" s="29">
        <f>Table2234210234[[#This Row],[Y_pred]]*E$25+E$26</f>
        <v>10.598582550346986</v>
      </c>
      <c r="N115" s="29">
        <f>Table2234210234[[#This Row],[X-Y]]^2</f>
        <v>2.449489839808069E-3</v>
      </c>
      <c r="O115" s="57">
        <f>Table2234210234[[#This Row],[yest_rect]]-Table2234210234[[#This Row],[REF]]</f>
        <v>-0.63141694965301376</v>
      </c>
      <c r="P115" s="57">
        <f>Table2234210234[[#This Row],[dif rec]]^2</f>
        <v>0.3986873643091165</v>
      </c>
      <c r="Q115" s="57">
        <f>ABS(Table2234210234[[#This Row],[diff-bias]])</f>
        <v>0.81969759066119785</v>
      </c>
      <c r="R115" s="57">
        <f ca="1">CELL("row",Table2234210234[[#This Row],[Position]])</f>
        <v>115</v>
      </c>
      <c r="S115" s="4">
        <f>Table2234210234[[#This Row],[REF]]-D$13</f>
        <v>0.21999924999999898</v>
      </c>
      <c r="T115" s="4">
        <f>ABS(Table2234210234[[#This Row],[lab-med]])</f>
        <v>0.21999924999999898</v>
      </c>
      <c r="U115" s="4">
        <f>Table2234210234[[#This Row],[Y_pred]]-F$13</f>
        <v>-0.59683051127674958</v>
      </c>
      <c r="V115" s="4">
        <f>ABS(Table2234210234[[#This Row],[anl-med]])</f>
        <v>0.59683051127674958</v>
      </c>
      <c r="W115" s="4">
        <f>Table2234210234[[#This Row],[lab-med]]*Table2234210234[[#This Row],[anl-med]]</f>
        <v>-0.13130226485800084</v>
      </c>
    </row>
    <row r="116" spans="2:23" x14ac:dyDescent="0.25">
      <c r="B116" s="46">
        <f ca="1">VALUE((Table2234210234[[#This Row],[Column3]]-62))</f>
        <v>54</v>
      </c>
      <c r="C116" t="s">
        <v>122</v>
      </c>
      <c r="D116">
        <v>11.2399998</v>
      </c>
      <c r="E116"/>
      <c r="F116" s="87">
        <v>9.0097299440247696</v>
      </c>
      <c r="G116" s="29">
        <f>Table2234210234[[#This Row],[Y_pred]]-Table2234210234[[#This Row],[REF]]</f>
        <v>-2.2302698559752301</v>
      </c>
      <c r="H116" s="29">
        <f>Table2234210234[[#This Row],[X-Y]]-E$20</f>
        <v>-3.0004751256178288</v>
      </c>
      <c r="I116" s="29">
        <f>Table2234210234[[#This Row],[Y_pred]]-E$20</f>
        <v>8.2395246743821708</v>
      </c>
      <c r="J116" s="29">
        <f>Table2234210234[[#This Row],[Y_pred]]*E$21+E$22</f>
        <v>9.7739023518989043</v>
      </c>
      <c r="K116" s="56">
        <f>Table2234210234[[#This Row],[Yest]]-Table2234210234[[#This Row],[REF]]</f>
        <v>-1.4660974481010953</v>
      </c>
      <c r="L116" s="56">
        <f>ABS(Table2234210234[[#This Row],[RESyx]])</f>
        <v>1.4660974481010953</v>
      </c>
      <c r="M116" s="29">
        <f>Table2234210234[[#This Row],[Y_pred]]*E$25+E$26</f>
        <v>9.0123540240232387</v>
      </c>
      <c r="N116" s="29">
        <f>Table2234210234[[#This Row],[X-Y]]^2</f>
        <v>4.9741036304717738</v>
      </c>
      <c r="O116" s="57">
        <f>Table2234210234[[#This Row],[yest_rect]]-Table2234210234[[#This Row],[REF]]</f>
        <v>-2.2276457759767609</v>
      </c>
      <c r="P116" s="57">
        <f>Table2234210234[[#This Row],[dif rec]]^2</f>
        <v>4.9624057032271054</v>
      </c>
      <c r="Q116" s="57">
        <f>ABS(Table2234210234[[#This Row],[diff-bias]])</f>
        <v>3.0004751256178288</v>
      </c>
      <c r="R116" s="57">
        <f ca="1">CELL("row",Table2234210234[[#This Row],[Position]])</f>
        <v>116</v>
      </c>
      <c r="S116" s="4">
        <f>Table2234210234[[#This Row],[REF]]-D$13</f>
        <v>0.22999954999999872</v>
      </c>
      <c r="T116" s="4">
        <f>ABS(Table2234210234[[#This Row],[lab-med]])</f>
        <v>0.22999954999999872</v>
      </c>
      <c r="U116" s="4">
        <f>Table2234210234[[#This Row],[Y_pred]]-F$13</f>
        <v>-2.7676077462333808</v>
      </c>
      <c r="V116" s="4">
        <f>ABS(Table2234210234[[#This Row],[anl-med]])</f>
        <v>2.7676077462333808</v>
      </c>
      <c r="W116" s="4">
        <f>Table2234210234[[#This Row],[lab-med]]*Table2234210234[[#This Row],[anl-med]]</f>
        <v>-0.63654853621018825</v>
      </c>
    </row>
    <row r="117" spans="2:23" x14ac:dyDescent="0.25">
      <c r="B117" s="46">
        <f ca="1">VALUE((Table2234210234[[#This Row],[Column3]]-62))</f>
        <v>55</v>
      </c>
      <c r="C117" t="s">
        <v>123</v>
      </c>
      <c r="D117">
        <v>12.5600004</v>
      </c>
      <c r="E117"/>
      <c r="F117" s="87">
        <v>13.5573882384841</v>
      </c>
      <c r="G117" s="29">
        <f>Table2234210234[[#This Row],[Y_pred]]-Table2234210234[[#This Row],[REF]]</f>
        <v>0.99738783848409973</v>
      </c>
      <c r="H117" s="29">
        <f>Table2234210234[[#This Row],[X-Y]]-E$20</f>
        <v>0.22718256884150101</v>
      </c>
      <c r="I117" s="29">
        <f>Table2234210234[[#This Row],[Y_pred]]-E$20</f>
        <v>12.787182968841501</v>
      </c>
      <c r="J117" s="29">
        <f>Table2234210234[[#This Row],[Y_pred]]*E$21+E$22</f>
        <v>11.890241687503963</v>
      </c>
      <c r="K117" s="56">
        <f>Table2234210234[[#This Row],[Yest]]-Table2234210234[[#This Row],[REF]]</f>
        <v>-0.66975871249603713</v>
      </c>
      <c r="L117" s="56">
        <f>ABS(Table2234210234[[#This Row],[RESyx]])</f>
        <v>0.66975871249603713</v>
      </c>
      <c r="M117" s="29">
        <f>Table2234210234[[#This Row],[Y_pred]]*E$25+E$26</f>
        <v>12.335415091037012</v>
      </c>
      <c r="N117" s="29">
        <f>Table2234210234[[#This Row],[X-Y]]^2</f>
        <v>0.99478250035598459</v>
      </c>
      <c r="O117" s="57">
        <f>Table2234210234[[#This Row],[yest_rect]]-Table2234210234[[#This Row],[REF]]</f>
        <v>-0.2245853089629879</v>
      </c>
      <c r="P117" s="57">
        <f>Table2234210234[[#This Row],[dif rec]]^2</f>
        <v>5.0438561002000733E-2</v>
      </c>
      <c r="Q117" s="57">
        <f>ABS(Table2234210234[[#This Row],[diff-bias]])</f>
        <v>0.22718256884150101</v>
      </c>
      <c r="R117" s="57">
        <f ca="1">CELL("row",Table2234210234[[#This Row],[Position]])</f>
        <v>117</v>
      </c>
      <c r="S117" s="4">
        <f>Table2234210234[[#This Row],[REF]]-D$13</f>
        <v>1.5500001499999989</v>
      </c>
      <c r="T117" s="4">
        <f>ABS(Table2234210234[[#This Row],[lab-med]])</f>
        <v>1.5500001499999989</v>
      </c>
      <c r="U117" s="4">
        <f>Table2234210234[[#This Row],[Y_pred]]-F$13</f>
        <v>1.7800505482259492</v>
      </c>
      <c r="V117" s="4">
        <f>ABS(Table2234210234[[#This Row],[anl-med]])</f>
        <v>1.7800505482259492</v>
      </c>
      <c r="W117" s="4">
        <f>Table2234210234[[#This Row],[lab-med]]*Table2234210234[[#This Row],[anl-med]]</f>
        <v>2.7590786167578014</v>
      </c>
    </row>
    <row r="118" spans="2:23" x14ac:dyDescent="0.25">
      <c r="B118" s="46">
        <f ca="1">VALUE((Table2234210234[[#This Row],[Column3]]-62))</f>
        <v>56</v>
      </c>
      <c r="C118" t="s">
        <v>124</v>
      </c>
      <c r="D118">
        <v>10.0699997</v>
      </c>
      <c r="E118"/>
      <c r="F118" s="87">
        <v>10.639742523486801</v>
      </c>
      <c r="G118" s="29">
        <f>Table2234210234[[#This Row],[Y_pred]]-Table2234210234[[#This Row],[REF]]</f>
        <v>0.56974282348680028</v>
      </c>
      <c r="H118" s="29">
        <f>Table2234210234[[#This Row],[X-Y]]-E$20</f>
        <v>-0.20046244615579845</v>
      </c>
      <c r="I118" s="29">
        <f>Table2234210234[[#This Row],[Y_pred]]-E$20</f>
        <v>9.8695372538442019</v>
      </c>
      <c r="J118" s="29">
        <f>Table2234210234[[#This Row],[Y_pred]]*E$21+E$22</f>
        <v>10.532459727163769</v>
      </c>
      <c r="K118" s="56">
        <f>Table2234210234[[#This Row],[Yest]]-Table2234210234[[#This Row],[REF]]</f>
        <v>0.46246002716376822</v>
      </c>
      <c r="L118" s="56">
        <f>ABS(Table2234210234[[#This Row],[RESyx]])</f>
        <v>0.46246002716376822</v>
      </c>
      <c r="M118" s="29">
        <f>Table2234210234[[#This Row],[Y_pred]]*E$25+E$26</f>
        <v>10.203435453371693</v>
      </c>
      <c r="N118" s="29">
        <f>Table2234210234[[#This Row],[X-Y]]^2</f>
        <v>0.32460688491471124</v>
      </c>
      <c r="O118" s="57">
        <f>Table2234210234[[#This Row],[yest_rect]]-Table2234210234[[#This Row],[REF]]</f>
        <v>0.13343575337169256</v>
      </c>
      <c r="P118" s="57">
        <f>Table2234210234[[#This Row],[dif rec]]^2</f>
        <v>1.7805100277871161E-2</v>
      </c>
      <c r="Q118" s="57">
        <f>ABS(Table2234210234[[#This Row],[diff-bias]])</f>
        <v>0.20046244615579845</v>
      </c>
      <c r="R118" s="57">
        <f ca="1">CELL("row",Table2234210234[[#This Row],[Position]])</f>
        <v>118</v>
      </c>
      <c r="S118" s="4">
        <f>Table2234210234[[#This Row],[REF]]-D$13</f>
        <v>-0.9400005500000006</v>
      </c>
      <c r="T118" s="4">
        <f>ABS(Table2234210234[[#This Row],[lab-med]])</f>
        <v>0.9400005500000006</v>
      </c>
      <c r="U118" s="4">
        <f>Table2234210234[[#This Row],[Y_pred]]-F$13</f>
        <v>-1.1375951667713498</v>
      </c>
      <c r="V118" s="4">
        <f>ABS(Table2234210234[[#This Row],[anl-med]])</f>
        <v>1.1375951667713498</v>
      </c>
      <c r="W118" s="4">
        <f>Table2234210234[[#This Row],[lab-med]]*Table2234210234[[#This Row],[anl-med]]</f>
        <v>1.0693400824424111</v>
      </c>
    </row>
    <row r="119" spans="2:23" x14ac:dyDescent="0.25">
      <c r="B119" s="46">
        <f ca="1">VALUE((Table2234210234[[#This Row],[Column3]]-62))</f>
        <v>57</v>
      </c>
      <c r="C119" t="s">
        <v>125</v>
      </c>
      <c r="D119">
        <v>9.9399996000000002</v>
      </c>
      <c r="E119"/>
      <c r="F119" s="87">
        <v>9.3041710621614602</v>
      </c>
      <c r="G119" s="29">
        <f>Table2234210234[[#This Row],[Y_pred]]-Table2234210234[[#This Row],[REF]]</f>
        <v>-0.63582853783853999</v>
      </c>
      <c r="H119" s="29">
        <f>Table2234210234[[#This Row],[X-Y]]-E$20</f>
        <v>-1.4060338074811387</v>
      </c>
      <c r="I119" s="29">
        <f>Table2234210234[[#This Row],[Y_pred]]-E$20</f>
        <v>8.5339657925188614</v>
      </c>
      <c r="J119" s="29">
        <f>Table2234210234[[#This Row],[Y_pred]]*E$21+E$22</f>
        <v>9.9109261298488462</v>
      </c>
      <c r="K119" s="56">
        <f>Table2234210234[[#This Row],[Yest]]-Table2234210234[[#This Row],[REF]]</f>
        <v>-2.9073470151153913E-2</v>
      </c>
      <c r="L119" s="56">
        <f>ABS(Table2234210234[[#This Row],[RESyx]])</f>
        <v>2.9073470151153913E-2</v>
      </c>
      <c r="M119" s="29">
        <f>Table2234210234[[#This Row],[Y_pred]]*E$25+E$26</f>
        <v>9.2275077917106945</v>
      </c>
      <c r="N119" s="29">
        <f>Table2234210234[[#This Row],[X-Y]]^2</f>
        <v>0.40427792952989566</v>
      </c>
      <c r="O119" s="57">
        <f>Table2234210234[[#This Row],[yest_rect]]-Table2234210234[[#This Row],[REF]]</f>
        <v>-0.71249180828930569</v>
      </c>
      <c r="P119" s="57">
        <f>Table2234210234[[#This Row],[dif rec]]^2</f>
        <v>0.50764457687936471</v>
      </c>
      <c r="Q119" s="57">
        <f>ABS(Table2234210234[[#This Row],[diff-bias]])</f>
        <v>1.4060338074811387</v>
      </c>
      <c r="R119" s="57">
        <f ca="1">CELL("row",Table2234210234[[#This Row],[Position]])</f>
        <v>119</v>
      </c>
      <c r="S119" s="4">
        <f>Table2234210234[[#This Row],[REF]]-D$13</f>
        <v>-1.0700006500000008</v>
      </c>
      <c r="T119" s="4">
        <f>ABS(Table2234210234[[#This Row],[lab-med]])</f>
        <v>1.0700006500000008</v>
      </c>
      <c r="U119" s="4">
        <f>Table2234210234[[#This Row],[Y_pred]]-F$13</f>
        <v>-2.4731666280966902</v>
      </c>
      <c r="V119" s="4">
        <f>ABS(Table2234210234[[#This Row],[anl-med]])</f>
        <v>2.4731666280966902</v>
      </c>
      <c r="W119" s="4">
        <f>Table2234210234[[#This Row],[lab-med]]*Table2234210234[[#This Row],[anl-med]]</f>
        <v>2.6462898996217685</v>
      </c>
    </row>
    <row r="120" spans="2:23" x14ac:dyDescent="0.25">
      <c r="B120" s="46">
        <f ca="1">VALUE((Table2234210234[[#This Row],[Column3]]-62))</f>
        <v>58</v>
      </c>
      <c r="C120" t="s">
        <v>126</v>
      </c>
      <c r="D120">
        <v>10.2399998</v>
      </c>
      <c r="E120"/>
      <c r="F120" s="87">
        <v>9.0932719359618392</v>
      </c>
      <c r="G120" s="29">
        <f>Table2234210234[[#This Row],[Y_pred]]-Table2234210234[[#This Row],[REF]]</f>
        <v>-1.1467278640381604</v>
      </c>
      <c r="H120" s="29">
        <f>Table2234210234[[#This Row],[X-Y]]-E$20</f>
        <v>-1.9169331336807591</v>
      </c>
      <c r="I120" s="29">
        <f>Table2234210234[[#This Row],[Y_pred]]-E$20</f>
        <v>8.3230666663192405</v>
      </c>
      <c r="J120" s="29">
        <f>Table2234210234[[#This Row],[Y_pred]]*E$21+E$22</f>
        <v>9.812780207767414</v>
      </c>
      <c r="K120" s="56">
        <f>Table2234210234[[#This Row],[Yest]]-Table2234210234[[#This Row],[REF]]</f>
        <v>-0.42721959223258565</v>
      </c>
      <c r="L120" s="56">
        <f>ABS(Table2234210234[[#This Row],[RESyx]])</f>
        <v>0.42721959223258565</v>
      </c>
      <c r="M120" s="29">
        <f>Table2234210234[[#This Row],[Y_pred]]*E$25+E$26</f>
        <v>9.0733997585290798</v>
      </c>
      <c r="N120" s="29">
        <f>Table2234210234[[#This Row],[X-Y]]^2</f>
        <v>1.3149847941615216</v>
      </c>
      <c r="O120" s="57">
        <f>Table2234210234[[#This Row],[yest_rect]]-Table2234210234[[#This Row],[REF]]</f>
        <v>-1.1666000414709199</v>
      </c>
      <c r="P120" s="57">
        <f>Table2234210234[[#This Row],[dif rec]]^2</f>
        <v>1.3609556567599521</v>
      </c>
      <c r="Q120" s="57">
        <f>ABS(Table2234210234[[#This Row],[diff-bias]])</f>
        <v>1.9169331336807591</v>
      </c>
      <c r="R120" s="57">
        <f ca="1">CELL("row",Table2234210234[[#This Row],[Position]])</f>
        <v>120</v>
      </c>
      <c r="S120" s="4">
        <f>Table2234210234[[#This Row],[REF]]-D$13</f>
        <v>-0.77000045000000128</v>
      </c>
      <c r="T120" s="4">
        <f>ABS(Table2234210234[[#This Row],[lab-med]])</f>
        <v>0.77000045000000128</v>
      </c>
      <c r="U120" s="4">
        <f>Table2234210234[[#This Row],[Y_pred]]-F$13</f>
        <v>-2.6840657542963111</v>
      </c>
      <c r="V120" s="4">
        <f>ABS(Table2234210234[[#This Row],[anl-med]])</f>
        <v>2.6840657542963111</v>
      </c>
      <c r="W120" s="4">
        <f>Table2234210234[[#This Row],[lab-med]]*Table2234210234[[#This Row],[anl-med]]</f>
        <v>2.0667318386377524</v>
      </c>
    </row>
    <row r="121" spans="2:23" x14ac:dyDescent="0.25">
      <c r="B121" s="46">
        <f ca="1">VALUE((Table2234210234[[#This Row],[Column3]]-62))</f>
        <v>59</v>
      </c>
      <c r="C121" t="s">
        <v>127</v>
      </c>
      <c r="D121">
        <v>11.420000099999999</v>
      </c>
      <c r="E121"/>
      <c r="F121" s="87">
        <v>14.1481845295772</v>
      </c>
      <c r="G121" s="29">
        <f>Table2234210234[[#This Row],[Y_pred]]-Table2234210234[[#This Row],[REF]]</f>
        <v>2.7281844295772011</v>
      </c>
      <c r="H121" s="29">
        <f>Table2234210234[[#This Row],[X-Y]]-E$20</f>
        <v>1.9579791599346024</v>
      </c>
      <c r="I121" s="29">
        <f>Table2234210234[[#This Row],[Y_pred]]-E$20</f>
        <v>13.377979259934602</v>
      </c>
      <c r="J121" s="29">
        <f>Table2234210234[[#This Row],[Y_pred]]*E$21+E$22</f>
        <v>12.165179985241339</v>
      </c>
      <c r="K121" s="56">
        <f>Table2234210234[[#This Row],[Yest]]-Table2234210234[[#This Row],[REF]]</f>
        <v>0.74517988524134005</v>
      </c>
      <c r="L121" s="56">
        <f>ABS(Table2234210234[[#This Row],[RESyx]])</f>
        <v>0.74517988524134005</v>
      </c>
      <c r="M121" s="29">
        <f>Table2234210234[[#This Row],[Y_pred]]*E$25+E$26</f>
        <v>12.767121262949612</v>
      </c>
      <c r="N121" s="29">
        <f>Table2234210234[[#This Row],[X-Y]]^2</f>
        <v>7.4429902817874778</v>
      </c>
      <c r="O121" s="57">
        <f>Table2234210234[[#This Row],[yest_rect]]-Table2234210234[[#This Row],[REF]]</f>
        <v>1.3471211629496125</v>
      </c>
      <c r="P121" s="57">
        <f>Table2234210234[[#This Row],[dif rec]]^2</f>
        <v>1.8147354276667165</v>
      </c>
      <c r="Q121" s="57">
        <f>ABS(Table2234210234[[#This Row],[diff-bias]])</f>
        <v>1.9579791599346024</v>
      </c>
      <c r="R121" s="57">
        <f ca="1">CELL("row",Table2234210234[[#This Row],[Position]])</f>
        <v>121</v>
      </c>
      <c r="S121" s="4">
        <f>Table2234210234[[#This Row],[REF]]-D$13</f>
        <v>0.40999984999999839</v>
      </c>
      <c r="T121" s="4">
        <f>ABS(Table2234210234[[#This Row],[lab-med]])</f>
        <v>0.40999984999999839</v>
      </c>
      <c r="U121" s="4">
        <f>Table2234210234[[#This Row],[Y_pred]]-F$13</f>
        <v>2.37084683931905</v>
      </c>
      <c r="V121" s="4">
        <f>ABS(Table2234210234[[#This Row],[anl-med]])</f>
        <v>2.37084683931905</v>
      </c>
      <c r="W121" s="4">
        <f>Table2234210234[[#This Row],[lab-med]]*Table2234210234[[#This Row],[anl-med]]</f>
        <v>0.97204684849378076</v>
      </c>
    </row>
    <row r="122" spans="2:23" x14ac:dyDescent="0.25">
      <c r="B122" s="46">
        <f ca="1">VALUE((Table2234210234[[#This Row],[Column3]]-62))</f>
        <v>60</v>
      </c>
      <c r="C122" t="s">
        <v>128</v>
      </c>
      <c r="D122">
        <v>10.5</v>
      </c>
      <c r="E122"/>
      <c r="F122" s="87">
        <v>9.9057206909225801</v>
      </c>
      <c r="G122" s="29">
        <f>Table2234210234[[#This Row],[Y_pred]]-Table2234210234[[#This Row],[REF]]</f>
        <v>-0.59427930907741988</v>
      </c>
      <c r="H122" s="29">
        <f>Table2234210234[[#This Row],[X-Y]]-E$20</f>
        <v>-1.3644845787200186</v>
      </c>
      <c r="I122" s="29">
        <f>Table2234210234[[#This Row],[Y_pred]]-E$20</f>
        <v>9.1355154212799814</v>
      </c>
      <c r="J122" s="29">
        <f>Table2234210234[[#This Row],[Y_pred]]*E$21+E$22</f>
        <v>10.190868697921045</v>
      </c>
      <c r="K122" s="56">
        <f>Table2234210234[[#This Row],[Yest]]-Table2234210234[[#This Row],[REF]]</f>
        <v>-0.30913130207895456</v>
      </c>
      <c r="L122" s="56">
        <f>ABS(Table2234210234[[#This Row],[RESyx]])</f>
        <v>0.30913130207895456</v>
      </c>
      <c r="M122" s="29">
        <f>Table2234210234[[#This Row],[Y_pred]]*E$25+E$26</f>
        <v>9.6670716335341105</v>
      </c>
      <c r="N122" s="29">
        <f>Table2234210234[[#This Row],[X-Y]]^2</f>
        <v>0.35316789719753555</v>
      </c>
      <c r="O122" s="57">
        <f>Table2234210234[[#This Row],[yest_rect]]-Table2234210234[[#This Row],[REF]]</f>
        <v>-0.83292836646588952</v>
      </c>
      <c r="P122" s="57">
        <f>Table2234210234[[#This Row],[dif rec]]^2</f>
        <v>0.69376966366353521</v>
      </c>
      <c r="Q122" s="57">
        <f>ABS(Table2234210234[[#This Row],[diff-bias]])</f>
        <v>1.3644845787200186</v>
      </c>
      <c r="R122" s="57">
        <f ca="1">CELL("row",Table2234210234[[#This Row],[Position]])</f>
        <v>122</v>
      </c>
      <c r="S122" s="4">
        <f>Table2234210234[[#This Row],[REF]]-D$13</f>
        <v>-0.51000025000000093</v>
      </c>
      <c r="T122" s="4">
        <f>ABS(Table2234210234[[#This Row],[lab-med]])</f>
        <v>0.51000025000000093</v>
      </c>
      <c r="U122" s="4">
        <f>Table2234210234[[#This Row],[Y_pred]]-F$13</f>
        <v>-1.8716169993355702</v>
      </c>
      <c r="V122" s="4">
        <f>ABS(Table2234210234[[#This Row],[anl-med]])</f>
        <v>1.8716169993355702</v>
      </c>
      <c r="W122" s="4">
        <f>Table2234210234[[#This Row],[lab-med]]*Table2234210234[[#This Row],[anl-med]]</f>
        <v>0.95452513756539237</v>
      </c>
    </row>
    <row r="123" spans="2:23" x14ac:dyDescent="0.25">
      <c r="B123" s="46">
        <f ca="1">VALUE((Table2234210234[[#This Row],[Column3]]-62))</f>
        <v>61</v>
      </c>
      <c r="C123" t="s">
        <v>129</v>
      </c>
      <c r="D123">
        <v>13.140000300000001</v>
      </c>
      <c r="E123"/>
      <c r="F123" s="87">
        <v>14.6308474604342</v>
      </c>
      <c r="G123" s="29">
        <f>Table2234210234[[#This Row],[Y_pred]]-Table2234210234[[#This Row],[REF]]</f>
        <v>1.4908471604341997</v>
      </c>
      <c r="H123" s="29">
        <f>Table2234210234[[#This Row],[X-Y]]-E$20</f>
        <v>0.72064189079160101</v>
      </c>
      <c r="I123" s="29">
        <f>Table2234210234[[#This Row],[Y_pred]]-E$20</f>
        <v>13.860642190791602</v>
      </c>
      <c r="J123" s="29">
        <f>Table2234210234[[#This Row],[Y_pred]]*E$21+E$22</f>
        <v>12.389796365864225</v>
      </c>
      <c r="K123" s="56">
        <f>Table2234210234[[#This Row],[Yest]]-Table2234210234[[#This Row],[REF]]</f>
        <v>-0.7502039341357758</v>
      </c>
      <c r="L123" s="56">
        <f>ABS(Table2234210234[[#This Row],[RESyx]])</f>
        <v>0.7502039341357758</v>
      </c>
      <c r="M123" s="29">
        <f>Table2234210234[[#This Row],[Y_pred]]*E$25+E$26</f>
        <v>13.11981231627167</v>
      </c>
      <c r="N123" s="29">
        <f>Table2234210234[[#This Row],[X-Y]]^2</f>
        <v>2.2226252557747164</v>
      </c>
      <c r="O123" s="57">
        <f>Table2234210234[[#This Row],[yest_rect]]-Table2234210234[[#This Row],[REF]]</f>
        <v>-2.0187983728330749E-2</v>
      </c>
      <c r="P123" s="57">
        <f>Table2234210234[[#This Row],[dif rec]]^2</f>
        <v>4.0755468701534709E-4</v>
      </c>
      <c r="Q123" s="57">
        <f>ABS(Table2234210234[[#This Row],[diff-bias]])</f>
        <v>0.72064189079160101</v>
      </c>
      <c r="R123" s="57">
        <f ca="1">CELL("row",Table2234210234[[#This Row],[Position]])</f>
        <v>123</v>
      </c>
      <c r="S123" s="4">
        <f>Table2234210234[[#This Row],[REF]]-D$13</f>
        <v>2.1300000499999996</v>
      </c>
      <c r="T123" s="4">
        <f>ABS(Table2234210234[[#This Row],[lab-med]])</f>
        <v>2.1300000499999996</v>
      </c>
      <c r="U123" s="4">
        <f>Table2234210234[[#This Row],[Y_pred]]-F$13</f>
        <v>2.8535097701760499</v>
      </c>
      <c r="V123" s="4">
        <f>ABS(Table2234210234[[#This Row],[anl-med]])</f>
        <v>2.8535097701760499</v>
      </c>
      <c r="W123" s="4">
        <f>Table2234210234[[#This Row],[lab-med]]*Table2234210234[[#This Row],[anl-med]]</f>
        <v>6.0779759531504736</v>
      </c>
    </row>
    <row r="124" spans="2:23" x14ac:dyDescent="0.25">
      <c r="B124" s="46">
        <f ca="1">VALUE((Table2234210234[[#This Row],[Column3]]-62))</f>
        <v>62</v>
      </c>
      <c r="C124" t="s">
        <v>130</v>
      </c>
      <c r="D124">
        <v>11.699999800000001</v>
      </c>
      <c r="E124"/>
      <c r="F124" s="87">
        <v>10.695547871610099</v>
      </c>
      <c r="G124" s="29">
        <f>Table2234210234[[#This Row],[Y_pred]]-Table2234210234[[#This Row],[REF]]</f>
        <v>-1.0044519283899014</v>
      </c>
      <c r="H124" s="29">
        <f>Table2234210234[[#This Row],[X-Y]]-E$20</f>
        <v>-1.7746571980325001</v>
      </c>
      <c r="I124" s="29">
        <f>Table2234210234[[#This Row],[Y_pred]]-E$20</f>
        <v>9.9253426019675004</v>
      </c>
      <c r="J124" s="29">
        <f>Table2234210234[[#This Row],[Y_pred]]*E$21+E$22</f>
        <v>10.558429807966533</v>
      </c>
      <c r="K124" s="56">
        <f>Table2234210234[[#This Row],[Yest]]-Table2234210234[[#This Row],[REF]]</f>
        <v>-1.1415699920334674</v>
      </c>
      <c r="L124" s="56">
        <f>ABS(Table2234210234[[#This Row],[RESyx]])</f>
        <v>1.1415699920334674</v>
      </c>
      <c r="M124" s="29">
        <f>Table2234210234[[#This Row],[Y_pred]]*E$25+E$26</f>
        <v>10.244213490698204</v>
      </c>
      <c r="N124" s="29">
        <f>Table2234210234[[#This Row],[X-Y]]^2</f>
        <v>1.0089236764461915</v>
      </c>
      <c r="O124" s="57">
        <f>Table2234210234[[#This Row],[yest_rect]]-Table2234210234[[#This Row],[REF]]</f>
        <v>-1.4557863093017964</v>
      </c>
      <c r="P124" s="57">
        <f>Table2234210234[[#This Row],[dif rec]]^2</f>
        <v>2.1193137783505458</v>
      </c>
      <c r="Q124" s="57">
        <f>ABS(Table2234210234[[#This Row],[diff-bias]])</f>
        <v>1.7746571980325001</v>
      </c>
      <c r="R124" s="57">
        <f ca="1">CELL("row",Table2234210234[[#This Row],[Position]])</f>
        <v>124</v>
      </c>
      <c r="S124" s="4">
        <f>Table2234210234[[#This Row],[REF]]-D$13</f>
        <v>0.68999954999999957</v>
      </c>
      <c r="T124" s="4">
        <f>ABS(Table2234210234[[#This Row],[lab-med]])</f>
        <v>0.68999954999999957</v>
      </c>
      <c r="U124" s="4">
        <f>Table2234210234[[#This Row],[Y_pred]]-F$13</f>
        <v>-1.0817898186480512</v>
      </c>
      <c r="V124" s="4">
        <f>ABS(Table2234210234[[#This Row],[anl-med]])</f>
        <v>1.0817898186480512</v>
      </c>
      <c r="W124" s="4">
        <f>Table2234210234[[#This Row],[lab-med]]*Table2234210234[[#This Row],[anl-med]]</f>
        <v>-0.74643448806173651</v>
      </c>
    </row>
    <row r="125" spans="2:23" x14ac:dyDescent="0.25">
      <c r="B125" s="46">
        <f ca="1">VALUE((Table2234210234[[#This Row],[Column3]]-62))</f>
        <v>63</v>
      </c>
      <c r="C125" t="s">
        <v>131</v>
      </c>
      <c r="D125">
        <v>10.3800001</v>
      </c>
      <c r="E125"/>
      <c r="F125" s="87">
        <v>13.4629304677392</v>
      </c>
      <c r="G125" s="29">
        <f>Table2234210234[[#This Row],[Y_pred]]-Table2234210234[[#This Row],[REF]]</f>
        <v>3.0829303677392002</v>
      </c>
      <c r="H125" s="29">
        <f>Table2234210234[[#This Row],[X-Y]]-E$20</f>
        <v>2.3127250980966014</v>
      </c>
      <c r="I125" s="29">
        <f>Table2234210234[[#This Row],[Y_pred]]-E$20</f>
        <v>12.692725198096602</v>
      </c>
      <c r="J125" s="29">
        <f>Table2234210234[[#This Row],[Y_pred]]*E$21+E$22</f>
        <v>11.846283966224739</v>
      </c>
      <c r="K125" s="56">
        <f>Table2234210234[[#This Row],[Yest]]-Table2234210234[[#This Row],[REF]]</f>
        <v>1.4662838662247388</v>
      </c>
      <c r="L125" s="56">
        <f>ABS(Table2234210234[[#This Row],[RESyx]])</f>
        <v>1.4662838662247388</v>
      </c>
      <c r="M125" s="29">
        <f>Table2234210234[[#This Row],[Y_pred]]*E$25+E$26</f>
        <v>12.266392987766475</v>
      </c>
      <c r="N125" s="29">
        <f>Table2234210234[[#This Row],[X-Y]]^2</f>
        <v>9.5044596523285598</v>
      </c>
      <c r="O125" s="57">
        <f>Table2234210234[[#This Row],[yest_rect]]-Table2234210234[[#This Row],[REF]]</f>
        <v>1.8863928877664744</v>
      </c>
      <c r="P125" s="57">
        <f>Table2234210234[[#This Row],[dif rec]]^2</f>
        <v>3.5584781270159387</v>
      </c>
      <c r="Q125" s="57">
        <f>ABS(Table2234210234[[#This Row],[diff-bias]])</f>
        <v>2.3127250980966014</v>
      </c>
      <c r="R125" s="57">
        <f ca="1">CELL("row",Table2234210234[[#This Row],[Position]])</f>
        <v>125</v>
      </c>
      <c r="S125" s="4">
        <f>Table2234210234[[#This Row],[REF]]-D$13</f>
        <v>-0.63000015000000076</v>
      </c>
      <c r="T125" s="4">
        <f>ABS(Table2234210234[[#This Row],[lab-med]])</f>
        <v>0.63000015000000076</v>
      </c>
      <c r="U125" s="4">
        <f>Table2234210234[[#This Row],[Y_pred]]-F$13</f>
        <v>1.68559277748105</v>
      </c>
      <c r="V125" s="4">
        <f>ABS(Table2234210234[[#This Row],[anl-med]])</f>
        <v>1.68559277748105</v>
      </c>
      <c r="W125" s="4">
        <f>Table2234210234[[#This Row],[lab-med]]*Table2234210234[[#This Row],[anl-med]]</f>
        <v>-1.0619237026519794</v>
      </c>
    </row>
    <row r="126" spans="2:23" x14ac:dyDescent="0.25">
      <c r="B126" s="46">
        <f ca="1">VALUE((Table2234210234[[#This Row],[Column3]]-62))</f>
        <v>64</v>
      </c>
      <c r="C126" t="s">
        <v>132</v>
      </c>
      <c r="D126">
        <v>13.350000400000001</v>
      </c>
      <c r="E126"/>
      <c r="F126" s="87">
        <v>13.963622513280599</v>
      </c>
      <c r="G126" s="29">
        <f>Table2234210234[[#This Row],[Y_pred]]-Table2234210234[[#This Row],[REF]]</f>
        <v>0.61362211328059857</v>
      </c>
      <c r="H126" s="29">
        <f>Table2234210234[[#This Row],[X-Y]]-E$20</f>
        <v>-0.15658315636200015</v>
      </c>
      <c r="I126" s="29">
        <f>Table2234210234[[#This Row],[Y_pred]]-E$20</f>
        <v>13.193417243638001</v>
      </c>
      <c r="J126" s="29">
        <f>Table2234210234[[#This Row],[Y_pred]]*E$21+E$22</f>
        <v>12.0792905384852</v>
      </c>
      <c r="K126" s="56">
        <f>Table2234210234[[#This Row],[Yest]]-Table2234210234[[#This Row],[REF]]</f>
        <v>-1.2707098615148009</v>
      </c>
      <c r="L126" s="56">
        <f>ABS(Table2234210234[[#This Row],[RESyx]])</f>
        <v>1.2707098615148009</v>
      </c>
      <c r="M126" s="29">
        <f>Table2234210234[[#This Row],[Y_pred]]*E$25+E$26</f>
        <v>12.632258260698094</v>
      </c>
      <c r="N126" s="29">
        <f>Table2234210234[[#This Row],[X-Y]]^2</f>
        <v>0.37653209790694775</v>
      </c>
      <c r="O126" s="57">
        <f>Table2234210234[[#This Row],[yest_rect]]-Table2234210234[[#This Row],[REF]]</f>
        <v>-0.71774213930190633</v>
      </c>
      <c r="P126" s="57">
        <f>Table2234210234[[#This Row],[dif rec]]^2</f>
        <v>0.51515377852967714</v>
      </c>
      <c r="Q126" s="57">
        <f>ABS(Table2234210234[[#This Row],[diff-bias]])</f>
        <v>0.15658315636200015</v>
      </c>
      <c r="R126" s="57">
        <f ca="1">CELL("row",Table2234210234[[#This Row],[Position]])</f>
        <v>126</v>
      </c>
      <c r="S126" s="4">
        <f>Table2234210234[[#This Row],[REF]]-D$13</f>
        <v>2.3400001499999998</v>
      </c>
      <c r="T126" s="4">
        <f>ABS(Table2234210234[[#This Row],[lab-med]])</f>
        <v>2.3400001499999998</v>
      </c>
      <c r="U126" s="4">
        <f>Table2234210234[[#This Row],[Y_pred]]-F$13</f>
        <v>2.186284823022449</v>
      </c>
      <c r="V126" s="4">
        <f>ABS(Table2234210234[[#This Row],[anl-med]])</f>
        <v>2.186284823022449</v>
      </c>
      <c r="W126" s="4">
        <f>Table2234210234[[#This Row],[lab-med]]*Table2234210234[[#This Row],[anl-med]]</f>
        <v>5.1159068138152533</v>
      </c>
    </row>
    <row r="127" spans="2:23" x14ac:dyDescent="0.25">
      <c r="B127" s="46">
        <f ca="1">VALUE((Table2234210234[[#This Row],[Column3]]-62))</f>
        <v>65</v>
      </c>
      <c r="C127" t="s">
        <v>133</v>
      </c>
      <c r="D127">
        <v>12.6599998</v>
      </c>
      <c r="E127"/>
      <c r="F127" s="87">
        <v>14.7973460106976</v>
      </c>
      <c r="G127" s="29">
        <f>Table2234210234[[#This Row],[Y_pred]]-Table2234210234[[#This Row],[REF]]</f>
        <v>2.1373462106976007</v>
      </c>
      <c r="H127" s="29">
        <f>Table2234210234[[#This Row],[X-Y]]-E$20</f>
        <v>1.3671409410550019</v>
      </c>
      <c r="I127" s="29">
        <f>Table2234210234[[#This Row],[Y_pred]]-E$20</f>
        <v>14.027140741055002</v>
      </c>
      <c r="J127" s="29">
        <f>Table2234210234[[#This Row],[Y_pred]]*E$21+E$22</f>
        <v>12.467279634928868</v>
      </c>
      <c r="K127" s="56">
        <f>Table2234210234[[#This Row],[Yest]]-Table2234210234[[#This Row],[REF]]</f>
        <v>-0.19272016507113143</v>
      </c>
      <c r="L127" s="56">
        <f>ABS(Table2234210234[[#This Row],[RESyx]])</f>
        <v>0.19272016507113143</v>
      </c>
      <c r="M127" s="29">
        <f>Table2234210234[[#This Row],[Y_pred]]*E$25+E$26</f>
        <v>13.241475997724747</v>
      </c>
      <c r="N127" s="29">
        <f>Table2234210234[[#This Row],[X-Y]]^2</f>
        <v>4.5682488243833923</v>
      </c>
      <c r="O127" s="57">
        <f>Table2234210234[[#This Row],[yest_rect]]-Table2234210234[[#This Row],[REF]]</f>
        <v>0.58147619772474712</v>
      </c>
      <c r="P127" s="57">
        <f>Table2234210234[[#This Row],[dif rec]]^2</f>
        <v>0.3381145685204292</v>
      </c>
      <c r="Q127" s="57">
        <f>ABS(Table2234210234[[#This Row],[diff-bias]])</f>
        <v>1.3671409410550019</v>
      </c>
      <c r="R127" s="57">
        <f ca="1">CELL("row",Table2234210234[[#This Row],[Position]])</f>
        <v>127</v>
      </c>
      <c r="S127" s="4">
        <f>Table2234210234[[#This Row],[REF]]-D$13</f>
        <v>1.6499995499999986</v>
      </c>
      <c r="T127" s="4">
        <f>ABS(Table2234210234[[#This Row],[lab-med]])</f>
        <v>1.6499995499999986</v>
      </c>
      <c r="U127" s="4">
        <f>Table2234210234[[#This Row],[Y_pred]]-F$13</f>
        <v>3.0200083204394499</v>
      </c>
      <c r="V127" s="4">
        <f>ABS(Table2234210234[[#This Row],[anl-med]])</f>
        <v>3.0200083204394499</v>
      </c>
      <c r="W127" s="4">
        <f>Table2234210234[[#This Row],[lab-med]]*Table2234210234[[#This Row],[anl-med]]</f>
        <v>4.9830123697213438</v>
      </c>
    </row>
    <row r="128" spans="2:23" x14ac:dyDescent="0.25">
      <c r="B128" s="46">
        <f ca="1">VALUE((Table2234210234[[#This Row],[Column3]]-62))</f>
        <v>66</v>
      </c>
      <c r="C128" t="s">
        <v>134</v>
      </c>
      <c r="D128">
        <v>11.9899998</v>
      </c>
      <c r="E128"/>
      <c r="F128" s="87">
        <v>12.8541703871284</v>
      </c>
      <c r="G128" s="29">
        <f>Table2234210234[[#This Row],[Y_pred]]-Table2234210234[[#This Row],[REF]]</f>
        <v>0.86417058712840067</v>
      </c>
      <c r="H128" s="29">
        <f>Table2234210234[[#This Row],[X-Y]]-E$20</f>
        <v>9.3965317485801947E-2</v>
      </c>
      <c r="I128" s="29">
        <f>Table2234210234[[#This Row],[Y_pred]]-E$20</f>
        <v>12.083965117485802</v>
      </c>
      <c r="J128" s="29">
        <f>Table2234210234[[#This Row],[Y_pred]]*E$21+E$22</f>
        <v>11.56298587715934</v>
      </c>
      <c r="K128" s="56">
        <f>Table2234210234[[#This Row],[Yest]]-Table2234210234[[#This Row],[REF]]</f>
        <v>-0.42701392284065953</v>
      </c>
      <c r="L128" s="56">
        <f>ABS(Table2234210234[[#This Row],[RESyx]])</f>
        <v>0.42701392284065953</v>
      </c>
      <c r="M128" s="29">
        <f>Table2234210234[[#This Row],[Y_pred]]*E$25+E$26</f>
        <v>11.821560330595512</v>
      </c>
      <c r="N128" s="29">
        <f>Table2234210234[[#This Row],[X-Y]]^2</f>
        <v>0.74679080365784478</v>
      </c>
      <c r="O128" s="57">
        <f>Table2234210234[[#This Row],[yest_rect]]-Table2234210234[[#This Row],[REF]]</f>
        <v>-0.16843946940448795</v>
      </c>
      <c r="P128" s="57">
        <f>Table2234210234[[#This Row],[dif rec]]^2</f>
        <v>2.8371854853265432E-2</v>
      </c>
      <c r="Q128" s="57">
        <f>ABS(Table2234210234[[#This Row],[diff-bias]])</f>
        <v>9.3965317485801947E-2</v>
      </c>
      <c r="R128" s="57">
        <f ca="1">CELL("row",Table2234210234[[#This Row],[Position]])</f>
        <v>128</v>
      </c>
      <c r="S128" s="4">
        <f>Table2234210234[[#This Row],[REF]]-D$13</f>
        <v>0.97999954999999872</v>
      </c>
      <c r="T128" s="4">
        <f>ABS(Table2234210234[[#This Row],[lab-med]])</f>
        <v>0.97999954999999872</v>
      </c>
      <c r="U128" s="4">
        <f>Table2234210234[[#This Row],[Y_pred]]-F$13</f>
        <v>1.07683269687025</v>
      </c>
      <c r="V128" s="4">
        <f>ABS(Table2234210234[[#This Row],[anl-med]])</f>
        <v>1.07683269687025</v>
      </c>
      <c r="W128" s="4">
        <f>Table2234210234[[#This Row],[lab-med]]*Table2234210234[[#This Row],[anl-med]]</f>
        <v>1.05529555835813</v>
      </c>
    </row>
    <row r="129" spans="2:23" x14ac:dyDescent="0.25">
      <c r="B129" s="46">
        <f ca="1">VALUE((Table2234210234[[#This Row],[Column3]]-62))</f>
        <v>67</v>
      </c>
      <c r="C129" t="s">
        <v>135</v>
      </c>
      <c r="D129">
        <v>12</v>
      </c>
      <c r="E129"/>
      <c r="F129" s="87">
        <v>12.904076262597201</v>
      </c>
      <c r="G129" s="29">
        <f>Table2234210234[[#This Row],[Y_pred]]-Table2234210234[[#This Row],[REF]]</f>
        <v>0.90407626259720075</v>
      </c>
      <c r="H129" s="29">
        <f>Table2234210234[[#This Row],[X-Y]]-E$20</f>
        <v>0.13387099295460203</v>
      </c>
      <c r="I129" s="29">
        <f>Table2234210234[[#This Row],[Y_pred]]-E$20</f>
        <v>12.133870992954602</v>
      </c>
      <c r="J129" s="29">
        <f>Table2234210234[[#This Row],[Y_pred]]*E$21+E$22</f>
        <v>11.586210526087143</v>
      </c>
      <c r="K129" s="56">
        <f>Table2234210234[[#This Row],[Yest]]-Table2234210234[[#This Row],[REF]]</f>
        <v>-0.41378947391285692</v>
      </c>
      <c r="L129" s="56">
        <f>ABS(Table2234210234[[#This Row],[RESyx]])</f>
        <v>0.41378947391285692</v>
      </c>
      <c r="M129" s="29">
        <f>Table2234210234[[#This Row],[Y_pred]]*E$25+E$26</f>
        <v>11.85802751019598</v>
      </c>
      <c r="N129" s="29">
        <f>Table2234210234[[#This Row],[X-Y]]^2</f>
        <v>0.81735388859172264</v>
      </c>
      <c r="O129" s="57">
        <f>Table2234210234[[#This Row],[yest_rect]]-Table2234210234[[#This Row],[REF]]</f>
        <v>-0.14197248980402044</v>
      </c>
      <c r="P129" s="57">
        <f>Table2234210234[[#This Row],[dif rec]]^2</f>
        <v>2.0156187861152686E-2</v>
      </c>
      <c r="Q129" s="57">
        <f>ABS(Table2234210234[[#This Row],[diff-bias]])</f>
        <v>0.13387099295460203</v>
      </c>
      <c r="R129" s="57">
        <f ca="1">CELL("row",Table2234210234[[#This Row],[Position]])</f>
        <v>129</v>
      </c>
      <c r="S129" s="4">
        <f>Table2234210234[[#This Row],[REF]]-D$13</f>
        <v>0.98999974999999907</v>
      </c>
      <c r="T129" s="4">
        <f>ABS(Table2234210234[[#This Row],[lab-med]])</f>
        <v>0.98999974999999907</v>
      </c>
      <c r="U129" s="4">
        <f>Table2234210234[[#This Row],[Y_pred]]-F$13</f>
        <v>1.1267385723390504</v>
      </c>
      <c r="V129" s="4">
        <f>ABS(Table2234210234[[#This Row],[anl-med]])</f>
        <v>1.1267385723390504</v>
      </c>
      <c r="W129" s="4">
        <f>Table2234210234[[#This Row],[lab-med]]*Table2234210234[[#This Row],[anl-med]]</f>
        <v>1.1154709049310159</v>
      </c>
    </row>
    <row r="130" spans="2:23" x14ac:dyDescent="0.25">
      <c r="B130" s="46">
        <f ca="1">VALUE((Table2234210234[[#This Row],[Column3]]-62))</f>
        <v>68</v>
      </c>
      <c r="C130" t="s">
        <v>136</v>
      </c>
      <c r="D130">
        <v>12</v>
      </c>
      <c r="E130"/>
      <c r="F130" s="87">
        <v>10.959684920743699</v>
      </c>
      <c r="G130" s="29">
        <f>Table2234210234[[#This Row],[Y_pred]]-Table2234210234[[#This Row],[REF]]</f>
        <v>-1.0403150792563007</v>
      </c>
      <c r="H130" s="29">
        <f>Table2234210234[[#This Row],[X-Y]]-E$20</f>
        <v>-1.8105203488988995</v>
      </c>
      <c r="I130" s="29">
        <f>Table2234210234[[#This Row],[Y_pred]]-E$20</f>
        <v>10.189479651101101</v>
      </c>
      <c r="J130" s="29">
        <f>Table2234210234[[#This Row],[Y_pred]]*E$21+E$22</f>
        <v>10.681351010677201</v>
      </c>
      <c r="K130" s="56">
        <f>Table2234210234[[#This Row],[Yest]]-Table2234210234[[#This Row],[REF]]</f>
        <v>-1.3186489893227993</v>
      </c>
      <c r="L130" s="56">
        <f>ABS(Table2234210234[[#This Row],[RESyx]])</f>
        <v>1.3186489893227993</v>
      </c>
      <c r="M130" s="29">
        <f>Table2234210234[[#This Row],[Y_pred]]*E$25+E$26</f>
        <v>10.437223494418399</v>
      </c>
      <c r="N130" s="29">
        <f>Table2234210234[[#This Row],[X-Y]]^2</f>
        <v>1.0822554641280433</v>
      </c>
      <c r="O130" s="57">
        <f>Table2234210234[[#This Row],[yest_rect]]-Table2234210234[[#This Row],[REF]]</f>
        <v>-1.562776505581601</v>
      </c>
      <c r="P130" s="57">
        <f>Table2234210234[[#This Row],[dif rec]]^2</f>
        <v>2.4422704063978395</v>
      </c>
      <c r="Q130" s="57">
        <f>ABS(Table2234210234[[#This Row],[diff-bias]])</f>
        <v>1.8105203488988995</v>
      </c>
      <c r="R130" s="57">
        <f ca="1">CELL("row",Table2234210234[[#This Row],[Position]])</f>
        <v>130</v>
      </c>
      <c r="S130" s="4">
        <f>Table2234210234[[#This Row],[REF]]-D$13</f>
        <v>0.98999974999999907</v>
      </c>
      <c r="T130" s="4">
        <f>ABS(Table2234210234[[#This Row],[lab-med]])</f>
        <v>0.98999974999999907</v>
      </c>
      <c r="U130" s="4">
        <f>Table2234210234[[#This Row],[Y_pred]]-F$13</f>
        <v>-0.81765276951445109</v>
      </c>
      <c r="V130" s="4">
        <f>ABS(Table2234210234[[#This Row],[anl-med]])</f>
        <v>0.81765276951445109</v>
      </c>
      <c r="W130" s="4">
        <f>Table2234210234[[#This Row],[lab-med]]*Table2234210234[[#This Row],[anl-med]]</f>
        <v>-0.8094760374061134</v>
      </c>
    </row>
    <row r="131" spans="2:23" x14ac:dyDescent="0.25">
      <c r="B131" s="46">
        <f ca="1">VALUE((Table2234210234[[#This Row],[Column3]]-62))</f>
        <v>69</v>
      </c>
      <c r="C131" t="s">
        <v>137</v>
      </c>
      <c r="D131">
        <v>13.1599998</v>
      </c>
      <c r="E131"/>
      <c r="F131" s="87">
        <v>13.468006512283001</v>
      </c>
      <c r="G131" s="29">
        <f>Table2234210234[[#This Row],[Y_pred]]-Table2234210234[[#This Row],[REF]]</f>
        <v>0.30800671228300125</v>
      </c>
      <c r="H131" s="29">
        <f>Table2234210234[[#This Row],[X-Y]]-E$20</f>
        <v>-0.46219855735959747</v>
      </c>
      <c r="I131" s="29">
        <f>Table2234210234[[#This Row],[Y_pred]]-E$20</f>
        <v>12.697801242640402</v>
      </c>
      <c r="J131" s="29">
        <f>Table2234210234[[#This Row],[Y_pred]]*E$21+E$22</f>
        <v>11.848646200157402</v>
      </c>
      <c r="K131" s="56">
        <f>Table2234210234[[#This Row],[Yest]]-Table2234210234[[#This Row],[REF]]</f>
        <v>-1.3113535998425974</v>
      </c>
      <c r="L131" s="56">
        <f>ABS(Table2234210234[[#This Row],[RESyx]])</f>
        <v>1.3113535998425974</v>
      </c>
      <c r="M131" s="29">
        <f>Table2234210234[[#This Row],[Y_pred]]*E$25+E$26</f>
        <v>12.270102150791868</v>
      </c>
      <c r="N131" s="29">
        <f>Table2234210234[[#This Row],[X-Y]]^2</f>
        <v>9.4868134811383509E-2</v>
      </c>
      <c r="O131" s="57">
        <f>Table2234210234[[#This Row],[yest_rect]]-Table2234210234[[#This Row],[REF]]</f>
        <v>-0.88989764920813208</v>
      </c>
      <c r="P131" s="57">
        <f>Table2234210234[[#This Row],[dif rec]]^2</f>
        <v>0.79191782606615968</v>
      </c>
      <c r="Q131" s="57">
        <f>ABS(Table2234210234[[#This Row],[diff-bias]])</f>
        <v>0.46219855735959747</v>
      </c>
      <c r="R131" s="57">
        <f ca="1">CELL("row",Table2234210234[[#This Row],[Position]])</f>
        <v>131</v>
      </c>
      <c r="S131" s="4">
        <f>Table2234210234[[#This Row],[REF]]-D$13</f>
        <v>2.1499995499999986</v>
      </c>
      <c r="T131" s="4">
        <f>ABS(Table2234210234[[#This Row],[lab-med]])</f>
        <v>2.1499995499999986</v>
      </c>
      <c r="U131" s="4">
        <f>Table2234210234[[#This Row],[Y_pred]]-F$13</f>
        <v>1.6906688220248505</v>
      </c>
      <c r="V131" s="4">
        <f>ABS(Table2234210234[[#This Row],[anl-med]])</f>
        <v>1.6906688220248505</v>
      </c>
      <c r="W131" s="4">
        <f>Table2234210234[[#This Row],[lab-med]]*Table2234210234[[#This Row],[anl-med]]</f>
        <v>3.6349372065524563</v>
      </c>
    </row>
    <row r="132" spans="2:23" x14ac:dyDescent="0.25">
      <c r="B132" s="46">
        <f ca="1">VALUE((Table2234210234[[#This Row],[Column3]]-62))</f>
        <v>70</v>
      </c>
      <c r="C132" t="s">
        <v>138</v>
      </c>
      <c r="D132">
        <v>12.170000099999999</v>
      </c>
      <c r="E132"/>
      <c r="F132" s="87">
        <v>10.3776295193357</v>
      </c>
      <c r="G132" s="29">
        <f>Table2234210234[[#This Row],[Y_pred]]-Table2234210234[[#This Row],[REF]]</f>
        <v>-1.7923705806642989</v>
      </c>
      <c r="H132" s="29">
        <f>Table2234210234[[#This Row],[X-Y]]-E$20</f>
        <v>-2.5625758503068976</v>
      </c>
      <c r="I132" s="29">
        <f>Table2234210234[[#This Row],[Y_pred]]-E$20</f>
        <v>9.6074242496931017</v>
      </c>
      <c r="J132" s="29">
        <f>Table2234210234[[#This Row],[Y_pred]]*E$21+E$22</f>
        <v>10.410480452306107</v>
      </c>
      <c r="K132" s="56">
        <f>Table2234210234[[#This Row],[Yest]]-Table2234210234[[#This Row],[REF]]</f>
        <v>-1.7595196476938924</v>
      </c>
      <c r="L132" s="56">
        <f>ABS(Table2234210234[[#This Row],[RESyx]])</f>
        <v>1.7595196476938924</v>
      </c>
      <c r="M132" s="29">
        <f>Table2234210234[[#This Row],[Y_pred]]*E$25+E$26</f>
        <v>10.011904458108976</v>
      </c>
      <c r="N132" s="29">
        <f>Table2234210234[[#This Row],[X-Y]]^2</f>
        <v>3.2125922984308759</v>
      </c>
      <c r="O132" s="57">
        <f>Table2234210234[[#This Row],[yest_rect]]-Table2234210234[[#This Row],[REF]]</f>
        <v>-2.1580956418910233</v>
      </c>
      <c r="P132" s="57">
        <f>Table2234210234[[#This Row],[dif rec]]^2</f>
        <v>4.6573767995490281</v>
      </c>
      <c r="Q132" s="57">
        <f>ABS(Table2234210234[[#This Row],[diff-bias]])</f>
        <v>2.5625758503068976</v>
      </c>
      <c r="R132" s="57">
        <f ca="1">CELL("row",Table2234210234[[#This Row],[Position]])</f>
        <v>132</v>
      </c>
      <c r="S132" s="4">
        <f>Table2234210234[[#This Row],[REF]]-D$13</f>
        <v>1.1599998499999984</v>
      </c>
      <c r="T132" s="4">
        <f>ABS(Table2234210234[[#This Row],[lab-med]])</f>
        <v>1.1599998499999984</v>
      </c>
      <c r="U132" s="4">
        <f>Table2234210234[[#This Row],[Y_pred]]-F$13</f>
        <v>-1.3997081709224499</v>
      </c>
      <c r="V132" s="4">
        <f>ABS(Table2234210234[[#This Row],[anl-med]])</f>
        <v>1.3997081709224499</v>
      </c>
      <c r="W132" s="4">
        <f>Table2234210234[[#This Row],[lab-med]]*Table2234210234[[#This Row],[anl-med]]</f>
        <v>-1.6236612683138141</v>
      </c>
    </row>
    <row r="133" spans="2:23" x14ac:dyDescent="0.25">
      <c r="B133" s="46">
        <f ca="1">VALUE((Table2234210234[[#This Row],[Column3]]-62))</f>
        <v>71</v>
      </c>
      <c r="C133" t="s">
        <v>139</v>
      </c>
      <c r="D133">
        <v>10.970000300000001</v>
      </c>
      <c r="E133"/>
      <c r="F133" s="87">
        <v>12.9869566911656</v>
      </c>
      <c r="G133" s="29">
        <f>Table2234210234[[#This Row],[Y_pred]]-Table2234210234[[#This Row],[REF]]</f>
        <v>2.0169563911655999</v>
      </c>
      <c r="H133" s="29">
        <f>Table2234210234[[#This Row],[X-Y]]-E$20</f>
        <v>1.2467511215230012</v>
      </c>
      <c r="I133" s="29">
        <f>Table2234210234[[#This Row],[Y_pred]]-E$20</f>
        <v>12.216751421523002</v>
      </c>
      <c r="J133" s="29">
        <f>Table2234210234[[#This Row],[Y_pred]]*E$21+E$22</f>
        <v>11.624780510851568</v>
      </c>
      <c r="K133" s="56">
        <f>Table2234210234[[#This Row],[Yest]]-Table2234210234[[#This Row],[REF]]</f>
        <v>0.6547802108515679</v>
      </c>
      <c r="L133" s="56">
        <f>ABS(Table2234210234[[#This Row],[RESyx]])</f>
        <v>0.6547802108515679</v>
      </c>
      <c r="M133" s="29">
        <f>Table2234210234[[#This Row],[Y_pred]]*E$25+E$26</f>
        <v>11.918589827670145</v>
      </c>
      <c r="N133" s="29">
        <f>Table2234210234[[#This Row],[X-Y]]^2</f>
        <v>4.0681130838637607</v>
      </c>
      <c r="O133" s="57">
        <f>Table2234210234[[#This Row],[yest_rect]]-Table2234210234[[#This Row],[REF]]</f>
        <v>0.94858952767014415</v>
      </c>
      <c r="P133" s="57">
        <f>Table2234210234[[#This Row],[dif rec]]^2</f>
        <v>0.89982209200546714</v>
      </c>
      <c r="Q133" s="57">
        <f>ABS(Table2234210234[[#This Row],[diff-bias]])</f>
        <v>1.2467511215230012</v>
      </c>
      <c r="R133" s="57">
        <f ca="1">CELL("row",Table2234210234[[#This Row],[Position]])</f>
        <v>133</v>
      </c>
      <c r="S133" s="4">
        <f>Table2234210234[[#This Row],[REF]]-D$13</f>
        <v>-3.9999950000000339E-2</v>
      </c>
      <c r="T133" s="4">
        <f>ABS(Table2234210234[[#This Row],[lab-med]])</f>
        <v>3.9999950000000339E-2</v>
      </c>
      <c r="U133" s="4">
        <f>Table2234210234[[#This Row],[Y_pred]]-F$13</f>
        <v>1.2096190009074501</v>
      </c>
      <c r="V133" s="4">
        <f>ABS(Table2234210234[[#This Row],[anl-med]])</f>
        <v>1.2096190009074501</v>
      </c>
      <c r="W133" s="4">
        <f>Table2234210234[[#This Row],[lab-med]]*Table2234210234[[#This Row],[anl-med]]</f>
        <v>-4.8384699555348368E-2</v>
      </c>
    </row>
    <row r="134" spans="2:23" x14ac:dyDescent="0.25">
      <c r="B134" s="46">
        <f ca="1">VALUE((Table2234210234[[#This Row],[Column3]]-62))</f>
        <v>72</v>
      </c>
      <c r="C134" t="s">
        <v>140</v>
      </c>
      <c r="D134">
        <v>12.2600002</v>
      </c>
      <c r="E134"/>
      <c r="F134" s="87">
        <v>13.2633000098006</v>
      </c>
      <c r="G134" s="29">
        <f>Table2234210234[[#This Row],[Y_pred]]-Table2234210234[[#This Row],[REF]]</f>
        <v>1.0032998098006001</v>
      </c>
      <c r="H134" s="29">
        <f>Table2234210234[[#This Row],[X-Y]]-E$20</f>
        <v>0.23309454015800135</v>
      </c>
      <c r="I134" s="29">
        <f>Table2234210234[[#This Row],[Y_pred]]-E$20</f>
        <v>12.493094740158002</v>
      </c>
      <c r="J134" s="29">
        <f>Table2234210234[[#This Row],[Y_pred]]*E$21+E$22</f>
        <v>11.753382133377041</v>
      </c>
      <c r="K134" s="56">
        <f>Table2234210234[[#This Row],[Yest]]-Table2234210234[[#This Row],[REF]]</f>
        <v>-0.50661806662295916</v>
      </c>
      <c r="L134" s="56">
        <f>ABS(Table2234210234[[#This Row],[RESyx]])</f>
        <v>0.50661806662295916</v>
      </c>
      <c r="M134" s="29">
        <f>Table2234210234[[#This Row],[Y_pred]]*E$25+E$26</f>
        <v>12.12051918643577</v>
      </c>
      <c r="N134" s="29">
        <f>Table2234210234[[#This Row],[X-Y]]^2</f>
        <v>1.0066105083459203</v>
      </c>
      <c r="O134" s="57">
        <f>Table2234210234[[#This Row],[yest_rect]]-Table2234210234[[#This Row],[REF]]</f>
        <v>-0.13948101356423059</v>
      </c>
      <c r="P134" s="57">
        <f>Table2234210234[[#This Row],[dif rec]]^2</f>
        <v>1.9454953144905078E-2</v>
      </c>
      <c r="Q134" s="57">
        <f>ABS(Table2234210234[[#This Row],[diff-bias]])</f>
        <v>0.23309454015800135</v>
      </c>
      <c r="R134" s="57">
        <f ca="1">CELL("row",Table2234210234[[#This Row],[Position]])</f>
        <v>134</v>
      </c>
      <c r="S134" s="4">
        <f>Table2234210234[[#This Row],[REF]]-D$13</f>
        <v>1.2499999499999994</v>
      </c>
      <c r="T134" s="4">
        <f>ABS(Table2234210234[[#This Row],[lab-med]])</f>
        <v>1.2499999499999994</v>
      </c>
      <c r="U134" s="4">
        <f>Table2234210234[[#This Row],[Y_pred]]-F$13</f>
        <v>1.4859623195424501</v>
      </c>
      <c r="V134" s="4">
        <f>ABS(Table2234210234[[#This Row],[anl-med]])</f>
        <v>1.4859623195424501</v>
      </c>
      <c r="W134" s="4">
        <f>Table2234210234[[#This Row],[lab-med]]*Table2234210234[[#This Row],[anl-med]]</f>
        <v>1.8574528251299458</v>
      </c>
    </row>
    <row r="135" spans="2:23" x14ac:dyDescent="0.25">
      <c r="B135" s="46">
        <f ca="1">VALUE((Table2234210234[[#This Row],[Column3]]-62))</f>
        <v>73</v>
      </c>
      <c r="C135" t="s">
        <v>141</v>
      </c>
      <c r="D135">
        <v>13.029999699999999</v>
      </c>
      <c r="E135"/>
      <c r="F135" s="87">
        <v>13.566937263437</v>
      </c>
      <c r="G135" s="29">
        <f>Table2234210234[[#This Row],[Y_pred]]-Table2234210234[[#This Row],[REF]]</f>
        <v>0.53693756343700016</v>
      </c>
      <c r="H135" s="29">
        <f>Table2234210234[[#This Row],[X-Y]]-E$20</f>
        <v>-0.23326770620559856</v>
      </c>
      <c r="I135" s="29">
        <f>Table2234210234[[#This Row],[Y_pred]]-E$20</f>
        <v>12.796731993794401</v>
      </c>
      <c r="J135" s="29">
        <f>Table2234210234[[#This Row],[Y_pred]]*E$21+E$22</f>
        <v>11.894685507997055</v>
      </c>
      <c r="K135" s="56">
        <f>Table2234210234[[#This Row],[Yest]]-Table2234210234[[#This Row],[REF]]</f>
        <v>-1.1353141920029444</v>
      </c>
      <c r="L135" s="56">
        <f>ABS(Table2234210234[[#This Row],[RESyx]])</f>
        <v>1.1353141920029444</v>
      </c>
      <c r="M135" s="29">
        <f>Table2234210234[[#This Row],[Y_pred]]*E$25+E$26</f>
        <v>12.342392746567461</v>
      </c>
      <c r="N135" s="29">
        <f>Table2234210234[[#This Row],[X-Y]]^2</f>
        <v>0.28830194702966255</v>
      </c>
      <c r="O135" s="57">
        <f>Table2234210234[[#This Row],[yest_rect]]-Table2234210234[[#This Row],[REF]]</f>
        <v>-0.68760695343253886</v>
      </c>
      <c r="P135" s="57">
        <f>Table2234210234[[#This Row],[dif rec]]^2</f>
        <v>0.47280332240877765</v>
      </c>
      <c r="Q135" s="57">
        <f>ABS(Table2234210234[[#This Row],[diff-bias]])</f>
        <v>0.23326770620559856</v>
      </c>
      <c r="R135" s="57">
        <f ca="1">CELL("row",Table2234210234[[#This Row],[Position]])</f>
        <v>135</v>
      </c>
      <c r="S135" s="4">
        <f>Table2234210234[[#This Row],[REF]]-D$13</f>
        <v>2.0199994499999985</v>
      </c>
      <c r="T135" s="4">
        <f>ABS(Table2234210234[[#This Row],[lab-med]])</f>
        <v>2.0199994499999985</v>
      </c>
      <c r="U135" s="4">
        <f>Table2234210234[[#This Row],[Y_pred]]-F$13</f>
        <v>1.7895995731788492</v>
      </c>
      <c r="V135" s="4">
        <f>ABS(Table2234210234[[#This Row],[anl-med]])</f>
        <v>1.7895995731788492</v>
      </c>
      <c r="W135" s="4">
        <f>Table2234210234[[#This Row],[lab-med]]*Table2234210234[[#This Row],[anl-med]]</f>
        <v>3.6149901535415072</v>
      </c>
    </row>
    <row r="136" spans="2:23" x14ac:dyDescent="0.25">
      <c r="B136" s="46">
        <f ca="1">VALUE((Table2234210234[[#This Row],[Column3]]-62))</f>
        <v>74</v>
      </c>
      <c r="C136" t="s">
        <v>142</v>
      </c>
      <c r="D136">
        <v>12.359999699999999</v>
      </c>
      <c r="E136"/>
      <c r="F136" s="87">
        <v>14.4886985871613</v>
      </c>
      <c r="G136" s="29">
        <f>Table2234210234[[#This Row],[Y_pred]]-Table2234210234[[#This Row],[REF]]</f>
        <v>2.1286988871613008</v>
      </c>
      <c r="H136" s="29">
        <f>Table2234210234[[#This Row],[X-Y]]-E$20</f>
        <v>1.3584936175187021</v>
      </c>
      <c r="I136" s="29">
        <f>Table2234210234[[#This Row],[Y_pred]]-E$20</f>
        <v>13.718493317518702</v>
      </c>
      <c r="J136" s="29">
        <f>Table2234210234[[#This Row],[Y_pred]]*E$21+E$22</f>
        <v>12.323644682395415</v>
      </c>
      <c r="K136" s="56">
        <f>Table2234210234[[#This Row],[Yest]]-Table2234210234[[#This Row],[REF]]</f>
        <v>-3.6355017604584816E-2</v>
      </c>
      <c r="L136" s="56">
        <f>ABS(Table2234210234[[#This Row],[RESyx]])</f>
        <v>3.6355017604584816E-2</v>
      </c>
      <c r="M136" s="29">
        <f>Table2234210234[[#This Row],[Y_pred]]*E$25+E$26</f>
        <v>13.015941410432381</v>
      </c>
      <c r="N136" s="29">
        <f>Table2234210234[[#This Row],[X-Y]]^2</f>
        <v>4.531358952201761</v>
      </c>
      <c r="O136" s="57">
        <f>Table2234210234[[#This Row],[yest_rect]]-Table2234210234[[#This Row],[REF]]</f>
        <v>0.6559417104323817</v>
      </c>
      <c r="P136" s="57">
        <f>Table2234210234[[#This Row],[dif rec]]^2</f>
        <v>0.43025952748495849</v>
      </c>
      <c r="Q136" s="57">
        <f>ABS(Table2234210234[[#This Row],[diff-bias]])</f>
        <v>1.3584936175187021</v>
      </c>
      <c r="R136" s="57">
        <f ca="1">CELL("row",Table2234210234[[#This Row],[Position]])</f>
        <v>136</v>
      </c>
      <c r="S136" s="4">
        <f>Table2234210234[[#This Row],[REF]]-D$13</f>
        <v>1.3499994499999985</v>
      </c>
      <c r="T136" s="4">
        <f>ABS(Table2234210234[[#This Row],[lab-med]])</f>
        <v>1.3499994499999985</v>
      </c>
      <c r="U136" s="4">
        <f>Table2234210234[[#This Row],[Y_pred]]-F$13</f>
        <v>2.71136089690315</v>
      </c>
      <c r="V136" s="4">
        <f>ABS(Table2234210234[[#This Row],[anl-med]])</f>
        <v>2.71136089690315</v>
      </c>
      <c r="W136" s="4">
        <f>Table2234210234[[#This Row],[lab-med]]*Table2234210234[[#This Row],[anl-med]]</f>
        <v>3.6603357195707553</v>
      </c>
    </row>
    <row r="137" spans="2:23" x14ac:dyDescent="0.25">
      <c r="B137" s="46">
        <f ca="1">VALUE((Table2234210234[[#This Row],[Column3]]-62))</f>
        <v>75</v>
      </c>
      <c r="C137" t="s">
        <v>143</v>
      </c>
      <c r="D137">
        <v>12.399999599999999</v>
      </c>
      <c r="E137"/>
      <c r="F137" s="87">
        <v>12.897274103460999</v>
      </c>
      <c r="G137" s="29">
        <f>Table2234210234[[#This Row],[Y_pred]]-Table2234210234[[#This Row],[REF]]</f>
        <v>0.49727450346099999</v>
      </c>
      <c r="H137" s="29">
        <f>Table2234210234[[#This Row],[X-Y]]-E$20</f>
        <v>-0.27293076618159873</v>
      </c>
      <c r="I137" s="29">
        <f>Table2234210234[[#This Row],[Y_pred]]-E$20</f>
        <v>12.127068833818401</v>
      </c>
      <c r="J137" s="29">
        <f>Table2234210234[[#This Row],[Y_pred]]*E$21+E$22</f>
        <v>11.583045011878539</v>
      </c>
      <c r="K137" s="56">
        <f>Table2234210234[[#This Row],[Yest]]-Table2234210234[[#This Row],[REF]]</f>
        <v>-0.81695458812145993</v>
      </c>
      <c r="L137" s="56">
        <f>ABS(Table2234210234[[#This Row],[RESyx]])</f>
        <v>0.81695458812145993</v>
      </c>
      <c r="M137" s="29">
        <f>Table2234210234[[#This Row],[Y_pred]]*E$25+E$26</f>
        <v>11.853057042158685</v>
      </c>
      <c r="N137" s="29">
        <f>Table2234210234[[#This Row],[X-Y]]^2</f>
        <v>0.24728193179238409</v>
      </c>
      <c r="O137" s="57">
        <f>Table2234210234[[#This Row],[yest_rect]]-Table2234210234[[#This Row],[REF]]</f>
        <v>-0.54694255784131407</v>
      </c>
      <c r="P137" s="57">
        <f>Table2234210234[[#This Row],[dif rec]]^2</f>
        <v>0.29914616157799917</v>
      </c>
      <c r="Q137" s="57">
        <f>ABS(Table2234210234[[#This Row],[diff-bias]])</f>
        <v>0.27293076618159873</v>
      </c>
      <c r="R137" s="57">
        <f ca="1">CELL("row",Table2234210234[[#This Row],[Position]])</f>
        <v>137</v>
      </c>
      <c r="S137" s="4">
        <f>Table2234210234[[#This Row],[REF]]-D$13</f>
        <v>1.3899993499999983</v>
      </c>
      <c r="T137" s="4">
        <f>ABS(Table2234210234[[#This Row],[lab-med]])</f>
        <v>1.3899993499999983</v>
      </c>
      <c r="U137" s="4">
        <f>Table2234210234[[#This Row],[Y_pred]]-F$13</f>
        <v>1.1199364132028489</v>
      </c>
      <c r="V137" s="4">
        <f>ABS(Table2234210234[[#This Row],[anl-med]])</f>
        <v>1.1199364132028489</v>
      </c>
      <c r="W137" s="4">
        <f>Table2234210234[[#This Row],[lab-med]]*Table2234210234[[#This Row],[anl-med]]</f>
        <v>1.5567108863932895</v>
      </c>
    </row>
    <row r="138" spans="2:23" x14ac:dyDescent="0.25">
      <c r="B138" s="46">
        <f ca="1">VALUE((Table2234210234[[#This Row],[Column3]]-62))</f>
        <v>76</v>
      </c>
      <c r="C138" t="s">
        <v>144</v>
      </c>
      <c r="D138">
        <v>12.5</v>
      </c>
      <c r="E138"/>
      <c r="F138" s="87">
        <v>11.0336537247923</v>
      </c>
      <c r="G138" s="29">
        <f>Table2234210234[[#This Row],[Y_pred]]-Table2234210234[[#This Row],[REF]]</f>
        <v>-1.4663462752076999</v>
      </c>
      <c r="H138" s="29">
        <f>Table2234210234[[#This Row],[X-Y]]-E$20</f>
        <v>-2.2365515448502986</v>
      </c>
      <c r="I138" s="29">
        <f>Table2234210234[[#This Row],[Y_pred]]-E$20</f>
        <v>10.263448455149701</v>
      </c>
      <c r="J138" s="29">
        <f>Table2234210234[[#This Row],[Y_pred]]*E$21+E$22</f>
        <v>10.715773801370698</v>
      </c>
      <c r="K138" s="56">
        <f>Table2234210234[[#This Row],[Yest]]-Table2234210234[[#This Row],[REF]]</f>
        <v>-1.7842261986293018</v>
      </c>
      <c r="L138" s="56">
        <f>ABS(Table2234210234[[#This Row],[RESyx]])</f>
        <v>1.7842261986293018</v>
      </c>
      <c r="M138" s="29">
        <f>Table2234210234[[#This Row],[Y_pred]]*E$25+E$26</f>
        <v>10.491273917073714</v>
      </c>
      <c r="N138" s="29">
        <f>Table2234210234[[#This Row],[X-Y]]^2</f>
        <v>2.1501713988154956</v>
      </c>
      <c r="O138" s="57">
        <f>Table2234210234[[#This Row],[yest_rect]]-Table2234210234[[#This Row],[REF]]</f>
        <v>-2.0087260829262856</v>
      </c>
      <c r="P138" s="57">
        <f>Table2234210234[[#This Row],[dif rec]]^2</f>
        <v>4.0349804762283785</v>
      </c>
      <c r="Q138" s="57">
        <f>ABS(Table2234210234[[#This Row],[diff-bias]])</f>
        <v>2.2365515448502986</v>
      </c>
      <c r="R138" s="57">
        <f ca="1">CELL("row",Table2234210234[[#This Row],[Position]])</f>
        <v>138</v>
      </c>
      <c r="S138" s="4">
        <f>Table2234210234[[#This Row],[REF]]-D$13</f>
        <v>1.4899997499999991</v>
      </c>
      <c r="T138" s="4">
        <f>ABS(Table2234210234[[#This Row],[lab-med]])</f>
        <v>1.4899997499999991</v>
      </c>
      <c r="U138" s="4">
        <f>Table2234210234[[#This Row],[Y_pred]]-F$13</f>
        <v>-0.74368396546585025</v>
      </c>
      <c r="V138" s="4">
        <f>ABS(Table2234210234[[#This Row],[anl-med]])</f>
        <v>0.74368396546585025</v>
      </c>
      <c r="W138" s="4">
        <f>Table2234210234[[#This Row],[lab-med]]*Table2234210234[[#This Row],[anl-med]]</f>
        <v>-1.1080889226231248</v>
      </c>
    </row>
    <row r="139" spans="2:23" x14ac:dyDescent="0.25">
      <c r="B139" s="46">
        <f ca="1">VALUE((Table2234210234[[#This Row],[Column3]]-62))</f>
        <v>77</v>
      </c>
      <c r="C139" t="s">
        <v>145</v>
      </c>
      <c r="D139">
        <v>12.600000400000001</v>
      </c>
      <c r="E139"/>
      <c r="F139" s="87">
        <v>12.640089808991201</v>
      </c>
      <c r="G139" s="29">
        <f>Table2234210234[[#This Row],[Y_pred]]-Table2234210234[[#This Row],[REF]]</f>
        <v>4.008940899120006E-2</v>
      </c>
      <c r="H139" s="29">
        <f>Table2234210234[[#This Row],[X-Y]]-E$20</f>
        <v>-0.73011586065139866</v>
      </c>
      <c r="I139" s="29">
        <f>Table2234210234[[#This Row],[Y_pred]]-E$20</f>
        <v>11.869884539348602</v>
      </c>
      <c r="J139" s="29">
        <f>Table2234210234[[#This Row],[Y_pred]]*E$21+E$22</f>
        <v>11.463359405871287</v>
      </c>
      <c r="K139" s="56">
        <f>Table2234210234[[#This Row],[Yest]]-Table2234210234[[#This Row],[REF]]</f>
        <v>-1.1366409941287134</v>
      </c>
      <c r="L139" s="56">
        <f>ABS(Table2234210234[[#This Row],[RESyx]])</f>
        <v>1.1366409941287134</v>
      </c>
      <c r="M139" s="29">
        <f>Table2234210234[[#This Row],[Y_pred]]*E$25+E$26</f>
        <v>11.665127549513812</v>
      </c>
      <c r="N139" s="29">
        <f>Table2234210234[[#This Row],[X-Y]]^2</f>
        <v>1.6071607132637123E-3</v>
      </c>
      <c r="O139" s="57">
        <f>Table2234210234[[#This Row],[yest_rect]]-Table2234210234[[#This Row],[REF]]</f>
        <v>-0.93487285048618851</v>
      </c>
      <c r="P139" s="57">
        <f>Table2234210234[[#This Row],[dif rec]]^2</f>
        <v>0.87398724657617133</v>
      </c>
      <c r="Q139" s="57">
        <f>ABS(Table2234210234[[#This Row],[diff-bias]])</f>
        <v>0.73011586065139866</v>
      </c>
      <c r="R139" s="57">
        <f ca="1">CELL("row",Table2234210234[[#This Row],[Position]])</f>
        <v>139</v>
      </c>
      <c r="S139" s="4">
        <f>Table2234210234[[#This Row],[REF]]-D$13</f>
        <v>1.5900001499999998</v>
      </c>
      <c r="T139" s="4">
        <f>ABS(Table2234210234[[#This Row],[lab-med]])</f>
        <v>1.5900001499999998</v>
      </c>
      <c r="U139" s="4">
        <f>Table2234210234[[#This Row],[Y_pred]]-F$13</f>
        <v>0.86275211873305047</v>
      </c>
      <c r="V139" s="4">
        <f>ABS(Table2234210234[[#This Row],[anl-med]])</f>
        <v>0.86275211873305047</v>
      </c>
      <c r="W139" s="4">
        <f>Table2234210234[[#This Row],[lab-med]]*Table2234210234[[#This Row],[anl-med]]</f>
        <v>1.3717759981983679</v>
      </c>
    </row>
    <row r="140" spans="2:23" x14ac:dyDescent="0.25">
      <c r="B140" s="46">
        <f ca="1">VALUE((Table2234210234[[#This Row],[Column3]]-62))</f>
        <v>78</v>
      </c>
      <c r="C140" t="s">
        <v>146</v>
      </c>
      <c r="D140">
        <v>12.670000099999999</v>
      </c>
      <c r="E140"/>
      <c r="F140" s="87">
        <v>14.2778412937512</v>
      </c>
      <c r="G140" s="29">
        <f>Table2234210234[[#This Row],[Y_pred]]-Table2234210234[[#This Row],[REF]]</f>
        <v>1.6078411937512005</v>
      </c>
      <c r="H140" s="29">
        <f>Table2234210234[[#This Row],[X-Y]]-E$20</f>
        <v>0.83763592410860177</v>
      </c>
      <c r="I140" s="29">
        <f>Table2234210234[[#This Row],[Y_pred]]-E$20</f>
        <v>13.507636024108601</v>
      </c>
      <c r="J140" s="29">
        <f>Table2234210234[[#This Row],[Y_pred]]*E$21+E$22</f>
        <v>12.22551822799872</v>
      </c>
      <c r="K140" s="56">
        <f>Table2234210234[[#This Row],[Yest]]-Table2234210234[[#This Row],[REF]]</f>
        <v>-0.44448187200127975</v>
      </c>
      <c r="L140" s="56">
        <f>ABS(Table2234210234[[#This Row],[RESyx]])</f>
        <v>0.44448187200127975</v>
      </c>
      <c r="M140" s="29">
        <f>Table2234210234[[#This Row],[Y_pred]]*E$25+E$26</f>
        <v>12.861863945271752</v>
      </c>
      <c r="N140" s="29">
        <f>Table2234210234[[#This Row],[X-Y]]^2</f>
        <v>2.5851533043232853</v>
      </c>
      <c r="O140" s="57">
        <f>Table2234210234[[#This Row],[yest_rect]]-Table2234210234[[#This Row],[REF]]</f>
        <v>0.19186384527175271</v>
      </c>
      <c r="P140" s="57">
        <f>Table2234210234[[#This Row],[dif rec]]^2</f>
        <v>3.6811735122463066E-2</v>
      </c>
      <c r="Q140" s="57">
        <f>ABS(Table2234210234[[#This Row],[diff-bias]])</f>
        <v>0.83763592410860177</v>
      </c>
      <c r="R140" s="57">
        <f ca="1">CELL("row",Table2234210234[[#This Row],[Position]])</f>
        <v>140</v>
      </c>
      <c r="S140" s="4">
        <f>Table2234210234[[#This Row],[REF]]-D$13</f>
        <v>1.6599998499999984</v>
      </c>
      <c r="T140" s="4">
        <f>ABS(Table2234210234[[#This Row],[lab-med]])</f>
        <v>1.6599998499999984</v>
      </c>
      <c r="U140" s="4">
        <f>Table2234210234[[#This Row],[Y_pred]]-F$13</f>
        <v>2.5005036034930495</v>
      </c>
      <c r="V140" s="4">
        <f>ABS(Table2234210234[[#This Row],[anl-med]])</f>
        <v>2.5005036034930495</v>
      </c>
      <c r="W140" s="4">
        <f>Table2234210234[[#This Row],[lab-med]]*Table2234210234[[#This Row],[anl-med]]</f>
        <v>4.150835606722918</v>
      </c>
    </row>
    <row r="141" spans="2:23" x14ac:dyDescent="0.25">
      <c r="B141" s="46">
        <f ca="1">VALUE((Table2234210234[[#This Row],[Column3]]-62))</f>
        <v>79</v>
      </c>
      <c r="C141" t="s">
        <v>147</v>
      </c>
      <c r="D141">
        <v>12.699999800000001</v>
      </c>
      <c r="E141"/>
      <c r="F141" s="87">
        <v>14.4903626635395</v>
      </c>
      <c r="G141" s="29">
        <f>Table2234210234[[#This Row],[Y_pred]]-Table2234210234[[#This Row],[REF]]</f>
        <v>1.7903628635394995</v>
      </c>
      <c r="H141" s="29">
        <f>Table2234210234[[#This Row],[X-Y]]-E$20</f>
        <v>1.0201575938969007</v>
      </c>
      <c r="I141" s="29">
        <f>Table2234210234[[#This Row],[Y_pred]]-E$20</f>
        <v>13.720157393896901</v>
      </c>
      <c r="J141" s="29">
        <f>Table2234210234[[#This Row],[Y_pred]]*E$21+E$22</f>
        <v>12.324419092007705</v>
      </c>
      <c r="K141" s="56">
        <f>Table2234210234[[#This Row],[Yest]]-Table2234210234[[#This Row],[REF]]</f>
        <v>-0.37558070799229526</v>
      </c>
      <c r="L141" s="56">
        <f>ABS(Table2234210234[[#This Row],[RESyx]])</f>
        <v>0.37558070799229526</v>
      </c>
      <c r="M141" s="29">
        <f>Table2234210234[[#This Row],[Y_pred]]*E$25+E$26</f>
        <v>13.017157382932265</v>
      </c>
      <c r="N141" s="29">
        <f>Table2234210234[[#This Row],[X-Y]]^2</f>
        <v>3.2053991831413562</v>
      </c>
      <c r="O141" s="57">
        <f>Table2234210234[[#This Row],[yest_rect]]-Table2234210234[[#This Row],[REF]]</f>
        <v>0.31715758293226415</v>
      </c>
      <c r="P141" s="57">
        <f>Table2234210234[[#This Row],[dif rec]]^2</f>
        <v>0.10058893241143602</v>
      </c>
      <c r="Q141" s="57">
        <f>ABS(Table2234210234[[#This Row],[diff-bias]])</f>
        <v>1.0201575938969007</v>
      </c>
      <c r="R141" s="57">
        <f ca="1">CELL("row",Table2234210234[[#This Row],[Position]])</f>
        <v>141</v>
      </c>
      <c r="S141" s="4">
        <f>Table2234210234[[#This Row],[REF]]-D$13</f>
        <v>1.6899995499999996</v>
      </c>
      <c r="T141" s="4">
        <f>ABS(Table2234210234[[#This Row],[lab-med]])</f>
        <v>1.6899995499999996</v>
      </c>
      <c r="U141" s="4">
        <f>Table2234210234[[#This Row],[Y_pred]]-F$13</f>
        <v>2.7130249732813496</v>
      </c>
      <c r="V141" s="4">
        <f>ABS(Table2234210234[[#This Row],[anl-med]])</f>
        <v>2.7130249732813496</v>
      </c>
      <c r="W141" s="4">
        <f>Table2234210234[[#This Row],[lab-med]]*Table2234210234[[#This Row],[anl-med]]</f>
        <v>4.5850109839842421</v>
      </c>
    </row>
    <row r="142" spans="2:23" ht="13.8" thickBot="1" x14ac:dyDescent="0.3">
      <c r="B142" s="46">
        <f ca="1">VALUE((Table2234210234[[#This Row],[Column3]]-62))</f>
        <v>80</v>
      </c>
      <c r="C142" t="s">
        <v>148</v>
      </c>
      <c r="D142">
        <v>14.4300003</v>
      </c>
      <c r="E142"/>
      <c r="F142" s="88">
        <v>15.9949861979449</v>
      </c>
      <c r="G142" s="29">
        <f>Table2234210234[[#This Row],[Y_pred]]-Table2234210234[[#This Row],[REF]]</f>
        <v>1.5649858979449007</v>
      </c>
      <c r="H142" s="29">
        <f>Table2234210234[[#This Row],[X-Y]]-E$20</f>
        <v>0.79478062830230201</v>
      </c>
      <c r="I142" s="29">
        <f>Table2234210234[[#This Row],[Y_pred]]-E$20</f>
        <v>15.224780928302302</v>
      </c>
      <c r="J142" s="29">
        <f>Table2234210234[[#This Row],[Y_pred]]*E$21+E$22</f>
        <v>13.024624288827102</v>
      </c>
      <c r="K142" s="56">
        <f>Table2234210234[[#This Row],[Yest]]-Table2234210234[[#This Row],[REF]]</f>
        <v>-1.4053760111728977</v>
      </c>
      <c r="L142" s="56">
        <f>ABS(Table2234210234[[#This Row],[RESyx]])</f>
        <v>1.4053760111728977</v>
      </c>
      <c r="M142" s="29">
        <f>Table2234210234[[#This Row],[Y_pred]]*E$25+E$26</f>
        <v>14.116614634104144</v>
      </c>
      <c r="N142" s="29">
        <f>Table2234210234[[#This Row],[X-Y]]^2</f>
        <v>2.4491808607664072</v>
      </c>
      <c r="O142" s="57">
        <f>Table2234210234[[#This Row],[yest_rect]]-Table2234210234[[#This Row],[REF]]</f>
        <v>-0.31338566589585604</v>
      </c>
      <c r="P142" s="57">
        <f>Table2234210234[[#This Row],[dif rec]]^2</f>
        <v>9.8210575588989102E-2</v>
      </c>
      <c r="Q142" s="57">
        <f>ABS(Table2234210234[[#This Row],[diff-bias]])</f>
        <v>0.79478062830230201</v>
      </c>
      <c r="R142" s="57">
        <f ca="1">CELL("row",Table2234210234[[#This Row],[Position]])</f>
        <v>142</v>
      </c>
      <c r="S142" s="4">
        <f>Table2234210234[[#This Row],[REF]]-D$13</f>
        <v>3.4200000499999987</v>
      </c>
      <c r="T142" s="4">
        <f>ABS(Table2234210234[[#This Row],[lab-med]])</f>
        <v>3.4200000499999987</v>
      </c>
      <c r="U142" s="4">
        <f>Table2234210234[[#This Row],[Y_pred]]-F$13</f>
        <v>4.21764850768675</v>
      </c>
      <c r="V142" s="4">
        <f>ABS(Table2234210234[[#This Row],[anl-med]])</f>
        <v>4.21764850768675</v>
      </c>
      <c r="W142" s="4">
        <f>Table2234210234[[#This Row],[lab-med]]*Table2234210234[[#This Row],[anl-med]]</f>
        <v>14.424358107171106</v>
      </c>
    </row>
  </sheetData>
  <mergeCells count="1">
    <mergeCell ref="C3:K3"/>
  </mergeCells>
  <conditionalFormatting sqref="F63:F142">
    <cfRule type="expression" dxfId="261" priority="2" stopIfTrue="1">
      <formula>ABS(F63-#REF!)/#REF!&gt;3</formula>
    </cfRule>
  </conditionalFormatting>
  <conditionalFormatting sqref="D68:D72">
    <cfRule type="expression" dxfId="260" priority="1" stopIfTrue="1">
      <formula>ABS(D68-#REF!)/#REF!&gt;3</formula>
    </cfRule>
  </conditionalFormatting>
  <pageMargins left="0.75" right="0.75" top="1" bottom="1" header="0.5" footer="0.5"/>
  <pageSetup paperSize="9" scale="65" orientation="portrait" r:id="rId1"/>
  <headerFooter alignWithMargins="0">
    <oddHeader>&amp;A</oddHeader>
    <oddFooter>&amp;F</oddFooter>
  </headerFooter>
  <rowBreaks count="1" manualBreakCount="1">
    <brk id="58" max="16383" man="1"/>
  </rowBreaks>
  <drawing r:id="rId2"/>
  <legacyDrawing r:id="rId3"/>
  <tableParts count="1">
    <tablePart r:id="rId4"/>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8B363-1B23-4F9F-80C8-4E5C9C5BC954}">
  <sheetPr>
    <pageSetUpPr fitToPage="1"/>
  </sheetPr>
  <dimension ref="B1:AB142"/>
  <sheetViews>
    <sheetView zoomScale="80" zoomScaleNormal="80" workbookViewId="0">
      <selection activeCell="E19" sqref="E19"/>
    </sheetView>
  </sheetViews>
  <sheetFormatPr defaultColWidth="8.88671875" defaultRowHeight="13.2" x14ac:dyDescent="0.25"/>
  <cols>
    <col min="1" max="1" width="3.109375" style="2" customWidth="1"/>
    <col min="2" max="2" width="9.44140625" style="2" customWidth="1"/>
    <col min="3" max="3" width="20.88671875" style="2" customWidth="1"/>
    <col min="4" max="4" width="15.44140625" style="61" customWidth="1"/>
    <col min="5" max="5" width="10.88671875" style="61" customWidth="1"/>
    <col min="6" max="6" width="13.5546875" style="61" customWidth="1"/>
    <col min="7" max="7" width="10.33203125" style="2" customWidth="1"/>
    <col min="8" max="8" width="13.33203125" style="2" customWidth="1"/>
    <col min="9" max="9" width="10.5546875" style="2" customWidth="1"/>
    <col min="10" max="10" width="15" style="2" customWidth="1"/>
    <col min="11" max="11" width="12.109375" style="3" customWidth="1"/>
    <col min="12" max="12" width="9.109375" style="3" customWidth="1"/>
    <col min="13" max="13" width="7.6640625" style="2" customWidth="1"/>
    <col min="14" max="14" width="7" style="2" customWidth="1"/>
    <col min="15" max="15" width="11.109375" style="2" customWidth="1"/>
    <col min="16" max="16" width="10.109375" style="2" customWidth="1"/>
    <col min="17" max="17" width="6.33203125" style="2" customWidth="1"/>
    <col min="18" max="20" width="8.88671875" style="2"/>
    <col min="21" max="21" width="9.33203125" style="2" customWidth="1"/>
    <col min="22" max="23" width="8.88671875" style="2"/>
    <col min="24" max="24" width="9.109375" style="2" customWidth="1"/>
    <col min="25" max="16384" width="8.88671875" style="2"/>
  </cols>
  <sheetData>
    <row r="1" spans="2:28" ht="15.6" customHeight="1" x14ac:dyDescent="0.25">
      <c r="B1" s="1"/>
      <c r="C1" s="1"/>
      <c r="D1" s="2"/>
      <c r="E1" s="1"/>
      <c r="F1" s="2"/>
      <c r="M1" s="3"/>
      <c r="N1" s="3"/>
      <c r="O1" s="3"/>
      <c r="P1" s="3"/>
      <c r="Q1" s="3"/>
      <c r="R1" s="3"/>
      <c r="S1" s="3"/>
      <c r="T1" s="3"/>
      <c r="U1" s="3"/>
      <c r="V1" s="3"/>
      <c r="W1" s="1" t="s">
        <v>53</v>
      </c>
    </row>
    <row r="2" spans="2:28" ht="6.6" customHeight="1" x14ac:dyDescent="0.3">
      <c r="D2" s="4"/>
      <c r="E2" s="4"/>
      <c r="F2" s="4"/>
      <c r="G2" s="5"/>
      <c r="H2" s="4"/>
      <c r="I2" s="4"/>
      <c r="J2" s="4"/>
      <c r="K2" s="6"/>
      <c r="L2" s="6"/>
      <c r="M2" s="6"/>
      <c r="N2" s="6"/>
      <c r="O2" s="6"/>
      <c r="P2" s="6"/>
      <c r="Q2" s="6"/>
      <c r="R2" s="6"/>
      <c r="S2" s="6"/>
      <c r="T2" s="6"/>
      <c r="U2" s="6"/>
      <c r="V2" s="6"/>
      <c r="W2" s="3"/>
    </row>
    <row r="3" spans="2:28" ht="20.399999999999999" x14ac:dyDescent="0.35">
      <c r="C3" s="98" t="s">
        <v>164</v>
      </c>
      <c r="D3" s="98"/>
      <c r="E3" s="98"/>
      <c r="F3" s="98"/>
      <c r="G3" s="98"/>
      <c r="H3" s="98"/>
      <c r="I3" s="98"/>
      <c r="J3" s="98"/>
      <c r="K3" s="98"/>
      <c r="L3" s="6"/>
      <c r="M3" s="6"/>
      <c r="N3" s="6"/>
      <c r="O3" s="6"/>
      <c r="P3" s="6"/>
      <c r="Q3" s="6"/>
      <c r="R3" s="6"/>
      <c r="S3" s="6"/>
      <c r="T3" s="6"/>
      <c r="U3" s="6"/>
      <c r="V3" s="6"/>
      <c r="W3" s="3"/>
    </row>
    <row r="4" spans="2:28" ht="7.2" customHeight="1" x14ac:dyDescent="0.25">
      <c r="D4" s="4"/>
      <c r="E4" s="4"/>
      <c r="F4" s="4"/>
      <c r="G4" s="4"/>
      <c r="H4" s="4"/>
      <c r="I4" s="4"/>
      <c r="J4" s="4"/>
      <c r="K4" s="6"/>
      <c r="L4" s="6"/>
      <c r="M4" s="6"/>
      <c r="N4" s="6"/>
      <c r="O4" s="6"/>
      <c r="P4" s="6"/>
      <c r="Q4" s="6"/>
      <c r="R4" s="6"/>
      <c r="S4" s="6"/>
      <c r="T4" s="6"/>
      <c r="U4" s="6"/>
      <c r="V4" s="6"/>
      <c r="W4" s="36"/>
      <c r="X4" s="30"/>
      <c r="Y4" s="30"/>
      <c r="Z4" s="30"/>
      <c r="AA4" s="30"/>
      <c r="AB4" s="30"/>
    </row>
    <row r="5" spans="2:28" ht="7.95" customHeight="1" thickBot="1" x14ac:dyDescent="0.3">
      <c r="D5" s="4"/>
      <c r="E5" s="4"/>
      <c r="F5" s="4"/>
      <c r="G5" s="4"/>
      <c r="H5" s="4"/>
      <c r="I5" s="4"/>
      <c r="J5" s="4"/>
      <c r="K5" s="6"/>
      <c r="L5" s="6"/>
      <c r="M5" s="6"/>
      <c r="N5" s="6"/>
      <c r="O5" s="6"/>
      <c r="P5" s="6"/>
      <c r="Q5" s="6"/>
      <c r="R5" s="6"/>
      <c r="S5" s="6"/>
      <c r="T5" s="6"/>
      <c r="U5" s="6"/>
      <c r="V5" s="6"/>
      <c r="W5" s="36"/>
      <c r="X5" s="30"/>
      <c r="Y5" s="30"/>
      <c r="Z5" s="30"/>
      <c r="AA5" s="30"/>
      <c r="AB5" s="30"/>
    </row>
    <row r="6" spans="2:28" ht="17.399999999999999" x14ac:dyDescent="0.3">
      <c r="B6" s="47"/>
      <c r="C6" s="48" t="str">
        <f>CONCATENATE(D62," = f (",F62," )")</f>
        <v>REF = f (Lesnoff )</v>
      </c>
      <c r="D6" s="49"/>
      <c r="E6" s="48"/>
      <c r="F6" s="48"/>
      <c r="G6" s="8"/>
      <c r="H6" s="65" t="s">
        <v>38</v>
      </c>
      <c r="I6" s="7"/>
      <c r="J6" s="8"/>
      <c r="M6" s="3"/>
      <c r="N6" s="3"/>
      <c r="O6" s="3"/>
      <c r="P6" s="3"/>
      <c r="Q6" s="3"/>
      <c r="R6" s="3"/>
      <c r="S6" s="3"/>
      <c r="T6" s="3"/>
      <c r="U6" s="3"/>
      <c r="V6" s="3"/>
      <c r="W6" s="36"/>
      <c r="X6" s="30"/>
      <c r="Y6" s="30"/>
      <c r="Z6" s="30"/>
      <c r="AA6" s="30"/>
      <c r="AB6" s="30"/>
    </row>
    <row r="7" spans="2:28" ht="17.399999999999999" x14ac:dyDescent="0.3">
      <c r="B7" s="50"/>
      <c r="C7" s="36"/>
      <c r="D7" s="45" t="str">
        <f>D62</f>
        <v>REF</v>
      </c>
      <c r="E7" s="45"/>
      <c r="F7" s="45" t="str">
        <f>F62</f>
        <v>Lesnoff</v>
      </c>
      <c r="G7" s="10"/>
      <c r="H7" s="66" t="s">
        <v>22</v>
      </c>
      <c r="I7" s="9">
        <v>500</v>
      </c>
      <c r="J7" s="10"/>
      <c r="M7" s="3"/>
      <c r="N7" s="3"/>
      <c r="O7" s="3"/>
      <c r="P7" s="3"/>
      <c r="Q7" s="3"/>
      <c r="R7" s="3"/>
      <c r="S7" s="3"/>
      <c r="T7" s="3"/>
      <c r="U7" s="3"/>
      <c r="V7" s="3"/>
      <c r="W7" s="36"/>
      <c r="X7" s="30" t="s">
        <v>30</v>
      </c>
      <c r="Y7" s="30"/>
      <c r="Z7" s="30"/>
      <c r="AA7" s="30"/>
      <c r="AB7" s="30"/>
    </row>
    <row r="8" spans="2:28" ht="17.399999999999999" x14ac:dyDescent="0.3">
      <c r="B8" s="50"/>
      <c r="C8" s="51" t="s">
        <v>22</v>
      </c>
      <c r="D8" s="23"/>
      <c r="E8" s="45">
        <f>COUNT(Table22342102345[REF])</f>
        <v>80</v>
      </c>
      <c r="F8" s="23"/>
      <c r="G8" s="10"/>
      <c r="H8" s="66" t="s">
        <v>39</v>
      </c>
      <c r="I8" s="9">
        <v>1.2</v>
      </c>
      <c r="J8" s="10"/>
      <c r="M8" s="3"/>
      <c r="N8" s="3"/>
      <c r="O8" s="3"/>
      <c r="P8" s="3"/>
      <c r="Q8" s="3"/>
      <c r="R8" s="3"/>
      <c r="S8" s="3"/>
      <c r="T8" s="3"/>
      <c r="U8" s="3"/>
      <c r="V8" s="3"/>
      <c r="W8" s="36"/>
      <c r="X8" s="37">
        <f>62+E8</f>
        <v>142</v>
      </c>
      <c r="Y8" s="30"/>
      <c r="Z8" s="38"/>
      <c r="AA8" s="30"/>
      <c r="AB8" s="30"/>
    </row>
    <row r="9" spans="2:28" ht="16.2" thickBot="1" x14ac:dyDescent="0.35">
      <c r="B9" s="50"/>
      <c r="C9" s="51" t="s">
        <v>6</v>
      </c>
      <c r="D9" s="24">
        <f>AVERAGE(Table22342102345[REF])</f>
        <v>11.109499980000002</v>
      </c>
      <c r="E9" s="24"/>
      <c r="F9" s="24">
        <f>AVERAGE(Table22342102345[Lesnoff])</f>
        <v>11.897241937642724</v>
      </c>
      <c r="G9" s="69"/>
      <c r="H9" s="67" t="s">
        <v>43</v>
      </c>
      <c r="I9" s="13"/>
      <c r="J9" s="14">
        <v>12</v>
      </c>
      <c r="M9" s="3"/>
      <c r="N9" s="3"/>
      <c r="O9" s="3"/>
      <c r="P9" s="3"/>
      <c r="Q9" s="3"/>
      <c r="R9" s="3"/>
      <c r="S9" s="3"/>
      <c r="T9" s="3"/>
      <c r="U9" s="3"/>
      <c r="V9" s="3"/>
      <c r="W9" s="56"/>
      <c r="X9" s="30"/>
      <c r="Y9" s="30"/>
      <c r="Z9" s="30"/>
      <c r="AA9" s="30"/>
      <c r="AB9" s="30"/>
    </row>
    <row r="10" spans="2:28" ht="16.2" thickBot="1" x14ac:dyDescent="0.35">
      <c r="B10" s="50"/>
      <c r="C10" s="51" t="s">
        <v>7</v>
      </c>
      <c r="D10" s="24">
        <f>MIN(Table22342102345[REF])</f>
        <v>8.9700003000000006</v>
      </c>
      <c r="E10" s="24">
        <f>ROUNDDOWN(MIN(D10,F10),0)</f>
        <v>8</v>
      </c>
      <c r="F10" s="24">
        <f>MIN(Table22342102345[Lesnoff])</f>
        <v>9.48316716733585</v>
      </c>
      <c r="G10" s="70"/>
      <c r="H10" s="68" t="s">
        <v>40</v>
      </c>
      <c r="I10" s="15">
        <v>0.05</v>
      </c>
      <c r="J10" s="16"/>
      <c r="M10" s="3"/>
      <c r="N10" s="3"/>
      <c r="O10" s="3"/>
      <c r="P10" s="3"/>
      <c r="Q10" s="3"/>
      <c r="R10" s="3"/>
      <c r="S10" s="3"/>
      <c r="T10" s="3"/>
      <c r="U10" s="3"/>
      <c r="V10" s="3"/>
      <c r="W10" s="56">
        <f>E10+E20</f>
        <v>8.7877419576427211</v>
      </c>
      <c r="X10" s="30"/>
      <c r="Y10" s="30"/>
      <c r="Z10" s="30"/>
      <c r="AA10" s="30"/>
      <c r="AB10" s="30"/>
    </row>
    <row r="11" spans="2:28" ht="15.6" x14ac:dyDescent="0.3">
      <c r="B11" s="50"/>
      <c r="C11" s="51" t="s">
        <v>8</v>
      </c>
      <c r="D11" s="24">
        <f>MAX(Table22342102345[REF])</f>
        <v>14.4300003</v>
      </c>
      <c r="E11" s="24">
        <f>ROUNDUP(MAX(D11,F11),0)+1</f>
        <v>17</v>
      </c>
      <c r="F11" s="24">
        <f>MAX(Table22342102345[Lesnoff])</f>
        <v>15.822368600000001</v>
      </c>
      <c r="G11" s="70"/>
      <c r="H11" s="28" t="s">
        <v>41</v>
      </c>
      <c r="I11" s="29">
        <f>TINV(I10,E8)</f>
        <v>1.9900634212544475</v>
      </c>
      <c r="J11" s="29"/>
      <c r="K11" s="36"/>
      <c r="M11" s="3"/>
      <c r="N11" s="3"/>
      <c r="O11" s="3"/>
      <c r="P11" s="3"/>
      <c r="Q11" s="3"/>
      <c r="R11" s="3"/>
      <c r="S11" s="3"/>
      <c r="T11" s="3"/>
      <c r="U11" s="3"/>
      <c r="V11" s="3"/>
      <c r="W11" s="56">
        <f>E11+E20</f>
        <v>17.787741957642723</v>
      </c>
      <c r="X11" s="30"/>
      <c r="Y11" s="30"/>
      <c r="Z11" s="30"/>
      <c r="AA11" s="30"/>
      <c r="AB11" s="30"/>
    </row>
    <row r="12" spans="2:28" ht="15.6" x14ac:dyDescent="0.3">
      <c r="B12" s="50"/>
      <c r="C12" s="51" t="s">
        <v>9</v>
      </c>
      <c r="D12" s="25">
        <f>STDEV(Table22342102345[REF])</f>
        <v>1.1729049824811564</v>
      </c>
      <c r="E12" s="25"/>
      <c r="F12" s="24">
        <f>STDEV(Table22342102345[Lesnoff])</f>
        <v>1.139877824280717</v>
      </c>
      <c r="G12" s="69"/>
      <c r="H12" s="28" t="s">
        <v>42</v>
      </c>
      <c r="I12" s="29">
        <f>FINV(I10,E8-1,I7-1-J9)</f>
        <v>1.305795130911809</v>
      </c>
      <c r="J12" s="30"/>
      <c r="K12" s="36"/>
      <c r="M12" s="3"/>
      <c r="N12" s="3"/>
      <c r="O12" s="3"/>
      <c r="P12" s="3"/>
      <c r="Q12" s="3"/>
      <c r="R12" s="3"/>
      <c r="S12" s="3"/>
      <c r="T12" s="3"/>
      <c r="U12" s="3"/>
      <c r="V12" s="3"/>
      <c r="W12" s="36"/>
      <c r="X12" s="30"/>
      <c r="Y12" s="30"/>
      <c r="Z12" s="30"/>
      <c r="AA12" s="30"/>
      <c r="AB12" s="30"/>
    </row>
    <row r="13" spans="2:28" ht="15.6" x14ac:dyDescent="0.3">
      <c r="B13" s="50"/>
      <c r="C13" s="51" t="s">
        <v>56</v>
      </c>
      <c r="D13" s="24">
        <f>MEDIAN(Table22342102345[REF])</f>
        <v>11.010000250000001</v>
      </c>
      <c r="E13" s="25"/>
      <c r="F13" s="24">
        <f>MEDIAN(Table22342102345[Lesnoff])</f>
        <v>11.800173451919601</v>
      </c>
      <c r="G13" s="69"/>
      <c r="H13" s="28"/>
      <c r="I13" s="29"/>
      <c r="J13" s="30"/>
      <c r="K13" s="36"/>
      <c r="M13" s="3"/>
      <c r="N13" s="3"/>
      <c r="O13" s="3"/>
      <c r="P13" s="3"/>
      <c r="Q13" s="3"/>
      <c r="R13" s="3"/>
      <c r="S13" s="3"/>
      <c r="T13" s="3"/>
      <c r="U13" s="3"/>
      <c r="V13" s="3"/>
      <c r="W13" s="36"/>
      <c r="X13" s="30"/>
      <c r="Y13" s="30"/>
      <c r="Z13" s="30"/>
      <c r="AA13" s="30"/>
      <c r="AB13" s="30"/>
    </row>
    <row r="14" spans="2:28" ht="15.6" x14ac:dyDescent="0.3">
      <c r="B14" s="50"/>
      <c r="C14" s="51" t="s">
        <v>57</v>
      </c>
      <c r="D14" s="25">
        <f>1.4826*(MEDIAN(Table22342102345[abs(lab)]))</f>
        <v>1.4677736293499986</v>
      </c>
      <c r="E14" s="25"/>
      <c r="F14" s="24">
        <f>1.4826*MEDIAN(Table22342102345[abs(anl)])</f>
        <v>1.1583034522743665</v>
      </c>
      <c r="G14" s="75"/>
      <c r="H14" s="28"/>
      <c r="I14" s="29"/>
      <c r="J14" s="30"/>
      <c r="K14" s="36"/>
      <c r="M14" s="3"/>
      <c r="N14" s="3"/>
      <c r="O14" s="3"/>
      <c r="P14" s="3"/>
      <c r="Q14" s="3"/>
      <c r="R14" s="3"/>
      <c r="S14" s="3"/>
      <c r="T14" s="3"/>
      <c r="U14" s="3"/>
      <c r="V14" s="3"/>
      <c r="W14" s="36"/>
      <c r="X14" s="30"/>
      <c r="Y14" s="30"/>
      <c r="Z14" s="30"/>
      <c r="AA14" s="30"/>
      <c r="AB14" s="30"/>
    </row>
    <row r="15" spans="2:28" ht="15.6" x14ac:dyDescent="0.3">
      <c r="B15" s="50"/>
      <c r="C15" s="51"/>
      <c r="D15" s="25"/>
      <c r="E15" s="25"/>
      <c r="F15" s="24" t="s">
        <v>63</v>
      </c>
      <c r="G15" s="69"/>
      <c r="H15" s="28"/>
      <c r="I15" s="29"/>
      <c r="J15" s="30"/>
      <c r="K15" s="36"/>
      <c r="M15" s="3"/>
      <c r="N15" s="3"/>
      <c r="O15" s="3"/>
      <c r="P15" s="3"/>
      <c r="Q15" s="3"/>
      <c r="R15" s="3"/>
      <c r="S15" s="3"/>
      <c r="T15" s="3"/>
      <c r="U15" s="3"/>
      <c r="V15" s="3"/>
      <c r="W15" s="36"/>
      <c r="X15" s="30"/>
      <c r="Y15" s="30"/>
      <c r="Z15" s="30"/>
      <c r="AA15" s="30"/>
      <c r="AB15" s="30"/>
    </row>
    <row r="16" spans="2:28" ht="17.399999999999999" x14ac:dyDescent="0.3">
      <c r="B16" s="50"/>
      <c r="C16" s="51" t="s">
        <v>10</v>
      </c>
      <c r="D16" s="25"/>
      <c r="E16" s="26">
        <f>SQRT(AVERAGE(Table22342102345[dif^2]))</f>
        <v>1.0449742609362129</v>
      </c>
      <c r="F16" s="72">
        <f>SQRT(F18^2+E20^2)</f>
        <v>0.96051274664781083</v>
      </c>
      <c r="G16" s="10"/>
      <c r="H16" s="31"/>
      <c r="I16" s="30"/>
      <c r="J16" s="31"/>
      <c r="K16" s="44"/>
      <c r="M16" s="3"/>
      <c r="N16" s="3"/>
      <c r="O16" s="3"/>
      <c r="P16" s="3"/>
      <c r="Q16" s="3"/>
      <c r="R16" s="3"/>
      <c r="S16" s="3"/>
      <c r="T16" s="3"/>
      <c r="U16" s="3"/>
      <c r="V16" s="3"/>
      <c r="W16" s="36"/>
      <c r="X16" s="30"/>
      <c r="Y16" s="30"/>
      <c r="Z16" s="30"/>
      <c r="AA16" s="30"/>
      <c r="AB16" s="30"/>
    </row>
    <row r="17" spans="2:28" ht="21" x14ac:dyDescent="0.4">
      <c r="B17" s="50"/>
      <c r="C17" s="51" t="s">
        <v>55</v>
      </c>
      <c r="D17" s="3"/>
      <c r="E17" s="26"/>
      <c r="F17" s="26">
        <f>MEDIAN(Table22342102345[abs_errors])</f>
        <v>0.37069225756905055</v>
      </c>
      <c r="G17" s="10"/>
      <c r="H17" s="32"/>
      <c r="I17" s="33"/>
      <c r="J17" s="34"/>
      <c r="K17" s="54"/>
      <c r="M17" s="3"/>
      <c r="N17" s="3"/>
      <c r="O17" s="3"/>
      <c r="P17" s="3"/>
      <c r="Q17" s="3"/>
      <c r="R17" s="3"/>
      <c r="S17" s="3"/>
      <c r="T17" s="3"/>
      <c r="U17" s="3"/>
      <c r="V17" s="3"/>
      <c r="W17" s="36"/>
      <c r="X17" s="30"/>
      <c r="Y17" s="30"/>
      <c r="Z17" s="30"/>
      <c r="AA17" s="30"/>
      <c r="AB17" s="30"/>
    </row>
    <row r="18" spans="2:28" ht="21" x14ac:dyDescent="0.4">
      <c r="B18" s="50"/>
      <c r="C18" s="51" t="s">
        <v>11</v>
      </c>
      <c r="D18" s="25"/>
      <c r="E18" s="26">
        <f>STDEV(Table22342102345[X-Y])</f>
        <v>0.69094234985538716</v>
      </c>
      <c r="F18" s="26">
        <f>1.4826*MEDIAN(Table22342102345[abs_errors])</f>
        <v>0.54958834107187438</v>
      </c>
      <c r="G18" s="10"/>
      <c r="H18" s="32" t="s">
        <v>44</v>
      </c>
      <c r="I18" s="33">
        <f>I8*I12</f>
        <v>1.5669541570941707</v>
      </c>
      <c r="J18" s="34" t="str">
        <f>IF(E18&gt;I18,"S"," ns ")</f>
        <v xml:space="preserve"> ns </v>
      </c>
      <c r="K18" s="36"/>
      <c r="M18" s="3"/>
      <c r="N18" s="3"/>
      <c r="O18" s="3"/>
      <c r="P18" s="3"/>
      <c r="Q18" s="3"/>
      <c r="R18" s="3"/>
      <c r="S18" s="3"/>
      <c r="T18" s="3"/>
      <c r="U18" s="3"/>
      <c r="V18" s="3"/>
      <c r="W18" s="36"/>
      <c r="X18" s="30" t="s">
        <v>28</v>
      </c>
      <c r="Y18" s="30" t="s">
        <v>27</v>
      </c>
      <c r="Z18" s="30"/>
      <c r="AA18" s="30"/>
      <c r="AB18" s="30"/>
    </row>
    <row r="19" spans="2:28" ht="17.399999999999999" x14ac:dyDescent="0.3">
      <c r="B19" s="50"/>
      <c r="C19" s="51" t="s">
        <v>12</v>
      </c>
      <c r="D19" s="25"/>
      <c r="E19" s="26">
        <f>STEYX(Table22342102345[REF],Table22342102345[Lesnoff])</f>
        <v>0.67244566701965591</v>
      </c>
      <c r="F19" s="26">
        <f>1.4826*MEDIAN(Table22342102345[Abs_erroryx])</f>
        <v>0.48584972009756872</v>
      </c>
      <c r="G19" s="10"/>
      <c r="H19" s="32"/>
      <c r="I19" s="33"/>
      <c r="J19" s="30"/>
      <c r="K19" s="36"/>
      <c r="M19" s="3"/>
      <c r="N19" s="3"/>
      <c r="O19" s="3"/>
      <c r="P19" s="3"/>
      <c r="Q19" s="3"/>
      <c r="R19" s="3"/>
      <c r="S19" s="3"/>
      <c r="T19" s="3"/>
      <c r="U19" s="3"/>
      <c r="V19" s="3"/>
      <c r="W19" s="36" t="s">
        <v>24</v>
      </c>
      <c r="X19" s="35">
        <f>E$26+E$25*E10</f>
        <v>7.0993381984247641</v>
      </c>
      <c r="Y19" s="30">
        <f>E10</f>
        <v>8</v>
      </c>
      <c r="Z19" s="30"/>
      <c r="AA19" s="30"/>
      <c r="AB19" s="30"/>
    </row>
    <row r="20" spans="2:28" ht="21" x14ac:dyDescent="0.4">
      <c r="B20" s="50"/>
      <c r="C20" s="51" t="s">
        <v>16</v>
      </c>
      <c r="D20" s="25"/>
      <c r="E20" s="72">
        <f>F9-D9</f>
        <v>0.78774195764272115</v>
      </c>
      <c r="F20" s="26">
        <f>F13-D13</f>
        <v>0.79017320191960039</v>
      </c>
      <c r="G20" s="10"/>
      <c r="H20" s="32" t="s">
        <v>46</v>
      </c>
      <c r="I20" s="33">
        <f>ABS(E20/(SQRT(SUM(Table22342102345[dif^2])/(E8*(E8-1)))))</f>
        <v>6.7002642380228696</v>
      </c>
      <c r="J20" s="34" t="str">
        <f>IF(I20&gt;I11,"S","ns")</f>
        <v>S</v>
      </c>
      <c r="K20" s="36"/>
      <c r="M20" s="3"/>
      <c r="N20" s="3"/>
      <c r="O20" s="3"/>
      <c r="P20" s="3"/>
      <c r="Q20" s="3"/>
      <c r="R20" s="3"/>
      <c r="S20" s="3"/>
      <c r="T20" s="3"/>
      <c r="U20" s="3"/>
      <c r="V20" s="3"/>
      <c r="W20" s="36" t="s">
        <v>25</v>
      </c>
      <c r="X20" s="35">
        <f>E$26+E$25*E11</f>
        <v>16.36010686807716</v>
      </c>
      <c r="Y20" s="30">
        <f>E11</f>
        <v>17</v>
      </c>
      <c r="Z20" s="30"/>
      <c r="AA20" s="30"/>
      <c r="AB20" s="30"/>
    </row>
    <row r="21" spans="2:28" ht="21" x14ac:dyDescent="0.4">
      <c r="B21" s="50"/>
      <c r="C21" s="51" t="s">
        <v>13</v>
      </c>
      <c r="D21" s="25"/>
      <c r="E21" s="26">
        <f>SLOPE(Table22342102345[REF],Table22342102345[Lesnoff])</f>
        <v>0.84568226520914347</v>
      </c>
      <c r="F21" s="26"/>
      <c r="G21" s="10"/>
      <c r="H21" s="32" t="s">
        <v>45</v>
      </c>
      <c r="I21" s="33">
        <f>ABS(E21-1)*SQRT((E8-1)*F12^2/E19^2)</f>
        <v>2.3250403305856264</v>
      </c>
      <c r="J21" s="34" t="str">
        <f>IF(I21&gt;I11,"S"," ns  ")</f>
        <v>S</v>
      </c>
      <c r="K21" s="55"/>
      <c r="M21" s="3"/>
      <c r="N21" s="3"/>
      <c r="O21" s="3"/>
      <c r="P21" s="3"/>
      <c r="Q21" s="3"/>
      <c r="R21" s="3"/>
      <c r="S21" s="3"/>
      <c r="T21" s="3"/>
      <c r="U21" s="3"/>
      <c r="V21" s="3"/>
      <c r="W21" s="36" t="s">
        <v>26</v>
      </c>
      <c r="X21" s="30">
        <f>E$26+E$25*F9</f>
        <v>11.109499980000002</v>
      </c>
      <c r="Y21" s="29">
        <f>F9</f>
        <v>11.897241937642724</v>
      </c>
      <c r="Z21" s="30"/>
      <c r="AA21" s="30"/>
      <c r="AB21" s="30"/>
    </row>
    <row r="22" spans="2:28" ht="17.399999999999999" x14ac:dyDescent="0.3">
      <c r="B22" s="50"/>
      <c r="C22" s="51" t="s">
        <v>14</v>
      </c>
      <c r="D22" s="25"/>
      <c r="E22" s="26">
        <f>INTERCEPT(Table22342102345[REF],Table22342102345[Lesnoff])</f>
        <v>1.0482134684330848</v>
      </c>
      <c r="F22" s="26"/>
      <c r="G22" s="10"/>
      <c r="H22" s="30"/>
      <c r="I22" s="30"/>
      <c r="J22" s="30"/>
      <c r="K22" s="36"/>
      <c r="M22" s="3"/>
      <c r="N22" s="3"/>
      <c r="O22" s="3"/>
      <c r="P22" s="3"/>
      <c r="Q22" s="3"/>
      <c r="R22" s="3"/>
      <c r="S22" s="3"/>
      <c r="T22" s="3"/>
      <c r="U22" s="3"/>
      <c r="V22" s="3"/>
      <c r="W22" s="36"/>
      <c r="X22" s="30"/>
      <c r="Y22" s="30"/>
      <c r="Z22" s="30"/>
      <c r="AA22" s="30"/>
      <c r="AB22" s="30"/>
    </row>
    <row r="23" spans="2:28" ht="22.8" x14ac:dyDescent="0.4">
      <c r="B23" s="50"/>
      <c r="C23" s="51" t="s">
        <v>15</v>
      </c>
      <c r="D23" s="25"/>
      <c r="E23" s="80">
        <f>RSQ(Table22342102345[REF],Table22342102345[Lesnoff])</f>
        <v>0.67546895510157068</v>
      </c>
      <c r="F23" s="26">
        <f>(D12^2-F19^2)/D12^2</f>
        <v>0.82841542181559236</v>
      </c>
      <c r="G23" s="10"/>
      <c r="H23" s="32"/>
      <c r="I23" s="33"/>
      <c r="J23" s="30"/>
      <c r="K23" s="36"/>
      <c r="M23" s="3"/>
      <c r="N23" s="3"/>
      <c r="O23" s="3"/>
      <c r="P23" s="3"/>
      <c r="Q23" s="3"/>
      <c r="R23" s="3"/>
      <c r="S23" s="3"/>
      <c r="T23" s="3"/>
      <c r="U23" s="3"/>
      <c r="V23" s="3"/>
      <c r="W23" s="36"/>
      <c r="X23" s="30"/>
      <c r="Y23" s="30"/>
      <c r="Z23" s="30"/>
      <c r="AA23" s="30"/>
      <c r="AB23" s="30"/>
    </row>
    <row r="24" spans="2:28" ht="17.399999999999999" x14ac:dyDescent="0.3">
      <c r="B24" s="50"/>
      <c r="C24" s="51" t="s">
        <v>29</v>
      </c>
      <c r="D24" s="23"/>
      <c r="E24" s="26">
        <f>1/SQRT(1-E23)</f>
        <v>1.7553829508598038</v>
      </c>
      <c r="F24" s="26">
        <f>1/SQRT(1-F23)</f>
        <v>2.4141312302199389</v>
      </c>
      <c r="G24" s="10"/>
      <c r="H24" s="76" t="s">
        <v>64</v>
      </c>
      <c r="I24" s="77">
        <f>D12/E19</f>
        <v>1.7442375495994857</v>
      </c>
      <c r="J24" s="30"/>
      <c r="K24" s="36"/>
      <c r="M24" s="3"/>
      <c r="N24" s="3"/>
      <c r="O24" s="3"/>
      <c r="P24" s="3"/>
      <c r="Q24" s="3"/>
      <c r="R24" s="3"/>
      <c r="S24" s="3"/>
      <c r="T24" s="3"/>
      <c r="U24" s="3"/>
      <c r="V24" s="3"/>
      <c r="W24" s="36"/>
      <c r="X24" s="30"/>
      <c r="Y24" s="30"/>
      <c r="Z24" s="30"/>
      <c r="AA24" s="30"/>
      <c r="AB24" s="30"/>
    </row>
    <row r="25" spans="2:28" ht="17.399999999999999" x14ac:dyDescent="0.3">
      <c r="B25" s="50"/>
      <c r="C25" s="51" t="s">
        <v>17</v>
      </c>
      <c r="D25" s="23"/>
      <c r="E25" s="26">
        <f>(D12/F12)</f>
        <v>1.0289742966280444</v>
      </c>
      <c r="F25" s="45"/>
      <c r="G25" s="10"/>
      <c r="H25" s="32" t="s">
        <v>47</v>
      </c>
      <c r="I25" s="62">
        <f>QUARTILE(Table22342102345[abs_errors],3)</f>
        <v>0.77082167001041046</v>
      </c>
      <c r="J25" s="30"/>
      <c r="K25" s="36"/>
      <c r="M25" s="3"/>
      <c r="N25" s="3"/>
      <c r="O25" s="3"/>
      <c r="P25" s="3"/>
      <c r="Q25" s="3"/>
      <c r="R25" s="3"/>
      <c r="S25" s="3"/>
      <c r="T25" s="3"/>
      <c r="U25" s="3"/>
      <c r="V25" s="3"/>
      <c r="W25" s="36" t="s">
        <v>19</v>
      </c>
      <c r="X25" s="30">
        <f>COVAR(Table22342102345[REF],Table22342102345[Lesnoff])</f>
        <v>1.0850779468125165</v>
      </c>
      <c r="Y25" s="30"/>
      <c r="Z25" s="30"/>
      <c r="AA25" s="30"/>
      <c r="AB25" s="30"/>
    </row>
    <row r="26" spans="2:28" ht="17.399999999999999" x14ac:dyDescent="0.3">
      <c r="B26" s="50"/>
      <c r="C26" s="51" t="s">
        <v>18</v>
      </c>
      <c r="D26" s="23"/>
      <c r="E26" s="26">
        <f>D9-E25*F9</f>
        <v>-1.1324561745995911</v>
      </c>
      <c r="F26" s="45"/>
      <c r="G26" s="10"/>
      <c r="M26" s="3"/>
      <c r="N26" s="3"/>
      <c r="O26" s="3"/>
      <c r="P26" s="3"/>
      <c r="Q26" s="3"/>
      <c r="R26" s="3"/>
      <c r="S26" s="3"/>
      <c r="T26" s="3"/>
      <c r="U26" s="3"/>
      <c r="V26" s="3"/>
      <c r="W26" s="36" t="s">
        <v>20</v>
      </c>
      <c r="X26" s="30">
        <f>SIGN(X25)</f>
        <v>1</v>
      </c>
      <c r="Y26" s="30"/>
      <c r="Z26" s="30"/>
      <c r="AA26" s="30"/>
      <c r="AB26" s="30"/>
    </row>
    <row r="27" spans="2:28" ht="18" thickBot="1" x14ac:dyDescent="0.35">
      <c r="B27" s="52"/>
      <c r="C27" s="53" t="s">
        <v>21</v>
      </c>
      <c r="D27" s="27"/>
      <c r="E27" s="73">
        <f>SQRT(AVERAGE(Table22342102345[dif_rec^2]))</f>
        <v>0.69569023939829122</v>
      </c>
      <c r="F27" s="74"/>
      <c r="G27" s="71"/>
      <c r="M27" s="3"/>
      <c r="N27" s="3"/>
      <c r="O27" s="3"/>
      <c r="P27" s="3"/>
      <c r="Q27" s="3"/>
      <c r="R27" s="3"/>
      <c r="S27" s="3"/>
      <c r="T27" s="3"/>
      <c r="U27" s="3"/>
      <c r="V27" s="3"/>
      <c r="W27" s="36"/>
      <c r="X27" s="30"/>
      <c r="Y27" s="30"/>
      <c r="Z27" s="30"/>
      <c r="AA27" s="30"/>
      <c r="AB27" s="30"/>
    </row>
    <row r="28" spans="2:28" ht="15.6" x14ac:dyDescent="0.3">
      <c r="B28" s="3"/>
      <c r="C28" s="11"/>
      <c r="D28" s="12"/>
      <c r="E28" s="18"/>
      <c r="F28" s="12"/>
      <c r="M28" s="3"/>
      <c r="N28" s="3"/>
      <c r="O28" s="3"/>
      <c r="P28" s="3"/>
      <c r="Q28" s="3"/>
      <c r="R28" s="3"/>
      <c r="S28" s="3"/>
      <c r="T28" s="3"/>
      <c r="U28" s="3"/>
      <c r="V28" s="3"/>
      <c r="W28" s="36"/>
      <c r="X28" s="30"/>
      <c r="Y28" s="30"/>
      <c r="Z28" s="30"/>
      <c r="AA28" s="30"/>
      <c r="AB28" s="30"/>
    </row>
    <row r="29" spans="2:28" ht="17.399999999999999" x14ac:dyDescent="0.3">
      <c r="C29" s="19"/>
      <c r="D29" s="3"/>
      <c r="E29" s="17"/>
      <c r="F29" s="3"/>
      <c r="M29" s="3"/>
      <c r="N29" s="3"/>
      <c r="O29" s="3"/>
      <c r="P29" s="3"/>
      <c r="Q29" s="3"/>
      <c r="R29" s="3"/>
      <c r="S29" s="3"/>
      <c r="T29" s="3"/>
      <c r="U29" s="3"/>
      <c r="V29" s="3"/>
      <c r="W29" s="44" t="s">
        <v>54</v>
      </c>
      <c r="X29" s="37">
        <f>MIN(Table22342102345[X-Y])</f>
        <v>-1.6852089274365998</v>
      </c>
      <c r="Y29" s="30">
        <f>X29</f>
        <v>-1.6852089274365998</v>
      </c>
      <c r="Z29" s="30"/>
      <c r="AA29" s="30"/>
      <c r="AB29" s="30"/>
    </row>
    <row r="30" spans="2:28" ht="17.399999999999999" x14ac:dyDescent="0.3">
      <c r="C30" s="19"/>
      <c r="D30" s="3"/>
      <c r="E30" s="17"/>
      <c r="F30" s="3"/>
      <c r="M30" s="3"/>
      <c r="N30" s="3"/>
      <c r="O30" s="3"/>
      <c r="P30" s="3"/>
      <c r="Q30" s="3"/>
      <c r="R30" s="3"/>
      <c r="S30" s="3"/>
      <c r="T30" s="3"/>
      <c r="U30" s="3"/>
      <c r="V30" s="3"/>
      <c r="W30" s="39" t="s">
        <v>37</v>
      </c>
      <c r="X30" s="63">
        <f>MAX(Table22342102345[X-Y])</f>
        <v>2.1042985999999999</v>
      </c>
      <c r="Y30" s="30">
        <f>X30</f>
        <v>2.1042985999999999</v>
      </c>
      <c r="Z30" s="30"/>
      <c r="AA30" s="30"/>
      <c r="AB30" s="30"/>
    </row>
    <row r="31" spans="2:28" ht="15.6" x14ac:dyDescent="0.3">
      <c r="C31" s="19"/>
      <c r="D31" s="3"/>
      <c r="E31" s="17"/>
      <c r="F31" s="3"/>
      <c r="M31" s="3"/>
      <c r="N31" s="3"/>
      <c r="O31" s="3"/>
      <c r="P31" s="3"/>
      <c r="Q31" s="3"/>
      <c r="R31" s="3"/>
      <c r="S31" s="3"/>
      <c r="T31" s="3"/>
      <c r="U31" s="3"/>
      <c r="V31" s="3"/>
      <c r="W31" s="36"/>
      <c r="X31" s="30"/>
      <c r="Y31" s="30"/>
      <c r="Z31" s="40"/>
      <c r="AA31" s="30"/>
      <c r="AB31" s="30"/>
    </row>
    <row r="32" spans="2:28" x14ac:dyDescent="0.25">
      <c r="C32" s="19"/>
      <c r="D32" s="3"/>
      <c r="E32" s="17"/>
      <c r="F32" s="3"/>
      <c r="M32" s="3"/>
      <c r="N32" s="3"/>
      <c r="O32" s="3"/>
      <c r="P32" s="3"/>
      <c r="Q32" s="3"/>
      <c r="R32" s="3"/>
      <c r="S32" s="3"/>
      <c r="T32" s="3"/>
      <c r="U32" s="3"/>
      <c r="V32" s="3"/>
      <c r="W32" s="36"/>
      <c r="X32" s="30"/>
      <c r="Y32" s="30"/>
      <c r="Z32" s="30"/>
      <c r="AA32" s="30"/>
      <c r="AB32" s="30"/>
    </row>
    <row r="33" spans="3:28" x14ac:dyDescent="0.25">
      <c r="C33" s="19"/>
      <c r="D33" s="3"/>
      <c r="E33" s="17"/>
      <c r="F33" s="3"/>
      <c r="M33" s="3"/>
      <c r="N33" s="3"/>
      <c r="O33" s="3"/>
      <c r="P33" s="3"/>
      <c r="Q33" s="3"/>
      <c r="R33" s="3"/>
      <c r="S33" s="3"/>
      <c r="T33" s="3"/>
      <c r="U33" s="3"/>
      <c r="V33" s="3"/>
      <c r="W33" s="36"/>
      <c r="X33" s="30"/>
      <c r="Y33" s="30"/>
      <c r="Z33" s="30"/>
      <c r="AA33" s="30"/>
      <c r="AB33" s="30"/>
    </row>
    <row r="34" spans="3:28" x14ac:dyDescent="0.25">
      <c r="C34" s="19"/>
      <c r="D34" s="3"/>
      <c r="E34" s="17"/>
      <c r="F34" s="3"/>
      <c r="M34" s="3"/>
      <c r="N34" s="3"/>
      <c r="O34" s="3"/>
      <c r="P34" s="3"/>
      <c r="Q34" s="3"/>
      <c r="R34" s="3"/>
      <c r="S34" s="3"/>
      <c r="T34" s="3"/>
      <c r="U34" s="3"/>
      <c r="V34" s="3"/>
      <c r="W34" s="36"/>
      <c r="X34" s="30"/>
      <c r="Y34" s="30"/>
      <c r="Z34" s="30"/>
      <c r="AA34" s="30"/>
      <c r="AB34" s="30"/>
    </row>
    <row r="35" spans="3:28" x14ac:dyDescent="0.25">
      <c r="C35" s="19"/>
      <c r="D35" s="3"/>
      <c r="E35" s="17"/>
      <c r="F35" s="3"/>
      <c r="M35" s="3"/>
      <c r="N35" s="3"/>
      <c r="O35" s="3"/>
      <c r="P35" s="3"/>
      <c r="Q35" s="3"/>
      <c r="R35" s="3"/>
      <c r="S35" s="3"/>
      <c r="T35" s="3"/>
      <c r="U35" s="3"/>
      <c r="V35" s="3"/>
      <c r="W35" s="36"/>
      <c r="X35" s="30"/>
      <c r="Y35" s="30"/>
      <c r="Z35" s="30"/>
      <c r="AA35" s="30"/>
      <c r="AB35" s="30"/>
    </row>
    <row r="36" spans="3:28" x14ac:dyDescent="0.25">
      <c r="C36" s="19"/>
      <c r="D36" s="3"/>
      <c r="E36" s="17"/>
      <c r="F36" s="3"/>
      <c r="M36" s="3"/>
      <c r="N36" s="3"/>
      <c r="O36" s="3"/>
      <c r="P36" s="3"/>
      <c r="Q36" s="3"/>
      <c r="R36" s="3"/>
      <c r="S36" s="3"/>
      <c r="T36" s="3"/>
      <c r="U36" s="3"/>
      <c r="V36" s="3"/>
      <c r="W36" s="36"/>
      <c r="X36" s="30"/>
      <c r="Y36" s="30"/>
      <c r="Z36" s="30"/>
      <c r="AA36" s="30"/>
      <c r="AB36" s="30"/>
    </row>
    <row r="37" spans="3:28" x14ac:dyDescent="0.25">
      <c r="C37" s="19"/>
      <c r="D37" s="3"/>
      <c r="E37" s="17"/>
      <c r="F37" s="3"/>
      <c r="M37" s="3"/>
      <c r="N37" s="3"/>
      <c r="O37" s="3"/>
      <c r="P37" s="3"/>
      <c r="Q37" s="3"/>
      <c r="R37" s="3"/>
      <c r="S37" s="3"/>
      <c r="T37" s="3"/>
      <c r="U37" s="3"/>
      <c r="V37" s="3"/>
      <c r="W37" s="36"/>
      <c r="X37" s="30"/>
      <c r="Y37" s="30"/>
      <c r="Z37" s="30"/>
      <c r="AA37" s="30"/>
      <c r="AB37" s="30"/>
    </row>
    <row r="38" spans="3:28" x14ac:dyDescent="0.25">
      <c r="C38" s="19"/>
      <c r="D38" s="3"/>
      <c r="E38" s="17"/>
      <c r="F38" s="3"/>
      <c r="M38" s="3"/>
      <c r="N38" s="3"/>
      <c r="O38" s="3"/>
      <c r="P38" s="3"/>
      <c r="Q38" s="3"/>
      <c r="R38" s="3"/>
      <c r="S38" s="3"/>
      <c r="T38" s="3"/>
      <c r="U38" s="3"/>
      <c r="V38" s="3"/>
      <c r="W38" s="36"/>
      <c r="X38" s="30" t="s">
        <v>30</v>
      </c>
      <c r="Y38" s="30"/>
      <c r="Z38" s="30"/>
      <c r="AA38" s="30"/>
      <c r="AB38" s="30"/>
    </row>
    <row r="39" spans="3:28" ht="17.399999999999999" x14ac:dyDescent="0.3">
      <c r="C39" s="19"/>
      <c r="D39" s="3"/>
      <c r="E39" s="17"/>
      <c r="F39" s="3"/>
      <c r="M39" s="3"/>
      <c r="N39" s="3"/>
      <c r="O39" s="3"/>
      <c r="P39" s="3"/>
      <c r="Q39" s="3"/>
      <c r="R39" s="3"/>
      <c r="S39" s="3"/>
      <c r="T39" s="3"/>
      <c r="U39" s="3"/>
      <c r="V39" s="3"/>
      <c r="W39" s="36"/>
      <c r="X39" s="37">
        <f>X8</f>
        <v>142</v>
      </c>
      <c r="Y39" s="41" t="s">
        <v>34</v>
      </c>
      <c r="Z39" s="30"/>
      <c r="AA39" s="30"/>
      <c r="AB39" s="30"/>
    </row>
    <row r="40" spans="3:28" x14ac:dyDescent="0.25">
      <c r="C40" s="19"/>
      <c r="D40" s="3"/>
      <c r="E40" s="17"/>
      <c r="F40" s="3"/>
      <c r="M40" s="3"/>
      <c r="N40" s="3"/>
      <c r="O40" s="3"/>
      <c r="P40" s="3"/>
      <c r="Q40" s="3"/>
      <c r="R40" s="3"/>
      <c r="S40" s="3"/>
      <c r="T40" s="3"/>
      <c r="U40" s="3"/>
      <c r="V40" s="3"/>
      <c r="W40" s="36"/>
      <c r="X40" s="30"/>
      <c r="Y40" s="30" t="s">
        <v>35</v>
      </c>
      <c r="Z40" s="30"/>
      <c r="AA40" s="30"/>
      <c r="AB40" s="30"/>
    </row>
    <row r="41" spans="3:28" x14ac:dyDescent="0.25">
      <c r="C41" s="19"/>
      <c r="D41" s="3"/>
      <c r="E41" s="17"/>
      <c r="F41" s="3"/>
      <c r="M41" s="3"/>
      <c r="N41" s="3"/>
      <c r="O41" s="3"/>
      <c r="P41" s="3"/>
      <c r="Q41" s="3"/>
      <c r="R41" s="3"/>
      <c r="S41" s="3"/>
      <c r="T41" s="3"/>
      <c r="U41" s="3"/>
      <c r="V41" s="3"/>
      <c r="W41" s="36"/>
      <c r="X41" s="30"/>
      <c r="Y41" s="30" t="s">
        <v>36</v>
      </c>
      <c r="Z41" s="30"/>
      <c r="AA41" s="30"/>
      <c r="AB41" s="30"/>
    </row>
    <row r="42" spans="3:28" x14ac:dyDescent="0.25">
      <c r="C42" s="19"/>
      <c r="D42" s="3"/>
      <c r="E42" s="17"/>
      <c r="F42" s="3"/>
      <c r="M42" s="3"/>
      <c r="N42" s="3"/>
      <c r="O42" s="3"/>
      <c r="P42" s="3"/>
      <c r="Q42" s="3"/>
      <c r="R42" s="3"/>
      <c r="S42" s="3"/>
      <c r="T42" s="3"/>
      <c r="U42" s="3"/>
      <c r="V42" s="3"/>
      <c r="W42" s="36"/>
      <c r="X42" s="30"/>
      <c r="Y42" s="30"/>
      <c r="Z42" s="30"/>
      <c r="AA42" s="30"/>
      <c r="AB42" s="30"/>
    </row>
    <row r="43" spans="3:28" x14ac:dyDescent="0.25">
      <c r="C43" s="19"/>
      <c r="D43" s="3"/>
      <c r="E43" s="17"/>
      <c r="F43" s="3"/>
      <c r="M43" s="3"/>
      <c r="N43" s="3"/>
      <c r="O43" s="3"/>
      <c r="P43" s="3"/>
      <c r="Q43" s="3"/>
      <c r="R43" s="3"/>
      <c r="S43" s="3"/>
      <c r="T43" s="3"/>
      <c r="U43" s="3"/>
      <c r="V43" s="3"/>
      <c r="W43" s="36"/>
      <c r="X43" s="30"/>
      <c r="Y43" s="30"/>
      <c r="Z43" s="30"/>
      <c r="AA43" s="30"/>
      <c r="AB43" s="30"/>
    </row>
    <row r="44" spans="3:28" x14ac:dyDescent="0.25">
      <c r="C44" s="19"/>
      <c r="D44" s="3"/>
      <c r="E44" s="17"/>
      <c r="F44" s="3"/>
      <c r="M44" s="3"/>
      <c r="N44" s="3"/>
      <c r="O44" s="3"/>
      <c r="P44" s="3"/>
      <c r="Q44" s="3"/>
      <c r="R44" s="3"/>
      <c r="S44" s="3"/>
      <c r="T44" s="3"/>
      <c r="U44" s="3"/>
      <c r="V44" s="3"/>
      <c r="W44" s="36"/>
      <c r="X44" s="30"/>
      <c r="Y44" s="30"/>
      <c r="Z44" s="30"/>
      <c r="AA44" s="30"/>
      <c r="AB44" s="30"/>
    </row>
    <row r="45" spans="3:28" ht="15" x14ac:dyDescent="0.25">
      <c r="C45" s="19"/>
      <c r="D45" s="3"/>
      <c r="E45" s="17"/>
      <c r="F45" s="3"/>
      <c r="M45" s="3"/>
      <c r="N45" s="3"/>
      <c r="O45" s="3"/>
      <c r="P45" s="3"/>
      <c r="Q45" s="3"/>
      <c r="R45" s="3"/>
      <c r="S45" s="3"/>
      <c r="T45" s="3"/>
      <c r="U45" s="3"/>
      <c r="V45" s="3"/>
      <c r="W45" s="36"/>
      <c r="X45" s="58"/>
      <c r="Y45" s="30"/>
      <c r="Z45" s="30"/>
      <c r="AA45" s="30"/>
      <c r="AB45" s="30"/>
    </row>
    <row r="46" spans="3:28" x14ac:dyDescent="0.25">
      <c r="C46" s="19"/>
      <c r="D46" s="3"/>
      <c r="E46" s="17"/>
      <c r="F46" s="3"/>
      <c r="M46" s="3"/>
      <c r="N46" s="3"/>
      <c r="O46" s="3"/>
      <c r="P46" s="3"/>
      <c r="Q46" s="3"/>
      <c r="R46" s="3"/>
      <c r="S46" s="3"/>
      <c r="T46" s="3"/>
      <c r="U46" s="3"/>
      <c r="V46" s="3"/>
      <c r="W46" s="36"/>
      <c r="X46" s="30"/>
      <c r="Y46" s="30"/>
      <c r="Z46" s="30"/>
      <c r="AA46" s="30"/>
      <c r="AB46" s="30"/>
    </row>
    <row r="47" spans="3:28" x14ac:dyDescent="0.25">
      <c r="C47" s="19"/>
      <c r="D47" s="3"/>
      <c r="E47" s="17"/>
      <c r="F47" s="3"/>
      <c r="M47" s="3"/>
      <c r="N47" s="3"/>
      <c r="O47" s="3"/>
      <c r="P47" s="3"/>
      <c r="Q47" s="3"/>
      <c r="R47" s="3"/>
      <c r="S47" s="3"/>
      <c r="T47" s="3"/>
      <c r="U47" s="3"/>
      <c r="V47" s="3"/>
      <c r="W47" s="36"/>
      <c r="X47" s="30"/>
      <c r="Y47" s="30"/>
      <c r="Z47" s="30"/>
      <c r="AA47" s="30"/>
      <c r="AB47" s="30"/>
    </row>
    <row r="48" spans="3:28" x14ac:dyDescent="0.25">
      <c r="C48" s="19"/>
      <c r="D48" s="3"/>
      <c r="E48" s="17"/>
      <c r="F48" s="3"/>
      <c r="M48" s="3"/>
      <c r="N48" s="3"/>
      <c r="O48" s="3"/>
      <c r="P48" s="3"/>
      <c r="Q48" s="3"/>
      <c r="R48" s="3"/>
      <c r="S48" s="3"/>
      <c r="T48" s="3"/>
      <c r="U48" s="3"/>
      <c r="V48" s="3"/>
      <c r="W48" s="36"/>
      <c r="X48" s="30"/>
      <c r="Y48" s="30"/>
      <c r="Z48" s="30"/>
      <c r="AA48" s="30"/>
      <c r="AB48" s="30"/>
    </row>
    <row r="49" spans="2:28" x14ac:dyDescent="0.25">
      <c r="C49" s="19"/>
      <c r="D49" s="3"/>
      <c r="E49" s="17"/>
      <c r="F49" s="3"/>
      <c r="M49" s="3"/>
      <c r="N49" s="3"/>
      <c r="O49" s="3"/>
      <c r="P49" s="3"/>
      <c r="Q49" s="3"/>
      <c r="R49" s="3"/>
      <c r="S49" s="3"/>
      <c r="T49" s="3"/>
      <c r="U49" s="3"/>
      <c r="V49" s="3"/>
      <c r="W49" s="36"/>
      <c r="X49" s="30"/>
      <c r="Y49" s="30"/>
      <c r="Z49" s="30"/>
      <c r="AA49" s="30"/>
      <c r="AB49" s="30"/>
    </row>
    <row r="50" spans="2:28" x14ac:dyDescent="0.25">
      <c r="C50" s="19"/>
      <c r="D50" s="3"/>
      <c r="E50" s="17"/>
      <c r="F50" s="3"/>
      <c r="M50" s="3"/>
      <c r="N50" s="3"/>
      <c r="O50" s="3"/>
      <c r="P50" s="3"/>
      <c r="Q50" s="3"/>
      <c r="R50" s="3"/>
      <c r="S50" s="3"/>
      <c r="T50" s="3"/>
      <c r="U50" s="3"/>
      <c r="V50" s="3"/>
      <c r="W50" s="36"/>
      <c r="X50" s="30"/>
      <c r="Y50" s="30"/>
      <c r="Z50" s="30"/>
      <c r="AA50" s="30"/>
      <c r="AB50" s="30"/>
    </row>
    <row r="51" spans="2:28" x14ac:dyDescent="0.25">
      <c r="C51" s="19"/>
      <c r="D51" s="3"/>
      <c r="E51" s="17"/>
      <c r="F51" s="3"/>
      <c r="M51" s="3"/>
      <c r="N51" s="3"/>
      <c r="O51" s="3"/>
      <c r="P51" s="3"/>
      <c r="Q51" s="3"/>
      <c r="R51" s="3"/>
      <c r="S51" s="3"/>
      <c r="T51" s="3"/>
      <c r="U51" s="3"/>
      <c r="V51" s="3"/>
      <c r="W51" s="36"/>
      <c r="X51" s="30"/>
      <c r="Y51" s="30"/>
      <c r="Z51" s="30"/>
      <c r="AA51" s="30"/>
      <c r="AB51" s="30"/>
    </row>
    <row r="52" spans="2:28" x14ac:dyDescent="0.25">
      <c r="C52" s="19"/>
      <c r="D52" s="3"/>
      <c r="E52" s="17"/>
      <c r="F52" s="3"/>
      <c r="M52" s="3"/>
      <c r="N52" s="3"/>
      <c r="O52" s="3"/>
      <c r="P52" s="3"/>
      <c r="Q52" s="3"/>
      <c r="R52" s="3"/>
      <c r="S52" s="3"/>
      <c r="T52" s="3"/>
      <c r="U52" s="3"/>
      <c r="V52" s="3"/>
      <c r="W52" s="36"/>
      <c r="X52" s="30"/>
      <c r="Y52" s="30"/>
      <c r="Z52" s="30"/>
      <c r="AA52" s="30"/>
      <c r="AB52" s="30"/>
    </row>
    <row r="53" spans="2:28" x14ac:dyDescent="0.25">
      <c r="C53" s="19"/>
      <c r="D53" s="3"/>
      <c r="E53" s="17"/>
      <c r="F53" s="3"/>
      <c r="M53" s="3"/>
      <c r="N53" s="3"/>
      <c r="O53" s="3"/>
      <c r="P53" s="3"/>
      <c r="Q53" s="3"/>
      <c r="R53" s="3"/>
      <c r="S53" s="3"/>
      <c r="T53" s="3"/>
      <c r="U53" s="3"/>
      <c r="V53" s="3"/>
      <c r="W53" s="36"/>
      <c r="X53" s="30"/>
      <c r="Y53" s="30"/>
      <c r="Z53" s="30"/>
      <c r="AA53" s="30"/>
      <c r="AB53" s="30"/>
    </row>
    <row r="54" spans="2:28" x14ac:dyDescent="0.25">
      <c r="C54" s="19"/>
      <c r="D54" s="3"/>
      <c r="E54" s="17"/>
      <c r="F54" s="3"/>
      <c r="M54" s="3"/>
      <c r="N54" s="3"/>
      <c r="O54" s="3"/>
      <c r="P54" s="3"/>
      <c r="Q54" s="3"/>
      <c r="R54" s="3"/>
      <c r="S54" s="3"/>
      <c r="T54" s="3"/>
      <c r="U54" s="3"/>
      <c r="V54" s="3"/>
      <c r="W54" s="36"/>
      <c r="X54" s="30"/>
      <c r="Y54" s="30"/>
      <c r="Z54" s="30"/>
      <c r="AA54" s="30"/>
      <c r="AB54" s="30"/>
    </row>
    <row r="55" spans="2:28" ht="15.75" customHeight="1" x14ac:dyDescent="0.3">
      <c r="C55" s="19"/>
      <c r="D55" s="3"/>
      <c r="E55" s="17"/>
      <c r="F55" s="3"/>
      <c r="M55" s="3"/>
      <c r="N55" s="3"/>
      <c r="O55" s="3"/>
      <c r="P55" s="3"/>
      <c r="Q55" s="3"/>
      <c r="R55" s="3"/>
      <c r="S55" s="3"/>
      <c r="T55" s="3"/>
      <c r="U55" s="3"/>
      <c r="V55" s="3"/>
      <c r="W55" s="36"/>
      <c r="X55" s="30"/>
      <c r="Y55" s="30"/>
      <c r="Z55" s="40"/>
      <c r="AA55" s="30"/>
      <c r="AB55" s="30"/>
    </row>
    <row r="56" spans="2:28" ht="15.75" customHeight="1" x14ac:dyDescent="0.3">
      <c r="C56" s="19"/>
      <c r="D56" s="3"/>
      <c r="E56" s="17"/>
      <c r="F56" s="3"/>
      <c r="M56" s="3"/>
      <c r="N56" s="3"/>
      <c r="O56" s="3"/>
      <c r="P56" s="3"/>
      <c r="Q56" s="3"/>
      <c r="R56" s="3"/>
      <c r="S56" s="3"/>
      <c r="T56" s="3"/>
      <c r="U56" s="3"/>
      <c r="V56" s="3"/>
      <c r="W56" s="36"/>
      <c r="X56" s="30"/>
      <c r="Y56" s="30"/>
      <c r="Z56" s="59"/>
      <c r="AA56" s="30"/>
      <c r="AB56" s="30"/>
    </row>
    <row r="57" spans="2:28" ht="15.75" customHeight="1" x14ac:dyDescent="0.3">
      <c r="C57" s="19"/>
      <c r="D57" s="3"/>
      <c r="E57" s="17"/>
      <c r="F57" s="3"/>
      <c r="M57" s="3"/>
      <c r="N57" s="3"/>
      <c r="O57" s="3"/>
      <c r="P57" s="3"/>
      <c r="Q57" s="3"/>
      <c r="R57" s="3"/>
      <c r="S57" s="3"/>
      <c r="T57" s="3"/>
      <c r="U57" s="3"/>
      <c r="V57" s="3"/>
      <c r="W57" s="36"/>
      <c r="X57" s="30"/>
      <c r="Y57" s="30"/>
      <c r="Z57" s="59"/>
      <c r="AA57" s="30"/>
      <c r="AB57" s="30"/>
    </row>
    <row r="58" spans="2:28" ht="15.75" customHeight="1" x14ac:dyDescent="0.3">
      <c r="C58" s="19"/>
      <c r="D58" s="3"/>
      <c r="E58" s="17"/>
      <c r="F58" s="3"/>
      <c r="M58" s="3"/>
      <c r="N58" s="3"/>
      <c r="O58" s="3"/>
      <c r="P58" s="3"/>
      <c r="Q58" s="3"/>
      <c r="R58" s="3"/>
      <c r="S58" s="3"/>
      <c r="T58" s="3"/>
      <c r="U58" s="3"/>
      <c r="V58" s="3"/>
      <c r="W58" s="36"/>
      <c r="X58" s="30" t="s">
        <v>30</v>
      </c>
      <c r="Y58" s="30"/>
      <c r="Z58" s="60"/>
      <c r="AA58" s="30"/>
      <c r="AB58" s="30"/>
    </row>
    <row r="59" spans="2:28" ht="17.399999999999999" x14ac:dyDescent="0.3">
      <c r="C59" s="19"/>
      <c r="D59" s="3"/>
      <c r="E59" s="17"/>
      <c r="F59" s="3"/>
      <c r="M59" s="3"/>
      <c r="N59" s="3"/>
      <c r="O59" s="3"/>
      <c r="P59" s="3"/>
      <c r="Q59" s="3"/>
      <c r="R59" s="3"/>
      <c r="S59" s="3"/>
      <c r="T59" s="3"/>
      <c r="U59" s="3"/>
      <c r="V59" s="3"/>
      <c r="W59" s="36">
        <f>W60*E8</f>
        <v>53.086123840880042</v>
      </c>
      <c r="X59" s="37">
        <f>X39</f>
        <v>142</v>
      </c>
      <c r="Y59" s="30"/>
      <c r="Z59" s="30"/>
      <c r="AA59" s="30"/>
      <c r="AB59" s="30"/>
    </row>
    <row r="60" spans="2:28" ht="17.399999999999999" x14ac:dyDescent="0.3">
      <c r="C60" s="19"/>
      <c r="D60" s="3"/>
      <c r="E60" s="17"/>
      <c r="F60" s="3"/>
      <c r="M60" s="3"/>
      <c r="N60" s="42"/>
      <c r="O60" s="3"/>
      <c r="P60" s="3"/>
      <c r="Q60" s="3"/>
      <c r="R60" s="3"/>
      <c r="S60" s="3"/>
      <c r="T60" s="3">
        <f>MEDIAN(Table22342102345[abs(lab)])</f>
        <v>0.98999974999999907</v>
      </c>
      <c r="U60" s="3"/>
      <c r="V60" s="3">
        <f>MEDIAN(Table22342102345[abs(anl)])</f>
        <v>0.78126497522889959</v>
      </c>
      <c r="W60" s="2">
        <f>MEDIAN(Table22342102345[Produits Lab x Anl])</f>
        <v>0.66357654801100052</v>
      </c>
      <c r="X60" s="37"/>
      <c r="Z60" s="60"/>
      <c r="AA60" s="30"/>
      <c r="AB60" s="30"/>
    </row>
    <row r="61" spans="2:28" ht="13.8" x14ac:dyDescent="0.25">
      <c r="D61" s="43" t="s">
        <v>1</v>
      </c>
      <c r="E61" s="1"/>
      <c r="F61" s="43" t="s">
        <v>2</v>
      </c>
      <c r="G61" s="4"/>
      <c r="M61" s="3"/>
      <c r="W61" s="22"/>
      <c r="Y61" s="22"/>
    </row>
    <row r="62" spans="2:28" s="22" customFormat="1" ht="42.75" customHeight="1" x14ac:dyDescent="0.25">
      <c r="B62" s="20" t="s">
        <v>0</v>
      </c>
      <c r="C62" t="s">
        <v>67</v>
      </c>
      <c r="D62" t="s">
        <v>65</v>
      </c>
      <c r="E62" t="s">
        <v>66</v>
      </c>
      <c r="F62" s="82" t="s">
        <v>164</v>
      </c>
      <c r="G62" s="20" t="s">
        <v>48</v>
      </c>
      <c r="H62" s="20" t="s">
        <v>3</v>
      </c>
      <c r="I62" s="20" t="s">
        <v>23</v>
      </c>
      <c r="J62" s="20" t="s">
        <v>4</v>
      </c>
      <c r="K62" s="20" t="s">
        <v>51</v>
      </c>
      <c r="L62" s="20" t="s">
        <v>52</v>
      </c>
      <c r="M62" s="21" t="s">
        <v>5</v>
      </c>
      <c r="N62" s="21" t="s">
        <v>32</v>
      </c>
      <c r="O62" s="21" t="s">
        <v>31</v>
      </c>
      <c r="P62" s="21" t="s">
        <v>33</v>
      </c>
      <c r="Q62" s="21" t="s">
        <v>50</v>
      </c>
      <c r="R62" s="21" t="s">
        <v>49</v>
      </c>
      <c r="S62" s="21" t="s">
        <v>58</v>
      </c>
      <c r="T62" s="21" t="s">
        <v>60</v>
      </c>
      <c r="U62" s="64" t="s">
        <v>59</v>
      </c>
      <c r="V62" s="64" t="s">
        <v>61</v>
      </c>
      <c r="W62" s="21" t="s">
        <v>62</v>
      </c>
      <c r="X62" s="22" t="str">
        <f>D62</f>
        <v>REF</v>
      </c>
      <c r="Z62" s="2"/>
      <c r="AA62" s="22" t="str">
        <f>F62</f>
        <v>Lesnoff</v>
      </c>
      <c r="AB62" s="2"/>
    </row>
    <row r="63" spans="2:28" x14ac:dyDescent="0.25">
      <c r="B63" s="46">
        <f ca="1">VALUE((Table22342102345[[#This Row],[Column3]]-62))</f>
        <v>1</v>
      </c>
      <c r="C63" t="s">
        <v>69</v>
      </c>
      <c r="D63">
        <v>9.9399996000000002</v>
      </c>
      <c r="E63"/>
      <c r="F63">
        <v>10.766816524653301</v>
      </c>
      <c r="G63" s="29">
        <f>Table22342102345[[#This Row],[Lesnoff]]-Table22342102345[[#This Row],[REF]]</f>
        <v>0.82681692465330059</v>
      </c>
      <c r="H63" s="29">
        <f>Table22342102345[[#This Row],[X-Y]]-E$20</f>
        <v>3.9074967010579442E-2</v>
      </c>
      <c r="I63" s="29">
        <f>Table22342102345[[#This Row],[Lesnoff]]-E$20</f>
        <v>9.9790745670105796</v>
      </c>
      <c r="J63" s="29">
        <f>Table22342102345[[#This Row],[Lesnoff]]*E$21+E$22</f>
        <v>10.153519256093126</v>
      </c>
      <c r="K63" s="56">
        <f>Table22342102345[[#This Row],[Yest]]-Table22342102345[[#This Row],[REF]]</f>
        <v>0.21351965609312629</v>
      </c>
      <c r="L63" s="56">
        <f>ABS(Table22342102345[[#This Row],[RESyx]])</f>
        <v>0.21351965609312629</v>
      </c>
      <c r="M63" s="29">
        <f>Table22342102345[[#This Row],[Lesnoff]]*E$25+E$26</f>
        <v>9.946321285778744</v>
      </c>
      <c r="N63" s="29">
        <f>Table22342102345[[#This Row],[X-Y]]^2</f>
        <v>0.68362622689314179</v>
      </c>
      <c r="O63" s="57">
        <f>Table22342102345[[#This Row],[yest_rect]]-Table22342102345[[#This Row],[REF]]</f>
        <v>6.321685778743813E-3</v>
      </c>
      <c r="P63" s="57">
        <f>Table22342102345[[#This Row],[dif rec]]^2</f>
        <v>3.9963711085171767E-5</v>
      </c>
      <c r="Q63" s="57">
        <f>ABS(Table22342102345[[#This Row],[diff-bias]])</f>
        <v>3.9074967010579442E-2</v>
      </c>
      <c r="R63" s="57">
        <f ca="1">CELL("row",Table22342102345[[#This Row],[Position]])</f>
        <v>63</v>
      </c>
      <c r="S63" s="4">
        <f>Table22342102345[[#This Row],[REF]]-D$13</f>
        <v>-1.0700006500000008</v>
      </c>
      <c r="T63" s="4">
        <f>ABS(Table22342102345[[#This Row],[lab-med]])</f>
        <v>1.0700006500000008</v>
      </c>
      <c r="U63" s="4">
        <f>Table22342102345[[#This Row],[Lesnoff]]-F$13</f>
        <v>-1.0333569272663006</v>
      </c>
      <c r="V63" s="4">
        <f>ABS(Table22342102345[[#This Row],[anl-med]])</f>
        <v>1.0333569272663006</v>
      </c>
      <c r="W63" s="4">
        <f>Table22342102345[[#This Row],[lab-med]]*Table22342102345[[#This Row],[anl-med]]</f>
        <v>1.1056925838569451</v>
      </c>
    </row>
    <row r="64" spans="2:28" x14ac:dyDescent="0.25">
      <c r="B64" s="46">
        <f ca="1">VALUE((Table22342102345[[#This Row],[Column3]]-62))</f>
        <v>2</v>
      </c>
      <c r="C64" t="s">
        <v>70</v>
      </c>
      <c r="D64">
        <v>10.0200005</v>
      </c>
      <c r="E64"/>
      <c r="F64">
        <v>11.7600797827312</v>
      </c>
      <c r="G64" s="29">
        <f>Table22342102345[[#This Row],[Lesnoff]]-Table22342102345[[#This Row],[REF]]</f>
        <v>1.7400792827311999</v>
      </c>
      <c r="H64" s="29">
        <f>Table22342102345[[#This Row],[X-Y]]-E$20</f>
        <v>0.95233732508847879</v>
      </c>
      <c r="I64" s="29">
        <f>Table22342102345[[#This Row],[Lesnoff]]-E$20</f>
        <v>10.972337825088479</v>
      </c>
      <c r="J64" s="29">
        <f>Table22342102345[[#This Row],[Lesnoff]]*E$21+E$22</f>
        <v>10.993504378133458</v>
      </c>
      <c r="K64" s="56">
        <f>Table22342102345[[#This Row],[Yest]]-Table22342102345[[#This Row],[REF]]</f>
        <v>0.9735038781334584</v>
      </c>
      <c r="L64" s="56">
        <f>ABS(Table22342102345[[#This Row],[RESyx]])</f>
        <v>0.9735038781334584</v>
      </c>
      <c r="M64" s="29">
        <f>Table22342102345[[#This Row],[Lesnoff]]*E$25+E$26</f>
        <v>10.96836364812593</v>
      </c>
      <c r="N64" s="29">
        <f>Table22342102345[[#This Row],[X-Y]]^2</f>
        <v>3.0278759101903274</v>
      </c>
      <c r="O64" s="57">
        <f>Table22342102345[[#This Row],[yest_rect]]-Table22342102345[[#This Row],[REF]]</f>
        <v>0.94836314812592981</v>
      </c>
      <c r="P64" s="57">
        <f>Table22342102345[[#This Row],[dif rec]]^2</f>
        <v>0.89939266072332424</v>
      </c>
      <c r="Q64" s="57">
        <f>ABS(Table22342102345[[#This Row],[diff-bias]])</f>
        <v>0.95233732508847879</v>
      </c>
      <c r="R64" s="57">
        <f ca="1">CELL("row",Table22342102345[[#This Row],[Position]])</f>
        <v>64</v>
      </c>
      <c r="S64" s="4">
        <f>Table22342102345[[#This Row],[REF]]-D$13</f>
        <v>-0.98999975000000084</v>
      </c>
      <c r="T64" s="4">
        <f>ABS(Table22342102345[[#This Row],[lab-med]])</f>
        <v>0.98999975000000084</v>
      </c>
      <c r="U64" s="4">
        <f>Table22342102345[[#This Row],[Lesnoff]]-F$13</f>
        <v>-4.0093669188401293E-2</v>
      </c>
      <c r="V64" s="4">
        <f>ABS(Table22342102345[[#This Row],[anl-med]])</f>
        <v>4.0093669188401293E-2</v>
      </c>
      <c r="W64" s="4">
        <f>Table22342102345[[#This Row],[lab-med]]*Table22342102345[[#This Row],[anl-med]]</f>
        <v>3.9692722473100017E-2</v>
      </c>
    </row>
    <row r="65" spans="2:23" x14ac:dyDescent="0.25">
      <c r="B65" s="46">
        <f ca="1">VALUE((Table22342102345[[#This Row],[Column3]]-62))</f>
        <v>3</v>
      </c>
      <c r="C65" t="s">
        <v>71</v>
      </c>
      <c r="D65">
        <v>10</v>
      </c>
      <c r="E65"/>
      <c r="F65">
        <v>10.7474127874613</v>
      </c>
      <c r="G65" s="29">
        <f>Table22342102345[[#This Row],[Lesnoff]]-Table22342102345[[#This Row],[REF]]</f>
        <v>0.74741278746130035</v>
      </c>
      <c r="H65" s="29">
        <f>Table22342102345[[#This Row],[X-Y]]-E$20</f>
        <v>-4.0329170181420793E-2</v>
      </c>
      <c r="I65" s="29">
        <f>Table22342102345[[#This Row],[Lesnoff]]-E$20</f>
        <v>9.9596708298185792</v>
      </c>
      <c r="J65" s="29">
        <f>Table22342102345[[#This Row],[Lesnoff]]*E$21+E$22</f>
        <v>10.137109859671073</v>
      </c>
      <c r="K65" s="56">
        <f>Table22342102345[[#This Row],[Yest]]-Table22342102345[[#This Row],[REF]]</f>
        <v>0.1371098596710727</v>
      </c>
      <c r="L65" s="56">
        <f>ABS(Table22342102345[[#This Row],[RESyx]])</f>
        <v>0.1371098596710727</v>
      </c>
      <c r="M65" s="29">
        <f>Table22342102345[[#This Row],[Lesnoff]]*E$25+E$26</f>
        <v>9.9263553389496497</v>
      </c>
      <c r="N65" s="29">
        <f>Table22342102345[[#This Row],[X-Y]]^2</f>
        <v>0.55862587486067095</v>
      </c>
      <c r="O65" s="57">
        <f>Table22342102345[[#This Row],[yest_rect]]-Table22342102345[[#This Row],[REF]]</f>
        <v>-7.364466105035028E-2</v>
      </c>
      <c r="P65" s="57">
        <f>Table22342102345[[#This Row],[dif rec]]^2</f>
        <v>5.4235361012209791E-3</v>
      </c>
      <c r="Q65" s="57">
        <f>ABS(Table22342102345[[#This Row],[diff-bias]])</f>
        <v>4.0329170181420793E-2</v>
      </c>
      <c r="R65" s="57">
        <f ca="1">CELL("row",Table22342102345[[#This Row],[Position]])</f>
        <v>65</v>
      </c>
      <c r="S65" s="4">
        <f>Table22342102345[[#This Row],[REF]]-D$13</f>
        <v>-1.0100002500000009</v>
      </c>
      <c r="T65" s="4">
        <f>ABS(Table22342102345[[#This Row],[lab-med]])</f>
        <v>1.0100002500000009</v>
      </c>
      <c r="U65" s="4">
        <f>Table22342102345[[#This Row],[Lesnoff]]-F$13</f>
        <v>-1.052760664458301</v>
      </c>
      <c r="V65" s="4">
        <f>ABS(Table22342102345[[#This Row],[anl-med]])</f>
        <v>1.052760664458301</v>
      </c>
      <c r="W65" s="4">
        <f>Table22342102345[[#This Row],[lab-med]]*Table22342102345[[#This Row],[anl-med]]</f>
        <v>1.0632885342930511</v>
      </c>
    </row>
    <row r="66" spans="2:23" x14ac:dyDescent="0.25">
      <c r="B66" s="46">
        <f ca="1">VALUE((Table22342102345[[#This Row],[Column3]]-62))</f>
        <v>4</v>
      </c>
      <c r="C66" t="s">
        <v>72</v>
      </c>
      <c r="D66">
        <v>10.5</v>
      </c>
      <c r="E66"/>
      <c r="F66">
        <v>12.2063949158906</v>
      </c>
      <c r="G66" s="29">
        <f>Table22342102345[[#This Row],[Lesnoff]]-Table22342102345[[#This Row],[REF]]</f>
        <v>1.7063949158906002</v>
      </c>
      <c r="H66" s="29">
        <f>Table22342102345[[#This Row],[X-Y]]-E$20</f>
        <v>0.91865295824787907</v>
      </c>
      <c r="I66" s="29">
        <f>Table22342102345[[#This Row],[Lesnoff]]-E$20</f>
        <v>11.418652958247879</v>
      </c>
      <c r="J66" s="29">
        <f>Table22342102345[[#This Row],[Lesnoff]]*E$21+E$22</f>
        <v>11.37094517094082</v>
      </c>
      <c r="K66" s="56">
        <f>Table22342102345[[#This Row],[Yest]]-Table22342102345[[#This Row],[REF]]</f>
        <v>0.87094517094081958</v>
      </c>
      <c r="L66" s="56">
        <f>ABS(Table22342102345[[#This Row],[RESyx]])</f>
        <v>0.87094517094081958</v>
      </c>
      <c r="M66" s="29">
        <f>Table22342102345[[#This Row],[Lesnoff]]*E$25+E$26</f>
        <v>11.427610448343076</v>
      </c>
      <c r="N66" s="29">
        <f>Table22342102345[[#This Row],[X-Y]]^2</f>
        <v>2.9117836089772884</v>
      </c>
      <c r="O66" s="57">
        <f>Table22342102345[[#This Row],[yest_rect]]-Table22342102345[[#This Row],[REF]]</f>
        <v>0.92761044834307604</v>
      </c>
      <c r="P66" s="57">
        <f>Table22342102345[[#This Row],[dif rec]]^2</f>
        <v>0.86046114387524253</v>
      </c>
      <c r="Q66" s="57">
        <f>ABS(Table22342102345[[#This Row],[diff-bias]])</f>
        <v>0.91865295824787907</v>
      </c>
      <c r="R66" s="57">
        <f ca="1">CELL("row",Table22342102345[[#This Row],[Position]])</f>
        <v>66</v>
      </c>
      <c r="S66" s="4">
        <f>Table22342102345[[#This Row],[REF]]-D$13</f>
        <v>-0.51000025000000093</v>
      </c>
      <c r="T66" s="4">
        <f>ABS(Table22342102345[[#This Row],[lab-med]])</f>
        <v>0.51000025000000093</v>
      </c>
      <c r="U66" s="4">
        <f>Table22342102345[[#This Row],[Lesnoff]]-F$13</f>
        <v>0.4062214639709989</v>
      </c>
      <c r="V66" s="4">
        <f>ABS(Table22342102345[[#This Row],[anl-med]])</f>
        <v>0.4062214639709989</v>
      </c>
      <c r="W66" s="4">
        <f>Table22342102345[[#This Row],[lab-med]]*Table22342102345[[#This Row],[anl-med]]</f>
        <v>-0.2071730481805758</v>
      </c>
    </row>
    <row r="67" spans="2:23" x14ac:dyDescent="0.25">
      <c r="B67" s="46">
        <f ca="1">VALUE((Table22342102345[[#This Row],[Column3]]-62))</f>
        <v>5</v>
      </c>
      <c r="C67" t="s">
        <v>73</v>
      </c>
      <c r="D67">
        <v>10.779999699999999</v>
      </c>
      <c r="E67"/>
      <c r="F67">
        <v>10.7276693179342</v>
      </c>
      <c r="G67" s="29">
        <f>Table22342102345[[#This Row],[Lesnoff]]-Table22342102345[[#This Row],[REF]]</f>
        <v>-5.2330382065798986E-2</v>
      </c>
      <c r="H67" s="29">
        <f>Table22342102345[[#This Row],[X-Y]]-E$20</f>
        <v>-0.84007233970852013</v>
      </c>
      <c r="I67" s="29">
        <f>Table22342102345[[#This Row],[Lesnoff]]-E$20</f>
        <v>9.9399273602914793</v>
      </c>
      <c r="J67" s="29">
        <f>Table22342102345[[#This Row],[Lesnoff]]*E$21+E$22</f>
        <v>10.120413157638307</v>
      </c>
      <c r="K67" s="56">
        <f>Table22342102345[[#This Row],[Yest]]-Table22342102345[[#This Row],[REF]]</f>
        <v>-0.65958654236169245</v>
      </c>
      <c r="L67" s="56">
        <f>ABS(Table22342102345[[#This Row],[RESyx]])</f>
        <v>0.65958654236169245</v>
      </c>
      <c r="M67" s="29">
        <f>Table22342102345[[#This Row],[Lesnoff]]*E$25+E$26</f>
        <v>9.9060398162800052</v>
      </c>
      <c r="N67" s="29">
        <f>Table22342102345[[#This Row],[X-Y]]^2</f>
        <v>2.738468887152496E-3</v>
      </c>
      <c r="O67" s="57">
        <f>Table22342102345[[#This Row],[yest_rect]]-Table22342102345[[#This Row],[REF]]</f>
        <v>-0.87395988371999422</v>
      </c>
      <c r="P67" s="57">
        <f>Table22342102345[[#This Row],[dif rec]]^2</f>
        <v>0.76380587835186586</v>
      </c>
      <c r="Q67" s="57">
        <f>ABS(Table22342102345[[#This Row],[diff-bias]])</f>
        <v>0.84007233970852013</v>
      </c>
      <c r="R67" s="57">
        <f ca="1">CELL("row",Table22342102345[[#This Row],[Position]])</f>
        <v>67</v>
      </c>
      <c r="S67" s="4">
        <f>Table22342102345[[#This Row],[REF]]-D$13</f>
        <v>-0.23000055000000152</v>
      </c>
      <c r="T67" s="4">
        <f>ABS(Table22342102345[[#This Row],[lab-med]])</f>
        <v>0.23000055000000152</v>
      </c>
      <c r="U67" s="4">
        <f>Table22342102345[[#This Row],[Lesnoff]]-F$13</f>
        <v>-1.0725041339854009</v>
      </c>
      <c r="V67" s="4">
        <f>ABS(Table22342102345[[#This Row],[anl-med]])</f>
        <v>1.0725041339854009</v>
      </c>
      <c r="W67" s="4">
        <f>Table22342102345[[#This Row],[lab-med]]*Table22342102345[[#This Row],[anl-med]]</f>
        <v>0.24667654069391753</v>
      </c>
    </row>
    <row r="68" spans="2:23" x14ac:dyDescent="0.25">
      <c r="B68" s="46">
        <f ca="1">VALUE((Table22342102345[[#This Row],[Column3]]-62))</f>
        <v>6</v>
      </c>
      <c r="C68" t="s">
        <v>74</v>
      </c>
      <c r="D68">
        <v>10.449999800000001</v>
      </c>
      <c r="E68"/>
      <c r="F68">
        <v>11.0745621</v>
      </c>
      <c r="G68" s="29">
        <f>Table22342102345[[#This Row],[Lesnoff]]-Table22342102345[[#This Row],[REF]]</f>
        <v>0.62456229999999913</v>
      </c>
      <c r="H68" s="29">
        <f>Table22342102345[[#This Row],[X-Y]]-E$20</f>
        <v>-0.16317965764272202</v>
      </c>
      <c r="I68" s="29">
        <f>Table22342102345[[#This Row],[Lesnoff]]-E$20</f>
        <v>10.286820142357278</v>
      </c>
      <c r="J68" s="29">
        <f>Table22342102345[[#This Row],[Lesnoff]]*E$21+E$22</f>
        <v>10.413774231360414</v>
      </c>
      <c r="K68" s="56">
        <f>Table22342102345[[#This Row],[Yest]]-Table22342102345[[#This Row],[REF]]</f>
        <v>-3.6225568639586925E-2</v>
      </c>
      <c r="L68" s="56">
        <f>ABS(Table22342102345[[#This Row],[RESyx]])</f>
        <v>3.6225568639586925E-2</v>
      </c>
      <c r="M68" s="29">
        <f>Table22342102345[[#This Row],[Lesnoff]]*E$25+E$26</f>
        <v>10.262983572711507</v>
      </c>
      <c r="N68" s="29">
        <f>Table22342102345[[#This Row],[X-Y]]^2</f>
        <v>0.39007806658128891</v>
      </c>
      <c r="O68" s="57">
        <f>Table22342102345[[#This Row],[yest_rect]]-Table22342102345[[#This Row],[REF]]</f>
        <v>-0.18701622728849365</v>
      </c>
      <c r="P68" s="57">
        <f>Table22342102345[[#This Row],[dif rec]]^2</f>
        <v>3.4975069269221518E-2</v>
      </c>
      <c r="Q68" s="57">
        <f>ABS(Table22342102345[[#This Row],[diff-bias]])</f>
        <v>0.16317965764272202</v>
      </c>
      <c r="R68" s="57">
        <f ca="1">CELL("row",Table22342102345[[#This Row],[Position]])</f>
        <v>68</v>
      </c>
      <c r="S68" s="4">
        <f>Table22342102345[[#This Row],[REF]]-D$13</f>
        <v>-0.56000045000000043</v>
      </c>
      <c r="T68" s="4">
        <f>ABS(Table22342102345[[#This Row],[lab-med]])</f>
        <v>0.56000045000000043</v>
      </c>
      <c r="U68" s="4">
        <f>Table22342102345[[#This Row],[Lesnoff]]-F$13</f>
        <v>-0.72561135191960169</v>
      </c>
      <c r="V68" s="4">
        <f>ABS(Table22342102345[[#This Row],[anl-med]])</f>
        <v>0.72561135191960169</v>
      </c>
      <c r="W68" s="4">
        <f>Table22342102345[[#This Row],[lab-med]]*Table22342102345[[#This Row],[anl-med]]</f>
        <v>0.40634268360008563</v>
      </c>
    </row>
    <row r="69" spans="2:23" x14ac:dyDescent="0.25">
      <c r="B69" s="46">
        <f ca="1">VALUE((Table22342102345[[#This Row],[Column3]]-62))</f>
        <v>7</v>
      </c>
      <c r="C69" t="s">
        <v>75</v>
      </c>
      <c r="D69">
        <v>11.0200005</v>
      </c>
      <c r="E69"/>
      <c r="F69">
        <v>10.1964318871626</v>
      </c>
      <c r="G69" s="29">
        <f>Table22342102345[[#This Row],[Lesnoff]]-Table22342102345[[#This Row],[REF]]</f>
        <v>-0.82356861283740024</v>
      </c>
      <c r="H69" s="29">
        <f>Table22342102345[[#This Row],[X-Y]]-E$20</f>
        <v>-1.6113105704801214</v>
      </c>
      <c r="I69" s="29">
        <f>Table22342102345[[#This Row],[Lesnoff]]-E$20</f>
        <v>9.4086899295198787</v>
      </c>
      <c r="J69" s="29">
        <f>Table22342102345[[#This Row],[Lesnoff]]*E$21+E$22</f>
        <v>9.6711550838194942</v>
      </c>
      <c r="K69" s="56">
        <f>Table22342102345[[#This Row],[Yest]]-Table22342102345[[#This Row],[REF]]</f>
        <v>-1.3488454161805059</v>
      </c>
      <c r="L69" s="56">
        <f>ABS(Table22342102345[[#This Row],[RESyx]])</f>
        <v>1.3488454161805059</v>
      </c>
      <c r="M69" s="29">
        <f>Table22342102345[[#This Row],[Lesnoff]]*E$25+E$26</f>
        <v>9.3594101546093089</v>
      </c>
      <c r="N69" s="29">
        <f>Table22342102345[[#This Row],[X-Y]]^2</f>
        <v>0.67826526005091969</v>
      </c>
      <c r="O69" s="57">
        <f>Table22342102345[[#This Row],[yest_rect]]-Table22342102345[[#This Row],[REF]]</f>
        <v>-1.6605903453906912</v>
      </c>
      <c r="P69" s="57">
        <f>Table22342102345[[#This Row],[dif rec]]^2</f>
        <v>2.7575602952047751</v>
      </c>
      <c r="Q69" s="57">
        <f>ABS(Table22342102345[[#This Row],[diff-bias]])</f>
        <v>1.6113105704801214</v>
      </c>
      <c r="R69" s="57">
        <f ca="1">CELL("row",Table22342102345[[#This Row],[Position]])</f>
        <v>69</v>
      </c>
      <c r="S69" s="4">
        <f>Table22342102345[[#This Row],[REF]]-D$13</f>
        <v>1.0000249999999156E-2</v>
      </c>
      <c r="T69" s="4">
        <f>ABS(Table22342102345[[#This Row],[lab-med]])</f>
        <v>1.0000249999999156E-2</v>
      </c>
      <c r="U69" s="4">
        <f>Table22342102345[[#This Row],[Lesnoff]]-F$13</f>
        <v>-1.6037415647570015</v>
      </c>
      <c r="V69" s="4">
        <f>ABS(Table22342102345[[#This Row],[anl-med]])</f>
        <v>1.6037415647570015</v>
      </c>
      <c r="W69" s="4">
        <f>Table22342102345[[#This Row],[lab-med]]*Table22342102345[[#This Row],[anl-med]]</f>
        <v>-1.603781658295985E-2</v>
      </c>
    </row>
    <row r="70" spans="2:23" x14ac:dyDescent="0.25">
      <c r="B70" s="46">
        <f ca="1">VALUE((Table22342102345[[#This Row],[Column3]]-62))</f>
        <v>8</v>
      </c>
      <c r="C70" t="s">
        <v>76</v>
      </c>
      <c r="D70">
        <v>10.800000199999999</v>
      </c>
      <c r="E70"/>
      <c r="F70">
        <v>11.150519571023599</v>
      </c>
      <c r="G70" s="29">
        <f>Table22342102345[[#This Row],[Lesnoff]]-Table22342102345[[#This Row],[REF]]</f>
        <v>0.35051937102359965</v>
      </c>
      <c r="H70" s="29">
        <f>Table22342102345[[#This Row],[X-Y]]-E$20</f>
        <v>-0.4372225866191215</v>
      </c>
      <c r="I70" s="29">
        <f>Table22342102345[[#This Row],[Lesnoff]]-E$20</f>
        <v>10.362777613380878</v>
      </c>
      <c r="J70" s="29">
        <f>Table22342102345[[#This Row],[Lesnoff]]*E$21+E$22</f>
        <v>10.478010117515209</v>
      </c>
      <c r="K70" s="56">
        <f>Table22342102345[[#This Row],[Yest]]-Table22342102345[[#This Row],[REF]]</f>
        <v>-0.32199008248479011</v>
      </c>
      <c r="L70" s="56">
        <f>ABS(Table22342102345[[#This Row],[RESyx]])</f>
        <v>0.32199008248479011</v>
      </c>
      <c r="M70" s="29">
        <f>Table22342102345[[#This Row],[Lesnoff]]*E$25+E$26</f>
        <v>10.34114185803166</v>
      </c>
      <c r="N70" s="29">
        <f>Table22342102345[[#This Row],[X-Y]]^2</f>
        <v>0.12286382946277991</v>
      </c>
      <c r="O70" s="57">
        <f>Table22342102345[[#This Row],[yest_rect]]-Table22342102345[[#This Row],[REF]]</f>
        <v>-0.45885834196833919</v>
      </c>
      <c r="P70" s="57">
        <f>Table22342102345[[#This Row],[dif rec]]^2</f>
        <v>0.2105509779939333</v>
      </c>
      <c r="Q70" s="57">
        <f>ABS(Table22342102345[[#This Row],[diff-bias]])</f>
        <v>0.4372225866191215</v>
      </c>
      <c r="R70" s="57">
        <f ca="1">CELL("row",Table22342102345[[#This Row],[Position]])</f>
        <v>70</v>
      </c>
      <c r="S70" s="4">
        <f>Table22342102345[[#This Row],[REF]]-D$13</f>
        <v>-0.21000005000000144</v>
      </c>
      <c r="T70" s="4">
        <f>ABS(Table22342102345[[#This Row],[lab-med]])</f>
        <v>0.21000005000000144</v>
      </c>
      <c r="U70" s="4">
        <f>Table22342102345[[#This Row],[Lesnoff]]-F$13</f>
        <v>-0.64965388089600218</v>
      </c>
      <c r="V70" s="4">
        <f>ABS(Table22342102345[[#This Row],[anl-med]])</f>
        <v>0.64965388089600218</v>
      </c>
      <c r="W70" s="4">
        <f>Table22342102345[[#This Row],[lab-med]]*Table22342102345[[#This Row],[anl-med]]</f>
        <v>0.13642734747085544</v>
      </c>
    </row>
    <row r="71" spans="2:23" x14ac:dyDescent="0.25">
      <c r="B71" s="46">
        <f ca="1">VALUE((Table22342102345[[#This Row],[Column3]]-62))</f>
        <v>9</v>
      </c>
      <c r="C71" t="s">
        <v>77</v>
      </c>
      <c r="D71">
        <v>10.8800001</v>
      </c>
      <c r="E71"/>
      <c r="F71">
        <v>11.840267121108001</v>
      </c>
      <c r="G71" s="29">
        <f>Table22342102345[[#This Row],[Lesnoff]]-Table22342102345[[#This Row],[REF]]</f>
        <v>0.96026702110800066</v>
      </c>
      <c r="H71" s="29">
        <f>Table22342102345[[#This Row],[X-Y]]-E$20</f>
        <v>0.17252506346527952</v>
      </c>
      <c r="I71" s="29">
        <f>Table22342102345[[#This Row],[Lesnoff]]-E$20</f>
        <v>11.05252516346528</v>
      </c>
      <c r="J71" s="29">
        <f>Table22342102345[[#This Row],[Lesnoff]]*E$21+E$22</f>
        <v>11.061317388093043</v>
      </c>
      <c r="K71" s="56">
        <f>Table22342102345[[#This Row],[Yest]]-Table22342102345[[#This Row],[REF]]</f>
        <v>0.18131728809304271</v>
      </c>
      <c r="L71" s="56">
        <f>ABS(Table22342102345[[#This Row],[RESyx]])</f>
        <v>0.18131728809304271</v>
      </c>
      <c r="M71" s="29">
        <f>Table22342102345[[#This Row],[Lesnoff]]*E$25+E$26</f>
        <v>11.050874358230674</v>
      </c>
      <c r="N71" s="29">
        <f>Table22342102345[[#This Row],[X-Y]]^2</f>
        <v>0.92211275182763341</v>
      </c>
      <c r="O71" s="57">
        <f>Table22342102345[[#This Row],[yest_rect]]-Table22342102345[[#This Row],[REF]]</f>
        <v>0.1708742582306737</v>
      </c>
      <c r="P71" s="57">
        <f>Table22342102345[[#This Row],[dif rec]]^2</f>
        <v>2.9198012125882959E-2</v>
      </c>
      <c r="Q71" s="57">
        <f>ABS(Table22342102345[[#This Row],[diff-bias]])</f>
        <v>0.17252506346527952</v>
      </c>
      <c r="R71" s="57">
        <f ca="1">CELL("row",Table22342102345[[#This Row],[Position]])</f>
        <v>71</v>
      </c>
      <c r="S71" s="4">
        <f>Table22342102345[[#This Row],[REF]]-D$13</f>
        <v>-0.13000015000000076</v>
      </c>
      <c r="T71" s="4">
        <f>ABS(Table22342102345[[#This Row],[lab-med]])</f>
        <v>0.13000015000000076</v>
      </c>
      <c r="U71" s="4">
        <f>Table22342102345[[#This Row],[Lesnoff]]-F$13</f>
        <v>4.0093669188399517E-2</v>
      </c>
      <c r="V71" s="4">
        <f>ABS(Table22342102345[[#This Row],[anl-med]])</f>
        <v>4.0093669188399517E-2</v>
      </c>
      <c r="W71" s="4">
        <f>Table22342102345[[#This Row],[lab-med]]*Table22342102345[[#This Row],[anl-med]]</f>
        <v>-5.2121830085423461E-3</v>
      </c>
    </row>
    <row r="72" spans="2:23" x14ac:dyDescent="0.25">
      <c r="B72" s="46">
        <f ca="1">VALUE((Table22342102345[[#This Row],[Column3]]-62))</f>
        <v>10</v>
      </c>
      <c r="C72" t="s">
        <v>78</v>
      </c>
      <c r="D72">
        <v>11.0600004</v>
      </c>
      <c r="E72"/>
      <c r="F72">
        <v>11.6844151436791</v>
      </c>
      <c r="G72" s="29">
        <f>Table22342102345[[#This Row],[Lesnoff]]-Table22342102345[[#This Row],[REF]]</f>
        <v>0.62441474367910033</v>
      </c>
      <c r="H72" s="29">
        <f>Table22342102345[[#This Row],[X-Y]]-E$20</f>
        <v>-0.16332721396362082</v>
      </c>
      <c r="I72" s="29">
        <f>Table22342102345[[#This Row],[Lesnoff]]-E$20</f>
        <v>10.896673186036379</v>
      </c>
      <c r="J72" s="29">
        <f>Table22342102345[[#This Row],[Lesnoff]]*E$21+E$22</f>
        <v>10.929516134783645</v>
      </c>
      <c r="K72" s="56">
        <f>Table22342102345[[#This Row],[Yest]]-Table22342102345[[#This Row],[REF]]</f>
        <v>-0.1304842652163547</v>
      </c>
      <c r="L72" s="56">
        <f>ABS(Table22342102345[[#This Row],[RESyx]])</f>
        <v>0.1304842652163547</v>
      </c>
      <c r="M72" s="29">
        <f>Table22342102345[[#This Row],[Lesnoff]]*E$25+E$26</f>
        <v>10.890506679377681</v>
      </c>
      <c r="N72" s="29">
        <f>Table22342102345[[#This Row],[X-Y]]^2</f>
        <v>0.38989377212383658</v>
      </c>
      <c r="O72" s="57">
        <f>Table22342102345[[#This Row],[yest_rect]]-Table22342102345[[#This Row],[REF]]</f>
        <v>-0.16949372062231838</v>
      </c>
      <c r="P72" s="57">
        <f>Table22342102345[[#This Row],[dif rec]]^2</f>
        <v>2.8728121330396515E-2</v>
      </c>
      <c r="Q72" s="57">
        <f>ABS(Table22342102345[[#This Row],[diff-bias]])</f>
        <v>0.16332721396362082</v>
      </c>
      <c r="R72" s="57">
        <f ca="1">CELL("row",Table22342102345[[#This Row],[Position]])</f>
        <v>72</v>
      </c>
      <c r="S72" s="4">
        <f>Table22342102345[[#This Row],[REF]]-D$13</f>
        <v>5.0000149999998911E-2</v>
      </c>
      <c r="T72" s="4">
        <f>ABS(Table22342102345[[#This Row],[lab-med]])</f>
        <v>5.0000149999998911E-2</v>
      </c>
      <c r="U72" s="4">
        <f>Table22342102345[[#This Row],[Lesnoff]]-F$13</f>
        <v>-0.11575830824050115</v>
      </c>
      <c r="V72" s="4">
        <f>ABS(Table22342102345[[#This Row],[anl-med]])</f>
        <v>0.11575830824050115</v>
      </c>
      <c r="W72" s="4">
        <f>Table22342102345[[#This Row],[lab-med]]*Table22342102345[[#This Row],[anl-med]]</f>
        <v>-5.7879327757711678E-3</v>
      </c>
    </row>
    <row r="73" spans="2:23" x14ac:dyDescent="0.25">
      <c r="B73" s="46">
        <f ca="1">VALUE((Table22342102345[[#This Row],[Column3]]-62))</f>
        <v>11</v>
      </c>
      <c r="C73" t="s">
        <v>79</v>
      </c>
      <c r="D73">
        <v>11.0900002</v>
      </c>
      <c r="E73"/>
      <c r="F73">
        <v>12.1791036732452</v>
      </c>
      <c r="G73" s="29">
        <f>Table22342102345[[#This Row],[Lesnoff]]-Table22342102345[[#This Row],[REF]]</f>
        <v>1.0891034732451992</v>
      </c>
      <c r="H73" s="29">
        <f>Table22342102345[[#This Row],[X-Y]]-E$20</f>
        <v>0.30136151560247804</v>
      </c>
      <c r="I73" s="29">
        <f>Table22342102345[[#This Row],[Lesnoff]]-E$20</f>
        <v>11.391361715602478</v>
      </c>
      <c r="J73" s="29">
        <f>Table22342102345[[#This Row],[Lesnoff]]*E$21+E$22</f>
        <v>11.347865451040086</v>
      </c>
      <c r="K73" s="56">
        <f>Table22342102345[[#This Row],[Yest]]-Table22342102345[[#This Row],[REF]]</f>
        <v>0.2578652510400854</v>
      </c>
      <c r="L73" s="56">
        <f>ABS(Table22342102345[[#This Row],[RESyx]])</f>
        <v>0.2578652510400854</v>
      </c>
      <c r="M73" s="29">
        <f>Table22342102345[[#This Row],[Lesnoff]]*E$25+E$26</f>
        <v>11.399528461137921</v>
      </c>
      <c r="N73" s="29">
        <f>Table22342102345[[#This Row],[X-Y]]^2</f>
        <v>1.1861463754347563</v>
      </c>
      <c r="O73" s="57">
        <f>Table22342102345[[#This Row],[yest_rect]]-Table22342102345[[#This Row],[REF]]</f>
        <v>0.30952826113792042</v>
      </c>
      <c r="P73" s="57">
        <f>Table22342102345[[#This Row],[dif rec]]^2</f>
        <v>9.5807744443064655E-2</v>
      </c>
      <c r="Q73" s="57">
        <f>ABS(Table22342102345[[#This Row],[diff-bias]])</f>
        <v>0.30136151560247804</v>
      </c>
      <c r="R73" s="57">
        <f ca="1">CELL("row",Table22342102345[[#This Row],[Position]])</f>
        <v>73</v>
      </c>
      <c r="S73" s="4">
        <f>Table22342102345[[#This Row],[REF]]-D$13</f>
        <v>7.9999949999999487E-2</v>
      </c>
      <c r="T73" s="4">
        <f>ABS(Table22342102345[[#This Row],[lab-med]])</f>
        <v>7.9999949999999487E-2</v>
      </c>
      <c r="U73" s="4">
        <f>Table22342102345[[#This Row],[Lesnoff]]-F$13</f>
        <v>0.37893022132559828</v>
      </c>
      <c r="V73" s="4">
        <f>ABS(Table22342102345[[#This Row],[anl-med]])</f>
        <v>0.37893022132559828</v>
      </c>
      <c r="W73" s="4">
        <f>Table22342102345[[#This Row],[lab-med]]*Table22342102345[[#This Row],[anl-med]]</f>
        <v>3.0314398759536603E-2</v>
      </c>
    </row>
    <row r="74" spans="2:23" x14ac:dyDescent="0.25">
      <c r="B74" s="46">
        <f ca="1">VALUE((Table22342102345[[#This Row],[Column3]]-62))</f>
        <v>12</v>
      </c>
      <c r="C74" t="s">
        <v>80</v>
      </c>
      <c r="D74">
        <v>11.6199999</v>
      </c>
      <c r="E74"/>
      <c r="F74">
        <v>12.6014555013529</v>
      </c>
      <c r="G74" s="29">
        <f>Table22342102345[[#This Row],[Lesnoff]]-Table22342102345[[#This Row],[REF]]</f>
        <v>0.98145560135290033</v>
      </c>
      <c r="H74" s="29">
        <f>Table22342102345[[#This Row],[X-Y]]-E$20</f>
        <v>0.19371364371017918</v>
      </c>
      <c r="I74" s="29">
        <f>Table22342102345[[#This Row],[Lesnoff]]-E$20</f>
        <v>11.813713543710179</v>
      </c>
      <c r="J74" s="29">
        <f>Table22342102345[[#This Row],[Lesnoff]]*E$21+E$22</f>
        <v>11.705040901749427</v>
      </c>
      <c r="K74" s="56">
        <f>Table22342102345[[#This Row],[Yest]]-Table22342102345[[#This Row],[REF]]</f>
        <v>8.5041001749427636E-2</v>
      </c>
      <c r="L74" s="56">
        <f>ABS(Table22342102345[[#This Row],[RESyx]])</f>
        <v>8.5041001749427636E-2</v>
      </c>
      <c r="M74" s="29">
        <f>Table22342102345[[#This Row],[Lesnoff]]*E$25+E$26</f>
        <v>11.834117636394611</v>
      </c>
      <c r="N74" s="29">
        <f>Table22342102345[[#This Row],[X-Y]]^2</f>
        <v>0.96325509742698323</v>
      </c>
      <c r="O74" s="57">
        <f>Table22342102345[[#This Row],[yest_rect]]-Table22342102345[[#This Row],[REF]]</f>
        <v>0.21411773639461096</v>
      </c>
      <c r="P74" s="57">
        <f>Table22342102345[[#This Row],[dif rec]]^2</f>
        <v>4.5846405038752105E-2</v>
      </c>
      <c r="Q74" s="57">
        <f>ABS(Table22342102345[[#This Row],[diff-bias]])</f>
        <v>0.19371364371017918</v>
      </c>
      <c r="R74" s="57">
        <f ca="1">CELL("row",Table22342102345[[#This Row],[Position]])</f>
        <v>74</v>
      </c>
      <c r="S74" s="4">
        <f>Table22342102345[[#This Row],[REF]]-D$13</f>
        <v>0.60999964999999889</v>
      </c>
      <c r="T74" s="4">
        <f>ABS(Table22342102345[[#This Row],[lab-med]])</f>
        <v>0.60999964999999889</v>
      </c>
      <c r="U74" s="4">
        <f>Table22342102345[[#This Row],[Lesnoff]]-F$13</f>
        <v>0.80128204943329884</v>
      </c>
      <c r="V74" s="4">
        <f>ABS(Table22342102345[[#This Row],[anl-med]])</f>
        <v>0.80128204943329884</v>
      </c>
      <c r="W74" s="4">
        <f>Table22342102345[[#This Row],[lab-med]]*Table22342102345[[#This Row],[anl-med]]</f>
        <v>0.48878176970559412</v>
      </c>
    </row>
    <row r="75" spans="2:23" x14ac:dyDescent="0.25">
      <c r="B75" s="46">
        <f ca="1">VALUE((Table22342102345[[#This Row],[Column3]]-62))</f>
        <v>13</v>
      </c>
      <c r="C75" t="s">
        <v>81</v>
      </c>
      <c r="D75">
        <v>9.9600000000000009</v>
      </c>
      <c r="E75"/>
      <c r="F75">
        <v>10.979530869224201</v>
      </c>
      <c r="G75" s="29">
        <f>Table22342102345[[#This Row],[Lesnoff]]-Table22342102345[[#This Row],[REF]]</f>
        <v>1.0195308692241998</v>
      </c>
      <c r="H75" s="29">
        <f>Table22342102345[[#This Row],[X-Y]]-E$20</f>
        <v>0.23178891158147863</v>
      </c>
      <c r="I75" s="29">
        <f>Table22342102345[[#This Row],[Lesnoff]]-E$20</f>
        <v>10.191788911581479</v>
      </c>
      <c r="J75" s="29">
        <f>Table22342102345[[#This Row],[Lesnoff]]*E$21+E$22</f>
        <v>10.333408004852323</v>
      </c>
      <c r="K75" s="56">
        <f>Table22342102345[[#This Row],[Yest]]-Table22342102345[[#This Row],[REF]]</f>
        <v>0.37340800485232251</v>
      </c>
      <c r="L75" s="56">
        <f>ABS(Table22342102345[[#This Row],[RESyx]])</f>
        <v>0.37340800485232251</v>
      </c>
      <c r="M75" s="29">
        <f>Table22342102345[[#This Row],[Lesnoff]]*E$25+E$26</f>
        <v>10.165198878866281</v>
      </c>
      <c r="N75" s="29">
        <f>Table22342102345[[#This Row],[X-Y]]^2</f>
        <v>1.0394431933010524</v>
      </c>
      <c r="O75" s="57">
        <f>Table22342102345[[#This Row],[yest_rect]]-Table22342102345[[#This Row],[REF]]</f>
        <v>0.20519887886628041</v>
      </c>
      <c r="P75" s="57">
        <f>Table22342102345[[#This Row],[dif rec]]^2</f>
        <v>4.2106579887978418E-2</v>
      </c>
      <c r="Q75" s="57">
        <f>ABS(Table22342102345[[#This Row],[diff-bias]])</f>
        <v>0.23178891158147863</v>
      </c>
      <c r="R75" s="57">
        <f ca="1">CELL("row",Table22342102345[[#This Row],[Position]])</f>
        <v>75</v>
      </c>
      <c r="S75" s="4">
        <f>Table22342102345[[#This Row],[REF]]-D$13</f>
        <v>-1.0500002500000001</v>
      </c>
      <c r="T75" s="4">
        <f>ABS(Table22342102345[[#This Row],[lab-med]])</f>
        <v>1.0500002500000001</v>
      </c>
      <c r="U75" s="4">
        <f>Table22342102345[[#This Row],[Lesnoff]]-F$13</f>
        <v>-0.82064258269540069</v>
      </c>
      <c r="V75" s="4">
        <f>ABS(Table22342102345[[#This Row],[anl-med]])</f>
        <v>0.82064258269540069</v>
      </c>
      <c r="W75" s="4">
        <f>Table22342102345[[#This Row],[lab-med]]*Table22342102345[[#This Row],[anl-med]]</f>
        <v>0.86167491699081644</v>
      </c>
    </row>
    <row r="76" spans="2:23" x14ac:dyDescent="0.25">
      <c r="B76" s="46">
        <f ca="1">VALUE((Table22342102345[[#This Row],[Column3]]-62))</f>
        <v>14</v>
      </c>
      <c r="C76" t="s">
        <v>82</v>
      </c>
      <c r="D76">
        <v>9.5</v>
      </c>
      <c r="E76"/>
      <c r="F76">
        <v>10.7427853100862</v>
      </c>
      <c r="G76" s="29">
        <f>Table22342102345[[#This Row],[Lesnoff]]-Table22342102345[[#This Row],[REF]]</f>
        <v>1.2427853100861999</v>
      </c>
      <c r="H76" s="29">
        <f>Table22342102345[[#This Row],[X-Y]]-E$20</f>
        <v>0.45504335244347871</v>
      </c>
      <c r="I76" s="29">
        <f>Table22342102345[[#This Row],[Lesnoff]]-E$20</f>
        <v>9.9550433524434787</v>
      </c>
      <c r="J76" s="29">
        <f>Table22342102345[[#This Row],[Lesnoff]]*E$21+E$22</f>
        <v>10.133196484122292</v>
      </c>
      <c r="K76" s="56">
        <f>Table22342102345[[#This Row],[Yest]]-Table22342102345[[#This Row],[REF]]</f>
        <v>0.63319648412229235</v>
      </c>
      <c r="L76" s="56">
        <f>ABS(Table22342102345[[#This Row],[RESyx]])</f>
        <v>0.63319648412229235</v>
      </c>
      <c r="M76" s="29">
        <f>Table22342102345[[#This Row],[Lesnoff]]*E$25+E$26</f>
        <v>9.9215937836724439</v>
      </c>
      <c r="N76" s="29">
        <f>Table22342102345[[#This Row],[X-Y]]^2</f>
        <v>1.5445153269660519</v>
      </c>
      <c r="O76" s="57">
        <f>Table22342102345[[#This Row],[yest_rect]]-Table22342102345[[#This Row],[REF]]</f>
        <v>0.42159378367244393</v>
      </c>
      <c r="P76" s="57">
        <f>Table22342102345[[#This Row],[dif rec]]^2</f>
        <v>0.17774131843124746</v>
      </c>
      <c r="Q76" s="57">
        <f>ABS(Table22342102345[[#This Row],[diff-bias]])</f>
        <v>0.45504335244347871</v>
      </c>
      <c r="R76" s="57">
        <f ca="1">CELL("row",Table22342102345[[#This Row],[Position]])</f>
        <v>76</v>
      </c>
      <c r="S76" s="4">
        <f>Table22342102345[[#This Row],[REF]]-D$13</f>
        <v>-1.5100002500000009</v>
      </c>
      <c r="T76" s="4">
        <f>ABS(Table22342102345[[#This Row],[lab-med]])</f>
        <v>1.5100002500000009</v>
      </c>
      <c r="U76" s="4">
        <f>Table22342102345[[#This Row],[Lesnoff]]-F$13</f>
        <v>-1.0573881418334015</v>
      </c>
      <c r="V76" s="4">
        <f>ABS(Table22342102345[[#This Row],[anl-med]])</f>
        <v>1.0573881418334015</v>
      </c>
      <c r="W76" s="4">
        <f>Table22342102345[[#This Row],[lab-med]]*Table22342102345[[#This Row],[anl-med]]</f>
        <v>1.5966563585154727</v>
      </c>
    </row>
    <row r="77" spans="2:23" x14ac:dyDescent="0.25">
      <c r="B77" s="46">
        <f ca="1">VALUE((Table22342102345[[#This Row],[Column3]]-62))</f>
        <v>15</v>
      </c>
      <c r="C77" t="s">
        <v>83</v>
      </c>
      <c r="D77">
        <v>9.9899997999999997</v>
      </c>
      <c r="E77"/>
      <c r="F77">
        <v>10.8185318677245</v>
      </c>
      <c r="G77" s="29">
        <f>Table22342102345[[#This Row],[Lesnoff]]-Table22342102345[[#This Row],[REF]]</f>
        <v>0.82853206772450072</v>
      </c>
      <c r="H77" s="29">
        <f>Table22342102345[[#This Row],[X-Y]]-E$20</f>
        <v>4.0790110081779574E-2</v>
      </c>
      <c r="I77" s="29">
        <f>Table22342102345[[#This Row],[Lesnoff]]-E$20</f>
        <v>10.030789910081779</v>
      </c>
      <c r="J77" s="29">
        <f>Table22342102345[[#This Row],[Lesnoff]]*E$21+E$22</f>
        <v>10.197254004567647</v>
      </c>
      <c r="K77" s="56">
        <f>Table22342102345[[#This Row],[Yest]]-Table22342102345[[#This Row],[REF]]</f>
        <v>0.20725420456764709</v>
      </c>
      <c r="L77" s="56">
        <f>ABS(Table22342102345[[#This Row],[RESyx]])</f>
        <v>0.20725420456764709</v>
      </c>
      <c r="M77" s="29">
        <f>Table22342102345[[#This Row],[Lesnoff]]*E$25+E$26</f>
        <v>9.9995350445403108</v>
      </c>
      <c r="N77" s="29">
        <f>Table22342102345[[#This Row],[X-Y]]^2</f>
        <v>0.68646538724783668</v>
      </c>
      <c r="O77" s="57">
        <f>Table22342102345[[#This Row],[yest_rect]]-Table22342102345[[#This Row],[REF]]</f>
        <v>9.535244540311183E-3</v>
      </c>
      <c r="P77" s="57">
        <f>Table22342102345[[#This Row],[dif rec]]^2</f>
        <v>9.0920888443534226E-5</v>
      </c>
      <c r="Q77" s="57">
        <f>ABS(Table22342102345[[#This Row],[diff-bias]])</f>
        <v>4.0790110081779574E-2</v>
      </c>
      <c r="R77" s="57">
        <f ca="1">CELL("row",Table22342102345[[#This Row],[Position]])</f>
        <v>77</v>
      </c>
      <c r="S77" s="4">
        <f>Table22342102345[[#This Row],[REF]]-D$13</f>
        <v>-1.0200004500000013</v>
      </c>
      <c r="T77" s="4">
        <f>ABS(Table22342102345[[#This Row],[lab-med]])</f>
        <v>1.0200004500000013</v>
      </c>
      <c r="U77" s="4">
        <f>Table22342102345[[#This Row],[Lesnoff]]-F$13</f>
        <v>-0.98164158419510095</v>
      </c>
      <c r="V77" s="4">
        <f>ABS(Table22342102345[[#This Row],[anl-med]])</f>
        <v>0.98164158419510095</v>
      </c>
      <c r="W77" s="4">
        <f>Table22342102345[[#This Row],[lab-med]]*Table22342102345[[#This Row],[anl-med]]</f>
        <v>1.0012748576177171</v>
      </c>
    </row>
    <row r="78" spans="2:23" x14ac:dyDescent="0.25">
      <c r="B78" s="46">
        <f ca="1">VALUE((Table22342102345[[#This Row],[Column3]]-62))</f>
        <v>16</v>
      </c>
      <c r="C78" t="s">
        <v>84</v>
      </c>
      <c r="D78">
        <v>10.0100002</v>
      </c>
      <c r="E78"/>
      <c r="F78">
        <v>10.8584687278515</v>
      </c>
      <c r="G78" s="29">
        <f>Table22342102345[[#This Row],[Lesnoff]]-Table22342102345[[#This Row],[REF]]</f>
        <v>0.84846852785149984</v>
      </c>
      <c r="H78" s="29">
        <f>Table22342102345[[#This Row],[X-Y]]-E$20</f>
        <v>6.0726570208778696E-2</v>
      </c>
      <c r="I78" s="29">
        <f>Table22342102345[[#This Row],[Lesnoff]]-E$20</f>
        <v>10.070726770208779</v>
      </c>
      <c r="J78" s="29">
        <f>Table22342102345[[#This Row],[Lesnoff]]*E$21+E$22</f>
        <v>10.231027898905188</v>
      </c>
      <c r="K78" s="56">
        <f>Table22342102345[[#This Row],[Yest]]-Table22342102345[[#This Row],[REF]]</f>
        <v>0.22102769890518736</v>
      </c>
      <c r="L78" s="56">
        <f>ABS(Table22342102345[[#This Row],[RESyx]])</f>
        <v>0.22102769890518736</v>
      </c>
      <c r="M78" s="29">
        <f>Table22342102345[[#This Row],[Lesnoff]]*E$25+E$26</f>
        <v>10.040629047099022</v>
      </c>
      <c r="N78" s="29">
        <f>Table22342102345[[#This Row],[X-Y]]^2</f>
        <v>0.71989884275449134</v>
      </c>
      <c r="O78" s="57">
        <f>Table22342102345[[#This Row],[yest_rect]]-Table22342102345[[#This Row],[REF]]</f>
        <v>3.0628847099022138E-2</v>
      </c>
      <c r="P78" s="57">
        <f>Table22342102345[[#This Row],[dif rec]]^2</f>
        <v>9.3812627461527687E-4</v>
      </c>
      <c r="Q78" s="57">
        <f>ABS(Table22342102345[[#This Row],[diff-bias]])</f>
        <v>6.0726570208778696E-2</v>
      </c>
      <c r="R78" s="57">
        <f ca="1">CELL("row",Table22342102345[[#This Row],[Position]])</f>
        <v>78</v>
      </c>
      <c r="S78" s="4">
        <f>Table22342102345[[#This Row],[REF]]-D$13</f>
        <v>-1.0000000500000006</v>
      </c>
      <c r="T78" s="4">
        <f>ABS(Table22342102345[[#This Row],[lab-med]])</f>
        <v>1.0000000500000006</v>
      </c>
      <c r="U78" s="4">
        <f>Table22342102345[[#This Row],[Lesnoff]]-F$13</f>
        <v>-0.94170472406810113</v>
      </c>
      <c r="V78" s="4">
        <f>ABS(Table22342102345[[#This Row],[anl-med]])</f>
        <v>0.94170472406810113</v>
      </c>
      <c r="W78" s="4">
        <f>Table22342102345[[#This Row],[lab-med]]*Table22342102345[[#This Row],[anl-med]]</f>
        <v>0.94170477115333784</v>
      </c>
    </row>
    <row r="79" spans="2:23" x14ac:dyDescent="0.25">
      <c r="B79" s="46">
        <f ca="1">VALUE((Table22342102345[[#This Row],[Column3]]-62))</f>
        <v>17</v>
      </c>
      <c r="C79" t="s">
        <v>85</v>
      </c>
      <c r="D79">
        <v>9.8299999000000007</v>
      </c>
      <c r="E79"/>
      <c r="F79">
        <v>11.1596818097377</v>
      </c>
      <c r="G79" s="29">
        <f>Table22342102345[[#This Row],[Lesnoff]]-Table22342102345[[#This Row],[REF]]</f>
        <v>1.3296819097376993</v>
      </c>
      <c r="H79" s="29">
        <f>Table22342102345[[#This Row],[X-Y]]-E$20</f>
        <v>0.54193995209497814</v>
      </c>
      <c r="I79" s="29">
        <f>Table22342102345[[#This Row],[Lesnoff]]-E$20</f>
        <v>10.371939852094979</v>
      </c>
      <c r="J79" s="29">
        <f>Table22342102345[[#This Row],[Lesnoff]]*E$21+E$22</f>
        <v>10.485758460305336</v>
      </c>
      <c r="K79" s="56">
        <f>Table22342102345[[#This Row],[Yest]]-Table22342102345[[#This Row],[REF]]</f>
        <v>0.65575856030533508</v>
      </c>
      <c r="L79" s="56">
        <f>ABS(Table22342102345[[#This Row],[RESyx]])</f>
        <v>0.65575856030533508</v>
      </c>
      <c r="M79" s="29">
        <f>Table22342102345[[#This Row],[Lesnoff]]*E$25+E$26</f>
        <v>10.350569566168041</v>
      </c>
      <c r="N79" s="29">
        <f>Table22342102345[[#This Row],[X-Y]]^2</f>
        <v>1.768053981083695</v>
      </c>
      <c r="O79" s="57">
        <f>Table22342102345[[#This Row],[yest_rect]]-Table22342102345[[#This Row],[REF]]</f>
        <v>0.5205696661680399</v>
      </c>
      <c r="P79" s="57">
        <f>Table22342102345[[#This Row],[dif rec]]^2</f>
        <v>0.27099277733430449</v>
      </c>
      <c r="Q79" s="57">
        <f>ABS(Table22342102345[[#This Row],[diff-bias]])</f>
        <v>0.54193995209497814</v>
      </c>
      <c r="R79" s="57">
        <f ca="1">CELL("row",Table22342102345[[#This Row],[Position]])</f>
        <v>79</v>
      </c>
      <c r="S79" s="4">
        <f>Table22342102345[[#This Row],[REF]]-D$13</f>
        <v>-1.1800003500000003</v>
      </c>
      <c r="T79" s="4">
        <f>ABS(Table22342102345[[#This Row],[lab-med]])</f>
        <v>1.1800003500000003</v>
      </c>
      <c r="U79" s="4">
        <f>Table22342102345[[#This Row],[Lesnoff]]-F$13</f>
        <v>-0.64049164218190136</v>
      </c>
      <c r="V79" s="4">
        <f>ABS(Table22342102345[[#This Row],[anl-med]])</f>
        <v>0.64049164218190136</v>
      </c>
      <c r="W79" s="4">
        <f>Table22342102345[[#This Row],[lab-med]]*Table22342102345[[#This Row],[anl-med]]</f>
        <v>0.75578036194671849</v>
      </c>
    </row>
    <row r="80" spans="2:23" x14ac:dyDescent="0.25">
      <c r="B80" s="46">
        <f ca="1">VALUE((Table22342102345[[#This Row],[Column3]]-62))</f>
        <v>18</v>
      </c>
      <c r="C80" t="s">
        <v>86</v>
      </c>
      <c r="D80">
        <v>9.5699997000000003</v>
      </c>
      <c r="E80"/>
      <c r="F80">
        <v>10.752639890955599</v>
      </c>
      <c r="G80" s="29">
        <f>Table22342102345[[#This Row],[Lesnoff]]-Table22342102345[[#This Row],[REF]]</f>
        <v>1.182640190955599</v>
      </c>
      <c r="H80" s="29">
        <f>Table22342102345[[#This Row],[X-Y]]-E$20</f>
        <v>0.39489823331287788</v>
      </c>
      <c r="I80" s="29">
        <f>Table22342102345[[#This Row],[Lesnoff]]-E$20</f>
        <v>9.9648979333128782</v>
      </c>
      <c r="J80" s="29">
        <f>Table22342102345[[#This Row],[Lesnoff]]*E$21+E$22</f>
        <v>10.141530328394614</v>
      </c>
      <c r="K80" s="56">
        <f>Table22342102345[[#This Row],[Yest]]-Table22342102345[[#This Row],[REF]]</f>
        <v>0.57153062839461377</v>
      </c>
      <c r="L80" s="56">
        <f>ABS(Table22342102345[[#This Row],[RESyx]])</f>
        <v>0.57153062839461377</v>
      </c>
      <c r="M80" s="29">
        <f>Table22342102345[[#This Row],[Lesnoff]]*E$25+E$26</f>
        <v>9.9317338940910993</v>
      </c>
      <c r="N80" s="29">
        <f>Table22342102345[[#This Row],[X-Y]]^2</f>
        <v>1.3986378212634958</v>
      </c>
      <c r="O80" s="57">
        <f>Table22342102345[[#This Row],[yest_rect]]-Table22342102345[[#This Row],[REF]]</f>
        <v>0.36173419409109897</v>
      </c>
      <c r="P80" s="57">
        <f>Table22342102345[[#This Row],[dif rec]]^2</f>
        <v>0.13085162717473686</v>
      </c>
      <c r="Q80" s="57">
        <f>ABS(Table22342102345[[#This Row],[diff-bias]])</f>
        <v>0.39489823331287788</v>
      </c>
      <c r="R80" s="57">
        <f ca="1">CELL("row",Table22342102345[[#This Row],[Position]])</f>
        <v>80</v>
      </c>
      <c r="S80" s="4">
        <f>Table22342102345[[#This Row],[REF]]-D$13</f>
        <v>-1.4400005500000006</v>
      </c>
      <c r="T80" s="4">
        <f>ABS(Table22342102345[[#This Row],[lab-med]])</f>
        <v>1.4400005500000006</v>
      </c>
      <c r="U80" s="4">
        <f>Table22342102345[[#This Row],[Lesnoff]]-F$13</f>
        <v>-1.047533560964002</v>
      </c>
      <c r="V80" s="4">
        <f>ABS(Table22342102345[[#This Row],[anl-med]])</f>
        <v>1.047533560964002</v>
      </c>
      <c r="W80" s="4">
        <f>Table22342102345[[#This Row],[lab-med]]*Table22342102345[[#This Row],[anl-med]]</f>
        <v>1.508448903931622</v>
      </c>
    </row>
    <row r="81" spans="2:23" x14ac:dyDescent="0.25">
      <c r="B81" s="46">
        <f ca="1">VALUE((Table22342102345[[#This Row],[Column3]]-62))</f>
        <v>19</v>
      </c>
      <c r="C81" t="s">
        <v>87</v>
      </c>
      <c r="D81">
        <v>9.9200000999999993</v>
      </c>
      <c r="E81"/>
      <c r="F81">
        <v>10.872578035879499</v>
      </c>
      <c r="G81" s="29">
        <f>Table22342102345[[#This Row],[Lesnoff]]-Table22342102345[[#This Row],[REF]]</f>
        <v>0.9525779358794999</v>
      </c>
      <c r="H81" s="29">
        <f>Table22342102345[[#This Row],[X-Y]]-E$20</f>
        <v>0.16483597823677876</v>
      </c>
      <c r="I81" s="29">
        <f>Table22342102345[[#This Row],[Lesnoff]]-E$20</f>
        <v>10.084836078236778</v>
      </c>
      <c r="J81" s="29">
        <f>Table22342102345[[#This Row],[Lesnoff]]*E$21+E$22</f>
        <v>10.24295989047884</v>
      </c>
      <c r="K81" s="56">
        <f>Table22342102345[[#This Row],[Yest]]-Table22342102345[[#This Row],[REF]]</f>
        <v>0.3229597904788406</v>
      </c>
      <c r="L81" s="56">
        <f>ABS(Table22342102345[[#This Row],[RESyx]])</f>
        <v>0.3229597904788406</v>
      </c>
      <c r="M81" s="29">
        <f>Table22342102345[[#This Row],[Lesnoff]]*E$25+E$26</f>
        <v>10.055147162403042</v>
      </c>
      <c r="N81" s="29">
        <f>Table22342102345[[#This Row],[X-Y]]^2</f>
        <v>0.9074047239244486</v>
      </c>
      <c r="O81" s="57">
        <f>Table22342102345[[#This Row],[yest_rect]]-Table22342102345[[#This Row],[REF]]</f>
        <v>0.13514706240304264</v>
      </c>
      <c r="P81" s="57">
        <f>Table22342102345[[#This Row],[dif rec]]^2</f>
        <v>1.8264728476171901E-2</v>
      </c>
      <c r="Q81" s="57">
        <f>ABS(Table22342102345[[#This Row],[diff-bias]])</f>
        <v>0.16483597823677876</v>
      </c>
      <c r="R81" s="57">
        <f ca="1">CELL("row",Table22342102345[[#This Row],[Position]])</f>
        <v>81</v>
      </c>
      <c r="S81" s="4">
        <f>Table22342102345[[#This Row],[REF]]-D$13</f>
        <v>-1.0900001500000016</v>
      </c>
      <c r="T81" s="4">
        <f>ABS(Table22342102345[[#This Row],[lab-med]])</f>
        <v>1.0900001500000016</v>
      </c>
      <c r="U81" s="4">
        <f>Table22342102345[[#This Row],[Lesnoff]]-F$13</f>
        <v>-0.92759541604010209</v>
      </c>
      <c r="V81" s="4">
        <f>ABS(Table22342102345[[#This Row],[anl-med]])</f>
        <v>0.92759541604010209</v>
      </c>
      <c r="W81" s="4">
        <f>Table22342102345[[#This Row],[lab-med]]*Table22342102345[[#This Row],[anl-med]]</f>
        <v>1.0110791426230252</v>
      </c>
    </row>
    <row r="82" spans="2:23" x14ac:dyDescent="0.25">
      <c r="B82" s="46">
        <f ca="1">VALUE((Table22342102345[[#This Row],[Column3]]-62))</f>
        <v>20</v>
      </c>
      <c r="C82" t="s">
        <v>88</v>
      </c>
      <c r="D82">
        <v>11.670000099999999</v>
      </c>
      <c r="E82"/>
      <c r="F82">
        <v>11.694926556624999</v>
      </c>
      <c r="G82" s="29">
        <f>Table22342102345[[#This Row],[Lesnoff]]-Table22342102345[[#This Row],[REF]]</f>
        <v>2.4926456624999815E-2</v>
      </c>
      <c r="H82" s="29">
        <f>Table22342102345[[#This Row],[X-Y]]-E$20</f>
        <v>-0.76281550101772133</v>
      </c>
      <c r="I82" s="29">
        <f>Table22342102345[[#This Row],[Lesnoff]]-E$20</f>
        <v>10.907184598982278</v>
      </c>
      <c r="J82" s="29">
        <f>Table22342102345[[#This Row],[Lesnoff]]*E$21+E$22</f>
        <v>10.938405450294283</v>
      </c>
      <c r="K82" s="56">
        <f>Table22342102345[[#This Row],[Yest]]-Table22342102345[[#This Row],[REF]]</f>
        <v>-0.73159464970571619</v>
      </c>
      <c r="L82" s="56">
        <f>ABS(Table22342102345[[#This Row],[RESyx]])</f>
        <v>0.73159464970571619</v>
      </c>
      <c r="M82" s="29">
        <f>Table22342102345[[#This Row],[Lesnoff]]*E$25+E$26</f>
        <v>10.901322653120255</v>
      </c>
      <c r="N82" s="29">
        <f>Table22342102345[[#This Row],[X-Y]]^2</f>
        <v>6.2132823987799722E-4</v>
      </c>
      <c r="O82" s="57">
        <f>Table22342102345[[#This Row],[yest_rect]]-Table22342102345[[#This Row],[REF]]</f>
        <v>-0.76867744687974415</v>
      </c>
      <c r="P82" s="57">
        <f>Table22342102345[[#This Row],[dif rec]]^2</f>
        <v>0.59086501734156194</v>
      </c>
      <c r="Q82" s="57">
        <f>ABS(Table22342102345[[#This Row],[diff-bias]])</f>
        <v>0.76281550101772133</v>
      </c>
      <c r="R82" s="57">
        <f ca="1">CELL("row",Table22342102345[[#This Row],[Position]])</f>
        <v>82</v>
      </c>
      <c r="S82" s="4">
        <f>Table22342102345[[#This Row],[REF]]-D$13</f>
        <v>0.65999984999999839</v>
      </c>
      <c r="T82" s="4">
        <f>ABS(Table22342102345[[#This Row],[lab-med]])</f>
        <v>0.65999984999999839</v>
      </c>
      <c r="U82" s="4">
        <f>Table22342102345[[#This Row],[Lesnoff]]-F$13</f>
        <v>-0.10524689529460218</v>
      </c>
      <c r="V82" s="4">
        <f>ABS(Table22342102345[[#This Row],[anl-med]])</f>
        <v>0.10524689529460218</v>
      </c>
      <c r="W82" s="4">
        <f>Table22342102345[[#This Row],[lab-med]]*Table22342102345[[#This Row],[anl-med]]</f>
        <v>-6.9462935107402979E-2</v>
      </c>
    </row>
    <row r="83" spans="2:23" x14ac:dyDescent="0.25">
      <c r="B83" s="46">
        <f ca="1">VALUE((Table22342102345[[#This Row],[Column3]]-62))</f>
        <v>21</v>
      </c>
      <c r="C83" t="s">
        <v>89</v>
      </c>
      <c r="D83">
        <v>11.5</v>
      </c>
      <c r="E83"/>
      <c r="F83">
        <v>11.930179993080399</v>
      </c>
      <c r="G83" s="29">
        <f>Table22342102345[[#This Row],[Lesnoff]]-Table22342102345[[#This Row],[REF]]</f>
        <v>0.43017999308039911</v>
      </c>
      <c r="H83" s="29">
        <f>Table22342102345[[#This Row],[X-Y]]-E$20</f>
        <v>-0.35756196456232203</v>
      </c>
      <c r="I83" s="29">
        <f>Table22342102345[[#This Row],[Lesnoff]]-E$20</f>
        <v>11.142438035437678</v>
      </c>
      <c r="J83" s="29">
        <f>Table22342102345[[#This Row],[Lesnoff]]*E$21+E$22</f>
        <v>11.13735510933412</v>
      </c>
      <c r="K83" s="56">
        <f>Table22342102345[[#This Row],[Yest]]-Table22342102345[[#This Row],[REF]]</f>
        <v>-0.36264489066588013</v>
      </c>
      <c r="L83" s="56">
        <f>ABS(Table22342102345[[#This Row],[RESyx]])</f>
        <v>0.36264489066588013</v>
      </c>
      <c r="M83" s="29">
        <f>Table22342102345[[#This Row],[Lesnoff]]*E$25+E$26</f>
        <v>11.14339239242628</v>
      </c>
      <c r="N83" s="29">
        <f>Table22342102345[[#This Row],[X-Y]]^2</f>
        <v>0.18505482644665222</v>
      </c>
      <c r="O83" s="57">
        <f>Table22342102345[[#This Row],[yest_rect]]-Table22342102345[[#This Row],[REF]]</f>
        <v>-0.35660760757371968</v>
      </c>
      <c r="P83" s="57">
        <f>Table22342102345[[#This Row],[dif rec]]^2</f>
        <v>0.12716898577945204</v>
      </c>
      <c r="Q83" s="57">
        <f>ABS(Table22342102345[[#This Row],[diff-bias]])</f>
        <v>0.35756196456232203</v>
      </c>
      <c r="R83" s="57">
        <f ca="1">CELL("row",Table22342102345[[#This Row],[Position]])</f>
        <v>83</v>
      </c>
      <c r="S83" s="4">
        <f>Table22342102345[[#This Row],[REF]]-D$13</f>
        <v>0.48999974999999907</v>
      </c>
      <c r="T83" s="4">
        <f>ABS(Table22342102345[[#This Row],[lab-med]])</f>
        <v>0.48999974999999907</v>
      </c>
      <c r="U83" s="4">
        <f>Table22342102345[[#This Row],[Lesnoff]]-F$13</f>
        <v>0.13000654116079779</v>
      </c>
      <c r="V83" s="4">
        <f>ABS(Table22342102345[[#This Row],[anl-med]])</f>
        <v>0.13000654116079779</v>
      </c>
      <c r="W83" s="4">
        <f>Table22342102345[[#This Row],[lab-med]]*Table22342102345[[#This Row],[anl-med]]</f>
        <v>6.3703172667155514E-2</v>
      </c>
    </row>
    <row r="84" spans="2:23" x14ac:dyDescent="0.25">
      <c r="B84" s="46">
        <f ca="1">VALUE((Table22342102345[[#This Row],[Column3]]-62))</f>
        <v>22</v>
      </c>
      <c r="C84" t="s">
        <v>90</v>
      </c>
      <c r="D84">
        <v>11.3699999</v>
      </c>
      <c r="E84"/>
      <c r="F84">
        <v>12.349700876091401</v>
      </c>
      <c r="G84" s="29">
        <f>Table22342102345[[#This Row],[Lesnoff]]-Table22342102345[[#This Row],[REF]]</f>
        <v>0.97970097609140083</v>
      </c>
      <c r="H84" s="29">
        <f>Table22342102345[[#This Row],[X-Y]]-E$20</f>
        <v>0.19195901844867969</v>
      </c>
      <c r="I84" s="29">
        <f>Table22342102345[[#This Row],[Lesnoff]]-E$20</f>
        <v>11.56195891844868</v>
      </c>
      <c r="J84" s="29">
        <f>Table22342102345[[#This Row],[Lesnoff]]*E$21+E$22</f>
        <v>11.492136479981404</v>
      </c>
      <c r="K84" s="56">
        <f>Table22342102345[[#This Row],[Yest]]-Table22342102345[[#This Row],[REF]]</f>
        <v>0.12213657998140448</v>
      </c>
      <c r="L84" s="56">
        <f>ABS(Table22342102345[[#This Row],[RESyx]])</f>
        <v>0.12213657998140448</v>
      </c>
      <c r="M84" s="29">
        <f>Table22342102345[[#This Row],[Lesnoff]]*E$25+E$26</f>
        <v>11.575068597943302</v>
      </c>
      <c r="N84" s="29">
        <f>Table22342102345[[#This Row],[X-Y]]^2</f>
        <v>0.95981400255444349</v>
      </c>
      <c r="O84" s="57">
        <f>Table22342102345[[#This Row],[yest_rect]]-Table22342102345[[#This Row],[REF]]</f>
        <v>0.20506869794330207</v>
      </c>
      <c r="P84" s="57">
        <f>Table22342102345[[#This Row],[dif rec]]^2</f>
        <v>4.2053170876161262E-2</v>
      </c>
      <c r="Q84" s="57">
        <f>ABS(Table22342102345[[#This Row],[diff-bias]])</f>
        <v>0.19195901844867969</v>
      </c>
      <c r="R84" s="57">
        <f ca="1">CELL("row",Table22342102345[[#This Row],[Position]])</f>
        <v>84</v>
      </c>
      <c r="S84" s="4">
        <f>Table22342102345[[#This Row],[REF]]-D$13</f>
        <v>0.35999964999999889</v>
      </c>
      <c r="T84" s="4">
        <f>ABS(Table22342102345[[#This Row],[lab-med]])</f>
        <v>0.35999964999999889</v>
      </c>
      <c r="U84" s="4">
        <f>Table22342102345[[#This Row],[Lesnoff]]-F$13</f>
        <v>0.54952742417179934</v>
      </c>
      <c r="V84" s="4">
        <f>ABS(Table22342102345[[#This Row],[anl-med]])</f>
        <v>0.54952742417179934</v>
      </c>
      <c r="W84" s="4">
        <f>Table22342102345[[#This Row],[lab-med]]*Table22342102345[[#This Row],[anl-med]]</f>
        <v>0.19782968036724868</v>
      </c>
    </row>
    <row r="85" spans="2:23" x14ac:dyDescent="0.25">
      <c r="B85" s="46">
        <f ca="1">VALUE((Table22342102345[[#This Row],[Column3]]-62))</f>
        <v>23</v>
      </c>
      <c r="C85" t="s">
        <v>91</v>
      </c>
      <c r="D85">
        <v>11.5900002</v>
      </c>
      <c r="E85"/>
      <c r="F85">
        <v>12.434211700000001</v>
      </c>
      <c r="G85" s="29">
        <f>Table22342102345[[#This Row],[Lesnoff]]-Table22342102345[[#This Row],[REF]]</f>
        <v>0.84421150000000011</v>
      </c>
      <c r="H85" s="29">
        <f>Table22342102345[[#This Row],[X-Y]]-E$20</f>
        <v>5.6469542357278968E-2</v>
      </c>
      <c r="I85" s="29">
        <f>Table22342102345[[#This Row],[Lesnoff]]-E$20</f>
        <v>11.646469742357279</v>
      </c>
      <c r="J85" s="29">
        <f>Table22342102345[[#This Row],[Lesnoff]]*E$21+E$22</f>
        <v>11.563605784979121</v>
      </c>
      <c r="K85" s="56">
        <f>Table22342102345[[#This Row],[Yest]]-Table22342102345[[#This Row],[REF]]</f>
        <v>-2.6394415020879691E-2</v>
      </c>
      <c r="L85" s="56">
        <f>ABS(Table22342102345[[#This Row],[RESyx]])</f>
        <v>2.6394415020879691E-2</v>
      </c>
      <c r="M85" s="29">
        <f>Table22342102345[[#This Row],[Lesnoff]]*E$25+E$26</f>
        <v>11.662028063532111</v>
      </c>
      <c r="N85" s="29">
        <f>Table22342102345[[#This Row],[X-Y]]^2</f>
        <v>0.71269305673225014</v>
      </c>
      <c r="O85" s="57">
        <f>Table22342102345[[#This Row],[yest_rect]]-Table22342102345[[#This Row],[REF]]</f>
        <v>7.2027863532110104E-2</v>
      </c>
      <c r="P85" s="57">
        <f>Table22342102345[[#This Row],[dif rec]]^2</f>
        <v>5.1880131250002766E-3</v>
      </c>
      <c r="Q85" s="57">
        <f>ABS(Table22342102345[[#This Row],[diff-bias]])</f>
        <v>5.6469542357278968E-2</v>
      </c>
      <c r="R85" s="57">
        <f ca="1">CELL("row",Table22342102345[[#This Row],[Position]])</f>
        <v>85</v>
      </c>
      <c r="S85" s="4">
        <f>Table22342102345[[#This Row],[REF]]-D$13</f>
        <v>0.57999994999999949</v>
      </c>
      <c r="T85" s="4">
        <f>ABS(Table22342102345[[#This Row],[lab-med]])</f>
        <v>0.57999994999999949</v>
      </c>
      <c r="U85" s="4">
        <f>Table22342102345[[#This Row],[Lesnoff]]-F$13</f>
        <v>0.63403824808039921</v>
      </c>
      <c r="V85" s="4">
        <f>ABS(Table22342102345[[#This Row],[anl-med]])</f>
        <v>0.63403824808039921</v>
      </c>
      <c r="W85" s="4">
        <f>Table22342102345[[#This Row],[lab-med]]*Table22342102345[[#This Row],[anl-med]]</f>
        <v>0.36774215218471884</v>
      </c>
    </row>
    <row r="86" spans="2:23" x14ac:dyDescent="0.25">
      <c r="B86" s="46">
        <f ca="1">VALUE((Table22342102345[[#This Row],[Column3]]-62))</f>
        <v>24</v>
      </c>
      <c r="C86" t="s">
        <v>92</v>
      </c>
      <c r="D86">
        <v>9.8800001000000002</v>
      </c>
      <c r="E86"/>
      <c r="F86">
        <v>10.0502806766837</v>
      </c>
      <c r="G86" s="29">
        <f>Table22342102345[[#This Row],[Lesnoff]]-Table22342102345[[#This Row],[REF]]</f>
        <v>0.17028057668369989</v>
      </c>
      <c r="H86" s="29">
        <f>Table22342102345[[#This Row],[X-Y]]-E$20</f>
        <v>-0.61746138095902126</v>
      </c>
      <c r="I86" s="29">
        <f>Table22342102345[[#This Row],[Lesnoff]]-E$20</f>
        <v>9.2625387190409789</v>
      </c>
      <c r="J86" s="29">
        <f>Table22342102345[[#This Row],[Lesnoff]]*E$21+E$22</f>
        <v>9.5475575970786402</v>
      </c>
      <c r="K86" s="56">
        <f>Table22342102345[[#This Row],[Yest]]-Table22342102345[[#This Row],[REF]]</f>
        <v>-0.33244250292136002</v>
      </c>
      <c r="L86" s="56">
        <f>ABS(Table22342102345[[#This Row],[RESyx]])</f>
        <v>0.33244250292136002</v>
      </c>
      <c r="M86" s="29">
        <f>Table22342102345[[#This Row],[Lesnoff]]*E$25+E$26</f>
        <v>9.2090243156054452</v>
      </c>
      <c r="N86" s="29">
        <f>Table22342102345[[#This Row],[X-Y]]^2</f>
        <v>2.89954747957334E-2</v>
      </c>
      <c r="O86" s="57">
        <f>Table22342102345[[#This Row],[yest_rect]]-Table22342102345[[#This Row],[REF]]</f>
        <v>-0.67097578439455496</v>
      </c>
      <c r="P86" s="57">
        <f>Table22342102345[[#This Row],[dif rec]]^2</f>
        <v>0.45020850324388834</v>
      </c>
      <c r="Q86" s="57">
        <f>ABS(Table22342102345[[#This Row],[diff-bias]])</f>
        <v>0.61746138095902126</v>
      </c>
      <c r="R86" s="57">
        <f ca="1">CELL("row",Table22342102345[[#This Row],[Position]])</f>
        <v>86</v>
      </c>
      <c r="S86" s="4">
        <f>Table22342102345[[#This Row],[REF]]-D$13</f>
        <v>-1.1300001500000008</v>
      </c>
      <c r="T86" s="4">
        <f>ABS(Table22342102345[[#This Row],[lab-med]])</f>
        <v>1.1300001500000008</v>
      </c>
      <c r="U86" s="4">
        <f>Table22342102345[[#This Row],[Lesnoff]]-F$13</f>
        <v>-1.7498927752359013</v>
      </c>
      <c r="V86" s="4">
        <f>ABS(Table22342102345[[#This Row],[anl-med]])</f>
        <v>1.7498927752359013</v>
      </c>
      <c r="W86" s="4">
        <f>Table22342102345[[#This Row],[lab-med]]*Table22342102345[[#This Row],[anl-med]]</f>
        <v>1.977379098500486</v>
      </c>
    </row>
    <row r="87" spans="2:23" x14ac:dyDescent="0.25">
      <c r="B87" s="46">
        <f ca="1">VALUE((Table22342102345[[#This Row],[Column3]]-62))</f>
        <v>25</v>
      </c>
      <c r="C87" t="s">
        <v>93</v>
      </c>
      <c r="D87">
        <v>11.8400002</v>
      </c>
      <c r="E87"/>
      <c r="F87">
        <v>12.197554862815499</v>
      </c>
      <c r="G87" s="29">
        <f>Table22342102345[[#This Row],[Lesnoff]]-Table22342102345[[#This Row],[REF]]</f>
        <v>0.35755466281549886</v>
      </c>
      <c r="H87" s="29">
        <f>Table22342102345[[#This Row],[X-Y]]-E$20</f>
        <v>-0.43018729482722229</v>
      </c>
      <c r="I87" s="29">
        <f>Table22342102345[[#This Row],[Lesnoff]]-E$20</f>
        <v>11.409812905172778</v>
      </c>
      <c r="J87" s="29">
        <f>Table22342102345[[#This Row],[Lesnoff]]*E$21+E$22</f>
        <v>11.363469294831699</v>
      </c>
      <c r="K87" s="56">
        <f>Table22342102345[[#This Row],[Yest]]-Table22342102345[[#This Row],[REF]]</f>
        <v>-0.47653090516830154</v>
      </c>
      <c r="L87" s="56">
        <f>ABS(Table22342102345[[#This Row],[RESyx]])</f>
        <v>0.47653090516830154</v>
      </c>
      <c r="M87" s="29">
        <f>Table22342102345[[#This Row],[Lesnoff]]*E$25+E$26</f>
        <v>11.418514260947969</v>
      </c>
      <c r="N87" s="29">
        <f>Table22342102345[[#This Row],[X-Y]]^2</f>
        <v>0.12784533690110508</v>
      </c>
      <c r="O87" s="57">
        <f>Table22342102345[[#This Row],[yest_rect]]-Table22342102345[[#This Row],[REF]]</f>
        <v>-0.42148593905203136</v>
      </c>
      <c r="P87" s="57">
        <f>Table22342102345[[#This Row],[dif rec]]^2</f>
        <v>0.1776503968185727</v>
      </c>
      <c r="Q87" s="57">
        <f>ABS(Table22342102345[[#This Row],[diff-bias]])</f>
        <v>0.43018729482722229</v>
      </c>
      <c r="R87" s="57">
        <f ca="1">CELL("row",Table22342102345[[#This Row],[Position]])</f>
        <v>87</v>
      </c>
      <c r="S87" s="4">
        <f>Table22342102345[[#This Row],[REF]]-D$13</f>
        <v>0.82999994999999949</v>
      </c>
      <c r="T87" s="4">
        <f>ABS(Table22342102345[[#This Row],[lab-med]])</f>
        <v>0.82999994999999949</v>
      </c>
      <c r="U87" s="4">
        <f>Table22342102345[[#This Row],[Lesnoff]]-F$13</f>
        <v>0.39738141089589796</v>
      </c>
      <c r="V87" s="4">
        <f>ABS(Table22342102345[[#This Row],[anl-med]])</f>
        <v>0.39738141089589796</v>
      </c>
      <c r="W87" s="4">
        <f>Table22342102345[[#This Row],[lab-med]]*Table22342102345[[#This Row],[anl-med]]</f>
        <v>0.32982655117452453</v>
      </c>
    </row>
    <row r="88" spans="2:23" x14ac:dyDescent="0.25">
      <c r="B88" s="46">
        <f ca="1">VALUE((Table22342102345[[#This Row],[Column3]]-62))</f>
        <v>26</v>
      </c>
      <c r="C88" t="s">
        <v>94</v>
      </c>
      <c r="D88">
        <v>10</v>
      </c>
      <c r="E88"/>
      <c r="F88">
        <v>11.182453382752</v>
      </c>
      <c r="G88" s="29">
        <f>Table22342102345[[#This Row],[Lesnoff]]-Table22342102345[[#This Row],[REF]]</f>
        <v>1.1824533827519996</v>
      </c>
      <c r="H88" s="29">
        <f>Table22342102345[[#This Row],[X-Y]]-E$20</f>
        <v>0.39471142510927848</v>
      </c>
      <c r="I88" s="29">
        <f>Table22342102345[[#This Row],[Lesnoff]]-E$20</f>
        <v>10.394711425109278</v>
      </c>
      <c r="J88" s="29">
        <f>Table22342102345[[#This Row],[Lesnoff]]*E$21+E$22</f>
        <v>10.505015975754445</v>
      </c>
      <c r="K88" s="56">
        <f>Table22342102345[[#This Row],[Yest]]-Table22342102345[[#This Row],[REF]]</f>
        <v>0.50501597575444457</v>
      </c>
      <c r="L88" s="56">
        <f>ABS(Table22342102345[[#This Row],[RESyx]])</f>
        <v>0.50501597575444457</v>
      </c>
      <c r="M88" s="29">
        <f>Table22342102345[[#This Row],[Lesnoff]]*E$25+E$26</f>
        <v>10.374000929493544</v>
      </c>
      <c r="N88" s="29">
        <f>Table22342102345[[#This Row],[X-Y]]^2</f>
        <v>1.3981960023816469</v>
      </c>
      <c r="O88" s="57">
        <f>Table22342102345[[#This Row],[yest_rect]]-Table22342102345[[#This Row],[REF]]</f>
        <v>0.37400092949354402</v>
      </c>
      <c r="P88" s="57">
        <f>Table22342102345[[#This Row],[dif rec]]^2</f>
        <v>0.13987669526203489</v>
      </c>
      <c r="Q88" s="57">
        <f>ABS(Table22342102345[[#This Row],[diff-bias]])</f>
        <v>0.39471142510927848</v>
      </c>
      <c r="R88" s="57">
        <f ca="1">CELL("row",Table22342102345[[#This Row],[Position]])</f>
        <v>88</v>
      </c>
      <c r="S88" s="4">
        <f>Table22342102345[[#This Row],[REF]]-D$13</f>
        <v>-1.0100002500000009</v>
      </c>
      <c r="T88" s="4">
        <f>ABS(Table22342102345[[#This Row],[lab-med]])</f>
        <v>1.0100002500000009</v>
      </c>
      <c r="U88" s="4">
        <f>Table22342102345[[#This Row],[Lesnoff]]-F$13</f>
        <v>-0.61772006916760169</v>
      </c>
      <c r="V88" s="4">
        <f>ABS(Table22342102345[[#This Row],[anl-med]])</f>
        <v>0.61772006916760169</v>
      </c>
      <c r="W88" s="4">
        <f>Table22342102345[[#This Row],[lab-med]]*Table22342102345[[#This Row],[anl-med]]</f>
        <v>0.62389742428929562</v>
      </c>
    </row>
    <row r="89" spans="2:23" x14ac:dyDescent="0.25">
      <c r="B89" s="46">
        <f ca="1">VALUE((Table22342102345[[#This Row],[Column3]]-62))</f>
        <v>27</v>
      </c>
      <c r="C89" t="s">
        <v>95</v>
      </c>
      <c r="D89">
        <v>10.100000400000001</v>
      </c>
      <c r="E89"/>
      <c r="F89">
        <v>12.1706525316977</v>
      </c>
      <c r="G89" s="29">
        <f>Table22342102345[[#This Row],[Lesnoff]]-Table22342102345[[#This Row],[REF]]</f>
        <v>2.0706521316976989</v>
      </c>
      <c r="H89" s="29">
        <f>Table22342102345[[#This Row],[X-Y]]-E$20</f>
        <v>1.2829101740549778</v>
      </c>
      <c r="I89" s="29">
        <f>Table22342102345[[#This Row],[Lesnoff]]-E$20</f>
        <v>11.382910574054979</v>
      </c>
      <c r="J89" s="29">
        <f>Table22342102345[[#This Row],[Lesnoff]]*E$21+E$22</f>
        <v>11.340718470512591</v>
      </c>
      <c r="K89" s="56">
        <f>Table22342102345[[#This Row],[Yest]]-Table22342102345[[#This Row],[REF]]</f>
        <v>1.2407180705125906</v>
      </c>
      <c r="L89" s="56">
        <f>ABS(Table22342102345[[#This Row],[RESyx]])</f>
        <v>1.2407180705125906</v>
      </c>
      <c r="M89" s="29">
        <f>Table22342102345[[#This Row],[Lesnoff]]*E$25+E$26</f>
        <v>11.390832453708377</v>
      </c>
      <c r="N89" s="29">
        <f>Table22342102345[[#This Row],[X-Y]]^2</f>
        <v>4.2876002505042248</v>
      </c>
      <c r="O89" s="57">
        <f>Table22342102345[[#This Row],[yest_rect]]-Table22342102345[[#This Row],[REF]]</f>
        <v>1.2908320537083764</v>
      </c>
      <c r="P89" s="57">
        <f>Table22342102345[[#This Row],[dif rec]]^2</f>
        <v>1.6662473908809847</v>
      </c>
      <c r="Q89" s="57">
        <f>ABS(Table22342102345[[#This Row],[diff-bias]])</f>
        <v>1.2829101740549778</v>
      </c>
      <c r="R89" s="57">
        <f ca="1">CELL("row",Table22342102345[[#This Row],[Position]])</f>
        <v>89</v>
      </c>
      <c r="S89" s="4">
        <f>Table22342102345[[#This Row],[REF]]-D$13</f>
        <v>-0.90999985000000017</v>
      </c>
      <c r="T89" s="4">
        <f>ABS(Table22342102345[[#This Row],[lab-med]])</f>
        <v>0.90999985000000017</v>
      </c>
      <c r="U89" s="4">
        <f>Table22342102345[[#This Row],[Lesnoff]]-F$13</f>
        <v>0.37047907977809835</v>
      </c>
      <c r="V89" s="4">
        <f>ABS(Table22342102345[[#This Row],[anl-med]])</f>
        <v>0.37047907977809835</v>
      </c>
      <c r="W89" s="4">
        <f>Table22342102345[[#This Row],[lab-med]]*Table22342102345[[#This Row],[anl-med]]</f>
        <v>-0.3371359070262076</v>
      </c>
    </row>
    <row r="90" spans="2:23" x14ac:dyDescent="0.25">
      <c r="B90" s="46">
        <f ca="1">VALUE((Table22342102345[[#This Row],[Column3]]-62))</f>
        <v>28</v>
      </c>
      <c r="C90" t="s">
        <v>96</v>
      </c>
      <c r="D90">
        <v>11.399999599999999</v>
      </c>
      <c r="E90"/>
      <c r="F90">
        <v>12.3595988139247</v>
      </c>
      <c r="G90" s="29">
        <f>Table22342102345[[#This Row],[Lesnoff]]-Table22342102345[[#This Row],[REF]]</f>
        <v>0.95959921392470093</v>
      </c>
      <c r="H90" s="29">
        <f>Table22342102345[[#This Row],[X-Y]]-E$20</f>
        <v>0.17185725628197979</v>
      </c>
      <c r="I90" s="29">
        <f>Table22342102345[[#This Row],[Lesnoff]]-E$20</f>
        <v>11.571856856281979</v>
      </c>
      <c r="J90" s="29">
        <f>Table22342102345[[#This Row],[Lesnoff]]*E$21+E$22</f>
        <v>11.500506990469168</v>
      </c>
      <c r="K90" s="56">
        <f>Table22342102345[[#This Row],[Yest]]-Table22342102345[[#This Row],[REF]]</f>
        <v>0.10050739046916846</v>
      </c>
      <c r="L90" s="56">
        <f>ABS(Table22342102345[[#This Row],[RESyx]])</f>
        <v>0.10050739046916846</v>
      </c>
      <c r="M90" s="29">
        <f>Table22342102345[[#This Row],[Lesnoff]]*E$25+E$26</f>
        <v>11.585253321563389</v>
      </c>
      <c r="N90" s="29">
        <f>Table22342102345[[#This Row],[X-Y]]^2</f>
        <v>0.92083065136490394</v>
      </c>
      <c r="O90" s="57">
        <f>Table22342102345[[#This Row],[yest_rect]]-Table22342102345[[#This Row],[REF]]</f>
        <v>0.18525372156338982</v>
      </c>
      <c r="P90" s="57">
        <f>Table22342102345[[#This Row],[dif rec]]^2</f>
        <v>3.4318941353085962E-2</v>
      </c>
      <c r="Q90" s="57">
        <f>ABS(Table22342102345[[#This Row],[diff-bias]])</f>
        <v>0.17185725628197979</v>
      </c>
      <c r="R90" s="57">
        <f ca="1">CELL("row",Table22342102345[[#This Row],[Position]])</f>
        <v>90</v>
      </c>
      <c r="S90" s="4">
        <f>Table22342102345[[#This Row],[REF]]-D$13</f>
        <v>0.3899993499999983</v>
      </c>
      <c r="T90" s="4">
        <f>ABS(Table22342102345[[#This Row],[lab-med]])</f>
        <v>0.3899993499999983</v>
      </c>
      <c r="U90" s="4">
        <f>Table22342102345[[#This Row],[Lesnoff]]-F$13</f>
        <v>0.55942536200509885</v>
      </c>
      <c r="V90" s="4">
        <f>ABS(Table22342102345[[#This Row],[anl-med]])</f>
        <v>0.55942536200509885</v>
      </c>
      <c r="W90" s="4">
        <f>Table22342102345[[#This Row],[lab-med]]*Table22342102345[[#This Row],[anl-med]]</f>
        <v>0.21817552755550229</v>
      </c>
    </row>
    <row r="91" spans="2:23" x14ac:dyDescent="0.25">
      <c r="B91" s="46">
        <f ca="1">VALUE((Table22342102345[[#This Row],[Column3]]-62))</f>
        <v>29</v>
      </c>
      <c r="C91" t="s">
        <v>97</v>
      </c>
      <c r="D91">
        <v>10.279999699999999</v>
      </c>
      <c r="E91"/>
      <c r="F91">
        <v>10.6712284102633</v>
      </c>
      <c r="G91" s="29">
        <f>Table22342102345[[#This Row],[Lesnoff]]-Table22342102345[[#This Row],[REF]]</f>
        <v>0.39122871026330053</v>
      </c>
      <c r="H91" s="29">
        <f>Table22342102345[[#This Row],[X-Y]]-E$20</f>
        <v>-0.39651324737942062</v>
      </c>
      <c r="I91" s="29">
        <f>Table22342102345[[#This Row],[Lesnoff]]-E$20</f>
        <v>9.8834864526205788</v>
      </c>
      <c r="J91" s="29">
        <f>Table22342102345[[#This Row],[Lesnoff]]*E$21+E$22</f>
        <v>10.072682082988718</v>
      </c>
      <c r="K91" s="56">
        <f>Table22342102345[[#This Row],[Yest]]-Table22342102345[[#This Row],[REF]]</f>
        <v>-0.20731761701128093</v>
      </c>
      <c r="L91" s="56">
        <f>ABS(Table22342102345[[#This Row],[RESyx]])</f>
        <v>0.20731761701128093</v>
      </c>
      <c r="M91" s="29">
        <f>Table22342102345[[#This Row],[Lesnoff]]*E$25+E$26</f>
        <v>9.8479635730082915</v>
      </c>
      <c r="N91" s="29">
        <f>Table22342102345[[#This Row],[X-Y]]^2</f>
        <v>0.15305990373428555</v>
      </c>
      <c r="O91" s="57">
        <f>Table22342102345[[#This Row],[yest_rect]]-Table22342102345[[#This Row],[REF]]</f>
        <v>-0.4320361269917079</v>
      </c>
      <c r="P91" s="57">
        <f>Table22342102345[[#This Row],[dif rec]]^2</f>
        <v>0.18665521502599516</v>
      </c>
      <c r="Q91" s="57">
        <f>ABS(Table22342102345[[#This Row],[diff-bias]])</f>
        <v>0.39651324737942062</v>
      </c>
      <c r="R91" s="57">
        <f ca="1">CELL("row",Table22342102345[[#This Row],[Position]])</f>
        <v>91</v>
      </c>
      <c r="S91" s="4">
        <f>Table22342102345[[#This Row],[REF]]-D$13</f>
        <v>-0.73000055000000152</v>
      </c>
      <c r="T91" s="4">
        <f>ABS(Table22342102345[[#This Row],[lab-med]])</f>
        <v>0.73000055000000152</v>
      </c>
      <c r="U91" s="4">
        <f>Table22342102345[[#This Row],[Lesnoff]]-F$13</f>
        <v>-1.1289450416563014</v>
      </c>
      <c r="V91" s="4">
        <f>ABS(Table22342102345[[#This Row],[anl-med]])</f>
        <v>1.1289450416563014</v>
      </c>
      <c r="W91" s="4">
        <f>Table22342102345[[#This Row],[lab-med]]*Table22342102345[[#This Row],[anl-med]]</f>
        <v>0.82413050132887467</v>
      </c>
    </row>
    <row r="92" spans="2:23" x14ac:dyDescent="0.25">
      <c r="B92" s="46">
        <f ca="1">VALUE((Table22342102345[[#This Row],[Column3]]-62))</f>
        <v>30</v>
      </c>
      <c r="C92" t="s">
        <v>98</v>
      </c>
      <c r="D92">
        <v>12.21</v>
      </c>
      <c r="E92"/>
      <c r="F92">
        <v>13.8224049</v>
      </c>
      <c r="G92" s="29">
        <f>Table22342102345[[#This Row],[Lesnoff]]-Table22342102345[[#This Row],[REF]]</f>
        <v>1.6124048999999996</v>
      </c>
      <c r="H92" s="29">
        <f>Table22342102345[[#This Row],[X-Y]]-E$20</f>
        <v>0.82466294235727844</v>
      </c>
      <c r="I92" s="29">
        <f>Table22342102345[[#This Row],[Lesnoff]]-E$20</f>
        <v>13.034662942357279</v>
      </c>
      <c r="J92" s="29">
        <f>Table22342102345[[#This Row],[Lesnoff]]*E$21+E$22</f>
        <v>12.737576154903049</v>
      </c>
      <c r="K92" s="56">
        <f>Table22342102345[[#This Row],[Yest]]-Table22342102345[[#This Row],[REF]]</f>
        <v>0.52757615490304843</v>
      </c>
      <c r="L92" s="56">
        <f>ABS(Table22342102345[[#This Row],[RESyx]])</f>
        <v>0.52757615490304843</v>
      </c>
      <c r="M92" s="29">
        <f>Table22342102345[[#This Row],[Lesnoff]]*E$25+E$26</f>
        <v>13.090443185085944</v>
      </c>
      <c r="N92" s="29">
        <f>Table22342102345[[#This Row],[X-Y]]^2</f>
        <v>2.5998495615440085</v>
      </c>
      <c r="O92" s="57">
        <f>Table22342102345[[#This Row],[yest_rect]]-Table22342102345[[#This Row],[REF]]</f>
        <v>0.88044318508594266</v>
      </c>
      <c r="P92" s="57">
        <f>Table22342102345[[#This Row],[dif rec]]^2</f>
        <v>0.77518020216427952</v>
      </c>
      <c r="Q92" s="57">
        <f>ABS(Table22342102345[[#This Row],[diff-bias]])</f>
        <v>0.82466294235727844</v>
      </c>
      <c r="R92" s="57">
        <f ca="1">CELL("row",Table22342102345[[#This Row],[Position]])</f>
        <v>92</v>
      </c>
      <c r="S92" s="4">
        <f>Table22342102345[[#This Row],[REF]]-D$13</f>
        <v>1.1999997499999999</v>
      </c>
      <c r="T92" s="4">
        <f>ABS(Table22342102345[[#This Row],[lab-med]])</f>
        <v>1.1999997499999999</v>
      </c>
      <c r="U92" s="4">
        <f>Table22342102345[[#This Row],[Lesnoff]]-F$13</f>
        <v>2.0222314480803991</v>
      </c>
      <c r="V92" s="4">
        <f>ABS(Table22342102345[[#This Row],[anl-med]])</f>
        <v>2.0222314480803991</v>
      </c>
      <c r="W92" s="4">
        <f>Table22342102345[[#This Row],[lab-med]]*Table22342102345[[#This Row],[anl-med]]</f>
        <v>2.426677232138617</v>
      </c>
    </row>
    <row r="93" spans="2:23" x14ac:dyDescent="0.25">
      <c r="B93" s="46">
        <f ca="1">VALUE((Table22342102345[[#This Row],[Column3]]-62))</f>
        <v>31</v>
      </c>
      <c r="C93" t="s">
        <v>99</v>
      </c>
      <c r="D93">
        <v>11.9399996</v>
      </c>
      <c r="E93"/>
      <c r="F93">
        <v>12.5328959999999</v>
      </c>
      <c r="G93" s="29">
        <f>Table22342102345[[#This Row],[Lesnoff]]-Table22342102345[[#This Row],[REF]]</f>
        <v>0.59289639999989951</v>
      </c>
      <c r="H93" s="29">
        <f>Table22342102345[[#This Row],[X-Y]]-E$20</f>
        <v>-0.19484555764282163</v>
      </c>
      <c r="I93" s="29">
        <f>Table22342102345[[#This Row],[Lesnoff]]-E$20</f>
        <v>11.745154042357179</v>
      </c>
      <c r="J93" s="29">
        <f>Table22342102345[[#This Row],[Lesnoff]]*E$21+E$22</f>
        <v>11.647061347343614</v>
      </c>
      <c r="K93" s="56">
        <f>Table22342102345[[#This Row],[Yest]]-Table22342102345[[#This Row],[REF]]</f>
        <v>-0.29293825265638596</v>
      </c>
      <c r="L93" s="56">
        <f>ABS(Table22342102345[[#This Row],[RESyx]])</f>
        <v>0.29293825265638596</v>
      </c>
      <c r="M93" s="29">
        <f>Table22342102345[[#This Row],[Lesnoff]]*E$25+E$26</f>
        <v>11.763571671712738</v>
      </c>
      <c r="N93" s="29">
        <f>Table22342102345[[#This Row],[X-Y]]^2</f>
        <v>0.35152614113284086</v>
      </c>
      <c r="O93" s="57">
        <f>Table22342102345[[#This Row],[yest_rect]]-Table22342102345[[#This Row],[REF]]</f>
        <v>-0.1764279282872625</v>
      </c>
      <c r="P93" s="57">
        <f>Table22342102345[[#This Row],[dif rec]]^2</f>
        <v>3.112681387973544E-2</v>
      </c>
      <c r="Q93" s="57">
        <f>ABS(Table22342102345[[#This Row],[diff-bias]])</f>
        <v>0.19484555764282163</v>
      </c>
      <c r="R93" s="57">
        <f ca="1">CELL("row",Table22342102345[[#This Row],[Position]])</f>
        <v>93</v>
      </c>
      <c r="S93" s="4">
        <f>Table22342102345[[#This Row],[REF]]-D$13</f>
        <v>0.92999934999999923</v>
      </c>
      <c r="T93" s="4">
        <f>ABS(Table22342102345[[#This Row],[lab-med]])</f>
        <v>0.92999934999999923</v>
      </c>
      <c r="U93" s="4">
        <f>Table22342102345[[#This Row],[Lesnoff]]-F$13</f>
        <v>0.73272254808029835</v>
      </c>
      <c r="V93" s="4">
        <f>ABS(Table22342102345[[#This Row],[anl-med]])</f>
        <v>0.73272254808029835</v>
      </c>
      <c r="W93" s="4">
        <f>Table22342102345[[#This Row],[lab-med]]*Table22342102345[[#This Row],[anl-med]]</f>
        <v>0.68143149344502063</v>
      </c>
    </row>
    <row r="94" spans="2:23" x14ac:dyDescent="0.25">
      <c r="B94" s="46">
        <f ca="1">VALUE((Table22342102345[[#This Row],[Column3]]-62))</f>
        <v>32</v>
      </c>
      <c r="C94" t="s">
        <v>100</v>
      </c>
      <c r="D94">
        <v>10.3699999</v>
      </c>
      <c r="E94"/>
      <c r="F94">
        <v>10.596063707557599</v>
      </c>
      <c r="G94" s="29">
        <f>Table22342102345[[#This Row],[Lesnoff]]-Table22342102345[[#This Row],[REF]]</f>
        <v>0.22606380755759936</v>
      </c>
      <c r="H94" s="29">
        <f>Table22342102345[[#This Row],[X-Y]]-E$20</f>
        <v>-0.56167815008512179</v>
      </c>
      <c r="I94" s="29">
        <f>Table22342102345[[#This Row],[Lesnoff]]-E$20</f>
        <v>9.808321749914878</v>
      </c>
      <c r="J94" s="29">
        <f>Table22342102345[[#This Row],[Lesnoff]]*E$21+E$22</f>
        <v>10.00911662694079</v>
      </c>
      <c r="K94" s="56">
        <f>Table22342102345[[#This Row],[Yest]]-Table22342102345[[#This Row],[REF]]</f>
        <v>-0.3608832730592102</v>
      </c>
      <c r="L94" s="56">
        <f>ABS(Table22342102345[[#This Row],[RESyx]])</f>
        <v>0.3608832730592102</v>
      </c>
      <c r="M94" s="29">
        <f>Table22342102345[[#This Row],[Lesnoff]]*E$25+E$26</f>
        <v>9.7706210259104385</v>
      </c>
      <c r="N94" s="29">
        <f>Table22342102345[[#This Row],[X-Y]]^2</f>
        <v>5.1104845087439316E-2</v>
      </c>
      <c r="O94" s="57">
        <f>Table22342102345[[#This Row],[yest_rect]]-Table22342102345[[#This Row],[REF]]</f>
        <v>-0.59937887408956136</v>
      </c>
      <c r="P94" s="57">
        <f>Table22342102345[[#This Row],[dif rec]]^2</f>
        <v>0.35925503470487025</v>
      </c>
      <c r="Q94" s="57">
        <f>ABS(Table22342102345[[#This Row],[diff-bias]])</f>
        <v>0.56167815008512179</v>
      </c>
      <c r="R94" s="57">
        <f ca="1">CELL("row",Table22342102345[[#This Row],[Position]])</f>
        <v>94</v>
      </c>
      <c r="S94" s="4">
        <f>Table22342102345[[#This Row],[REF]]-D$13</f>
        <v>-0.64000035000000111</v>
      </c>
      <c r="T94" s="4">
        <f>ABS(Table22342102345[[#This Row],[lab-med]])</f>
        <v>0.64000035000000111</v>
      </c>
      <c r="U94" s="4">
        <f>Table22342102345[[#This Row],[Lesnoff]]-F$13</f>
        <v>-1.2041097443620021</v>
      </c>
      <c r="V94" s="4">
        <f>ABS(Table22342102345[[#This Row],[anl-med]])</f>
        <v>1.2041097443620021</v>
      </c>
      <c r="W94" s="4">
        <f>Table22342102345[[#This Row],[lab-med]]*Table22342102345[[#This Row],[anl-med]]</f>
        <v>0.77063065783009321</v>
      </c>
    </row>
    <row r="95" spans="2:23" x14ac:dyDescent="0.25">
      <c r="B95" s="46">
        <f ca="1">VALUE((Table22342102345[[#This Row],[Column3]]-62))</f>
        <v>33</v>
      </c>
      <c r="C95" t="s">
        <v>101</v>
      </c>
      <c r="D95">
        <v>10.3800001</v>
      </c>
      <c r="E95"/>
      <c r="F95">
        <v>10.4438704713054</v>
      </c>
      <c r="G95" s="29">
        <f>Table22342102345[[#This Row],[Lesnoff]]-Table22342102345[[#This Row],[REF]]</f>
        <v>6.3870371305400298E-2</v>
      </c>
      <c r="H95" s="29">
        <f>Table22342102345[[#This Row],[X-Y]]-E$20</f>
        <v>-0.72387158633732085</v>
      </c>
      <c r="I95" s="29">
        <f>Table22342102345[[#This Row],[Lesnoff]]-E$20</f>
        <v>9.6561285136626793</v>
      </c>
      <c r="J95" s="29">
        <f>Table22342102345[[#This Row],[Lesnoff]]*E$21+E$22</f>
        <v>9.8804095061575214</v>
      </c>
      <c r="K95" s="56">
        <f>Table22342102345[[#This Row],[Yest]]-Table22342102345[[#This Row],[REF]]</f>
        <v>-0.49959059384247873</v>
      </c>
      <c r="L95" s="56">
        <f>ABS(Table22342102345[[#This Row],[RESyx]])</f>
        <v>0.49959059384247873</v>
      </c>
      <c r="M95" s="29">
        <f>Table22342102345[[#This Row],[Lesnoff]]*E$25+E$26</f>
        <v>9.6140180976862855</v>
      </c>
      <c r="N95" s="29">
        <f>Table22342102345[[#This Row],[X-Y]]^2</f>
        <v>4.0794243306897021E-3</v>
      </c>
      <c r="O95" s="57">
        <f>Table22342102345[[#This Row],[yest_rect]]-Table22342102345[[#This Row],[REF]]</f>
        <v>-0.76598200231371472</v>
      </c>
      <c r="P95" s="57">
        <f>Table22342102345[[#This Row],[dif rec]]^2</f>
        <v>0.58672842786852764</v>
      </c>
      <c r="Q95" s="57">
        <f>ABS(Table22342102345[[#This Row],[diff-bias]])</f>
        <v>0.72387158633732085</v>
      </c>
      <c r="R95" s="57">
        <f ca="1">CELL("row",Table22342102345[[#This Row],[Position]])</f>
        <v>95</v>
      </c>
      <c r="S95" s="4">
        <f>Table22342102345[[#This Row],[REF]]-D$13</f>
        <v>-0.63000015000000076</v>
      </c>
      <c r="T95" s="4">
        <f>ABS(Table22342102345[[#This Row],[lab-med]])</f>
        <v>0.63000015000000076</v>
      </c>
      <c r="U95" s="4">
        <f>Table22342102345[[#This Row],[Lesnoff]]-F$13</f>
        <v>-1.3563029806142008</v>
      </c>
      <c r="V95" s="4">
        <f>ABS(Table22342102345[[#This Row],[anl-med]])</f>
        <v>1.3563029806142008</v>
      </c>
      <c r="W95" s="4">
        <f>Table22342102345[[#This Row],[lab-med]]*Table22342102345[[#This Row],[anl-med]]</f>
        <v>0.85447108123239468</v>
      </c>
    </row>
    <row r="96" spans="2:23" x14ac:dyDescent="0.25">
      <c r="B96" s="46">
        <f ca="1">VALUE((Table22342102345[[#This Row],[Column3]]-62))</f>
        <v>34</v>
      </c>
      <c r="C96" t="s">
        <v>102</v>
      </c>
      <c r="D96">
        <v>9.8800001000000002</v>
      </c>
      <c r="E96"/>
      <c r="F96">
        <v>11.2287384812455</v>
      </c>
      <c r="G96" s="29">
        <f>Table22342102345[[#This Row],[Lesnoff]]-Table22342102345[[#This Row],[REF]]</f>
        <v>1.3487383812455001</v>
      </c>
      <c r="H96" s="29">
        <f>Table22342102345[[#This Row],[X-Y]]-E$20</f>
        <v>0.5609964236027789</v>
      </c>
      <c r="I96" s="29">
        <f>Table22342102345[[#This Row],[Lesnoff]]-E$20</f>
        <v>10.440996523602779</v>
      </c>
      <c r="J96" s="29">
        <f>Table22342102345[[#This Row],[Lesnoff]]*E$21+E$22</f>
        <v>10.544158462693856</v>
      </c>
      <c r="K96" s="56">
        <f>Table22342102345[[#This Row],[Yest]]-Table22342102345[[#This Row],[REF]]</f>
        <v>0.66415836269385586</v>
      </c>
      <c r="L96" s="56">
        <f>ABS(Table22342102345[[#This Row],[RESyx]])</f>
        <v>0.66415836269385586</v>
      </c>
      <c r="M96" s="29">
        <f>Table22342102345[[#This Row],[Lesnoff]]*E$25+E$26</f>
        <v>10.421627106160253</v>
      </c>
      <c r="N96" s="29">
        <f>Table22342102345[[#This Row],[X-Y]]^2</f>
        <v>1.8190952210447318</v>
      </c>
      <c r="O96" s="57">
        <f>Table22342102345[[#This Row],[yest_rect]]-Table22342102345[[#This Row],[REF]]</f>
        <v>0.54162700616025283</v>
      </c>
      <c r="P96" s="57">
        <f>Table22342102345[[#This Row],[dif rec]]^2</f>
        <v>0.29335981380211856</v>
      </c>
      <c r="Q96" s="57">
        <f>ABS(Table22342102345[[#This Row],[diff-bias]])</f>
        <v>0.5609964236027789</v>
      </c>
      <c r="R96" s="57">
        <f ca="1">CELL("row",Table22342102345[[#This Row],[Position]])</f>
        <v>96</v>
      </c>
      <c r="S96" s="4">
        <f>Table22342102345[[#This Row],[REF]]-D$13</f>
        <v>-1.1300001500000008</v>
      </c>
      <c r="T96" s="4">
        <f>ABS(Table22342102345[[#This Row],[lab-med]])</f>
        <v>1.1300001500000008</v>
      </c>
      <c r="U96" s="4">
        <f>Table22342102345[[#This Row],[Lesnoff]]-F$13</f>
        <v>-0.57143497067410109</v>
      </c>
      <c r="V96" s="4">
        <f>ABS(Table22342102345[[#This Row],[anl-med]])</f>
        <v>0.57143497067410109</v>
      </c>
      <c r="W96" s="4">
        <f>Table22342102345[[#This Row],[lab-med]]*Table22342102345[[#This Row],[anl-med]]</f>
        <v>0.6457216025769803</v>
      </c>
    </row>
    <row r="97" spans="2:23" x14ac:dyDescent="0.25">
      <c r="B97" s="46">
        <f ca="1">VALUE((Table22342102345[[#This Row],[Column3]]-62))</f>
        <v>35</v>
      </c>
      <c r="C97" t="s">
        <v>103</v>
      </c>
      <c r="D97">
        <v>12.079999900000001</v>
      </c>
      <c r="E97"/>
      <c r="F97">
        <v>12.034393313000001</v>
      </c>
      <c r="G97" s="29">
        <f>Table22342102345[[#This Row],[Lesnoff]]-Table22342102345[[#This Row],[REF]]</f>
        <v>-4.5606586999999976E-2</v>
      </c>
      <c r="H97" s="29">
        <f>Table22342102345[[#This Row],[X-Y]]-E$20</f>
        <v>-0.83334854464272112</v>
      </c>
      <c r="I97" s="29">
        <f>Table22342102345[[#This Row],[Lesnoff]]-E$20</f>
        <v>11.24665135535728</v>
      </c>
      <c r="J97" s="29">
        <f>Table22342102345[[#This Row],[Lesnoff]]*E$21+E$22</f>
        <v>11.225486465788695</v>
      </c>
      <c r="K97" s="56">
        <f>Table22342102345[[#This Row],[Yest]]-Table22342102345[[#This Row],[REF]]</f>
        <v>-0.85451343421130588</v>
      </c>
      <c r="L97" s="56">
        <f>ABS(Table22342102345[[#This Row],[RESyx]])</f>
        <v>0.85451343421130588</v>
      </c>
      <c r="M97" s="29">
        <f>Table22342102345[[#This Row],[Lesnoff]]*E$25+E$26</f>
        <v>11.250625219989825</v>
      </c>
      <c r="N97" s="29">
        <f>Table22342102345[[#This Row],[X-Y]]^2</f>
        <v>2.0799607777885667E-3</v>
      </c>
      <c r="O97" s="57">
        <f>Table22342102345[[#This Row],[yest_rect]]-Table22342102345[[#This Row],[REF]]</f>
        <v>-0.82937468001017578</v>
      </c>
      <c r="P97" s="57">
        <f>Table22342102345[[#This Row],[dif rec]]^2</f>
        <v>0.68786235984198152</v>
      </c>
      <c r="Q97" s="57">
        <f>ABS(Table22342102345[[#This Row],[diff-bias]])</f>
        <v>0.83334854464272112</v>
      </c>
      <c r="R97" s="57">
        <f ca="1">CELL("row",Table22342102345[[#This Row],[Position]])</f>
        <v>97</v>
      </c>
      <c r="S97" s="4">
        <f>Table22342102345[[#This Row],[REF]]-D$13</f>
        <v>1.0699996499999997</v>
      </c>
      <c r="T97" s="4">
        <f>ABS(Table22342102345[[#This Row],[lab-med]])</f>
        <v>1.0699996499999997</v>
      </c>
      <c r="U97" s="4">
        <f>Table22342102345[[#This Row],[Lesnoff]]-F$13</f>
        <v>0.23421986108039938</v>
      </c>
      <c r="V97" s="4">
        <f>ABS(Table22342102345[[#This Row],[anl-med]])</f>
        <v>0.23421986108039938</v>
      </c>
      <c r="W97" s="4">
        <f>Table22342102345[[#This Row],[lab-med]]*Table22342102345[[#This Row],[anl-med]]</f>
        <v>0.25061516937907591</v>
      </c>
    </row>
    <row r="98" spans="2:23" x14ac:dyDescent="0.25">
      <c r="B98" s="46">
        <f ca="1">VALUE((Table22342102345[[#This Row],[Column3]]-62))</f>
        <v>36</v>
      </c>
      <c r="C98" t="s">
        <v>104</v>
      </c>
      <c r="D98">
        <v>9.0799999000000007</v>
      </c>
      <c r="E98"/>
      <c r="F98">
        <v>10.6625820346312</v>
      </c>
      <c r="G98" s="29">
        <f>Table22342102345[[#This Row],[Lesnoff]]-Table22342102345[[#This Row],[REF]]</f>
        <v>1.582582134631199</v>
      </c>
      <c r="H98" s="29">
        <f>Table22342102345[[#This Row],[X-Y]]-E$20</f>
        <v>0.79484017698847786</v>
      </c>
      <c r="I98" s="29">
        <f>Table22342102345[[#This Row],[Lesnoff]]-E$20</f>
        <v>9.8748400769884785</v>
      </c>
      <c r="J98" s="29">
        <f>Table22342102345[[#This Row],[Lesnoff]]*E$21+E$22</f>
        <v>10.065369996458315</v>
      </c>
      <c r="K98" s="56">
        <f>Table22342102345[[#This Row],[Yest]]-Table22342102345[[#This Row],[REF]]</f>
        <v>0.98537009645831475</v>
      </c>
      <c r="L98" s="56">
        <f>ABS(Table22342102345[[#This Row],[RESyx]])</f>
        <v>0.98537009645831475</v>
      </c>
      <c r="M98" s="29">
        <f>Table22342102345[[#This Row],[Lesnoff]]*E$25+E$26</f>
        <v>9.8390666747238704</v>
      </c>
      <c r="N98" s="29">
        <f>Table22342102345[[#This Row],[X-Y]]^2</f>
        <v>2.5045662128538426</v>
      </c>
      <c r="O98" s="57">
        <f>Table22342102345[[#This Row],[yest_rect]]-Table22342102345[[#This Row],[REF]]</f>
        <v>0.75906677472386974</v>
      </c>
      <c r="P98" s="57">
        <f>Table22342102345[[#This Row],[dif rec]]^2</f>
        <v>0.57618236848969806</v>
      </c>
      <c r="Q98" s="57">
        <f>ABS(Table22342102345[[#This Row],[diff-bias]])</f>
        <v>0.79484017698847786</v>
      </c>
      <c r="R98" s="57">
        <f ca="1">CELL("row",Table22342102345[[#This Row],[Position]])</f>
        <v>98</v>
      </c>
      <c r="S98" s="4">
        <f>Table22342102345[[#This Row],[REF]]-D$13</f>
        <v>-1.9300003500000003</v>
      </c>
      <c r="T98" s="4">
        <f>ABS(Table22342102345[[#This Row],[lab-med]])</f>
        <v>1.9300003500000003</v>
      </c>
      <c r="U98" s="4">
        <f>Table22342102345[[#This Row],[Lesnoff]]-F$13</f>
        <v>-1.1375914172884016</v>
      </c>
      <c r="V98" s="4">
        <f>ABS(Table22342102345[[#This Row],[anl-med]])</f>
        <v>1.1375914172884016</v>
      </c>
      <c r="W98" s="4">
        <f>Table22342102345[[#This Row],[lab-med]]*Table22342102345[[#This Row],[anl-med]]</f>
        <v>2.1955518335236115</v>
      </c>
    </row>
    <row r="99" spans="2:23" x14ac:dyDescent="0.25">
      <c r="B99" s="46">
        <f ca="1">VALUE((Table22342102345[[#This Row],[Column3]]-62))</f>
        <v>37</v>
      </c>
      <c r="C99" t="s">
        <v>105</v>
      </c>
      <c r="D99">
        <v>10.800000199999999</v>
      </c>
      <c r="E99"/>
      <c r="F99">
        <v>12.5</v>
      </c>
      <c r="G99" s="29">
        <f>Table22342102345[[#This Row],[Lesnoff]]-Table22342102345[[#This Row],[REF]]</f>
        <v>1.6999998000000005</v>
      </c>
      <c r="H99" s="29">
        <f>Table22342102345[[#This Row],[X-Y]]-E$20</f>
        <v>0.91225784235727936</v>
      </c>
      <c r="I99" s="29">
        <f>Table22342102345[[#This Row],[Lesnoff]]-E$20</f>
        <v>11.712258042357279</v>
      </c>
      <c r="J99" s="29">
        <f>Table22342102345[[#This Row],[Lesnoff]]*E$21+E$22</f>
        <v>11.619241783547379</v>
      </c>
      <c r="K99" s="56">
        <f>Table22342102345[[#This Row],[Yest]]-Table22342102345[[#This Row],[REF]]</f>
        <v>0.81924158354737919</v>
      </c>
      <c r="L99" s="56">
        <f>ABS(Table22342102345[[#This Row],[RESyx]])</f>
        <v>0.81924158354737919</v>
      </c>
      <c r="M99" s="29">
        <f>Table22342102345[[#This Row],[Lesnoff]]*E$25+E$26</f>
        <v>11.729722533250964</v>
      </c>
      <c r="N99" s="29">
        <f>Table22342102345[[#This Row],[X-Y]]^2</f>
        <v>2.8899993200000416</v>
      </c>
      <c r="O99" s="57">
        <f>Table22342102345[[#This Row],[yest_rect]]-Table22342102345[[#This Row],[REF]]</f>
        <v>0.92972233325096454</v>
      </c>
      <c r="P99" s="57">
        <f>Table22342102345[[#This Row],[dif rec]]^2</f>
        <v>0.86438361694561761</v>
      </c>
      <c r="Q99" s="57">
        <f>ABS(Table22342102345[[#This Row],[diff-bias]])</f>
        <v>0.91225784235727936</v>
      </c>
      <c r="R99" s="57">
        <f ca="1">CELL("row",Table22342102345[[#This Row],[Position]])</f>
        <v>99</v>
      </c>
      <c r="S99" s="4">
        <f>Table22342102345[[#This Row],[REF]]-D$13</f>
        <v>-0.21000005000000144</v>
      </c>
      <c r="T99" s="4">
        <f>ABS(Table22342102345[[#This Row],[lab-med]])</f>
        <v>0.21000005000000144</v>
      </c>
      <c r="U99" s="4">
        <f>Table22342102345[[#This Row],[Lesnoff]]-F$13</f>
        <v>0.69982654808039868</v>
      </c>
      <c r="V99" s="4">
        <f>ABS(Table22342102345[[#This Row],[anl-med]])</f>
        <v>0.69982654808039868</v>
      </c>
      <c r="W99" s="4">
        <f>Table22342102345[[#This Row],[lab-med]]*Table22342102345[[#This Row],[anl-med]]</f>
        <v>-0.14696361008821213</v>
      </c>
    </row>
    <row r="100" spans="2:23" x14ac:dyDescent="0.25">
      <c r="B100" s="46">
        <f ca="1">VALUE((Table22342102345[[#This Row],[Column3]]-62))</f>
        <v>38</v>
      </c>
      <c r="C100" t="s">
        <v>106</v>
      </c>
      <c r="D100">
        <v>9.3599996999999995</v>
      </c>
      <c r="E100"/>
      <c r="F100">
        <v>11.282774690760601</v>
      </c>
      <c r="G100" s="29">
        <f>Table22342102345[[#This Row],[Lesnoff]]-Table22342102345[[#This Row],[REF]]</f>
        <v>1.9227749907606011</v>
      </c>
      <c r="H100" s="29">
        <f>Table22342102345[[#This Row],[X-Y]]-E$20</f>
        <v>1.13503303311788</v>
      </c>
      <c r="I100" s="29">
        <f>Table22342102345[[#This Row],[Lesnoff]]-E$20</f>
        <v>10.495032733117879</v>
      </c>
      <c r="J100" s="29">
        <f>Table22342102345[[#This Row],[Lesnoff]]*E$21+E$22</f>
        <v>10.589855926759903</v>
      </c>
      <c r="K100" s="56">
        <f>Table22342102345[[#This Row],[Yest]]-Table22342102345[[#This Row],[REF]]</f>
        <v>1.2298562267599031</v>
      </c>
      <c r="L100" s="56">
        <f>ABS(Table22342102345[[#This Row],[RESyx]])</f>
        <v>1.2298562267599031</v>
      </c>
      <c r="M100" s="29">
        <f>Table22342102345[[#This Row],[Lesnoff]]*E$25+E$26</f>
        <v>10.477228976838498</v>
      </c>
      <c r="N100" s="29">
        <f>Table22342102345[[#This Row],[X-Y]]^2</f>
        <v>3.6970636650944297</v>
      </c>
      <c r="O100" s="57">
        <f>Table22342102345[[#This Row],[yest_rect]]-Table22342102345[[#This Row],[REF]]</f>
        <v>1.1172292768384988</v>
      </c>
      <c r="P100" s="57">
        <f>Table22342102345[[#This Row],[dif rec]]^2</f>
        <v>1.2482012570250751</v>
      </c>
      <c r="Q100" s="57">
        <f>ABS(Table22342102345[[#This Row],[diff-bias]])</f>
        <v>1.13503303311788</v>
      </c>
      <c r="R100" s="57">
        <f ca="1">CELL("row",Table22342102345[[#This Row],[Position]])</f>
        <v>100</v>
      </c>
      <c r="S100" s="4">
        <f>Table22342102345[[#This Row],[REF]]-D$13</f>
        <v>-1.6500005500000015</v>
      </c>
      <c r="T100" s="4">
        <f>ABS(Table22342102345[[#This Row],[lab-med]])</f>
        <v>1.6500005500000015</v>
      </c>
      <c r="U100" s="4">
        <f>Table22342102345[[#This Row],[Lesnoff]]-F$13</f>
        <v>-0.51739876115900074</v>
      </c>
      <c r="V100" s="4">
        <f>ABS(Table22342102345[[#This Row],[anl-med]])</f>
        <v>0.51739876115900074</v>
      </c>
      <c r="W100" s="4">
        <f>Table22342102345[[#This Row],[lab-med]]*Table22342102345[[#This Row],[anl-med]]</f>
        <v>0.8537082404816706</v>
      </c>
    </row>
    <row r="101" spans="2:23" x14ac:dyDescent="0.25">
      <c r="B101" s="46">
        <f ca="1">VALUE((Table22342102345[[#This Row],[Column3]]-62))</f>
        <v>39</v>
      </c>
      <c r="C101" t="s">
        <v>107</v>
      </c>
      <c r="D101">
        <v>12.449999800000001</v>
      </c>
      <c r="E101"/>
      <c r="F101">
        <v>11.388748083968601</v>
      </c>
      <c r="G101" s="29">
        <f>Table22342102345[[#This Row],[Lesnoff]]-Table22342102345[[#This Row],[REF]]</f>
        <v>-1.0612517160313999</v>
      </c>
      <c r="H101" s="29">
        <f>Table22342102345[[#This Row],[X-Y]]-E$20</f>
        <v>-1.848993673674121</v>
      </c>
      <c r="I101" s="29">
        <f>Table22342102345[[#This Row],[Lesnoff]]-E$20</f>
        <v>10.601006126325879</v>
      </c>
      <c r="J101" s="29">
        <f>Table22342102345[[#This Row],[Lesnoff]]*E$21+E$22</f>
        <v>10.679475745979943</v>
      </c>
      <c r="K101" s="56">
        <f>Table22342102345[[#This Row],[Yest]]-Table22342102345[[#This Row],[REF]]</f>
        <v>-1.7705240540200577</v>
      </c>
      <c r="L101" s="56">
        <f>ABS(Table22342102345[[#This Row],[RESyx]])</f>
        <v>1.7705240540200577</v>
      </c>
      <c r="M101" s="29">
        <f>Table22342102345[[#This Row],[Lesnoff]]*E$25+E$26</f>
        <v>10.586272874575988</v>
      </c>
      <c r="N101" s="29">
        <f>Table22342102345[[#This Row],[X-Y]]^2</f>
        <v>1.1262552047795911</v>
      </c>
      <c r="O101" s="57">
        <f>Table22342102345[[#This Row],[yest_rect]]-Table22342102345[[#This Row],[REF]]</f>
        <v>-1.8637269254240127</v>
      </c>
      <c r="P101" s="57">
        <f>Table22342102345[[#This Row],[dif rec]]^2</f>
        <v>3.4734780525504436</v>
      </c>
      <c r="Q101" s="57">
        <f>ABS(Table22342102345[[#This Row],[diff-bias]])</f>
        <v>1.848993673674121</v>
      </c>
      <c r="R101" s="57">
        <f ca="1">CELL("row",Table22342102345[[#This Row],[Position]])</f>
        <v>101</v>
      </c>
      <c r="S101" s="4">
        <f>Table22342102345[[#This Row],[REF]]-D$13</f>
        <v>1.4399995499999996</v>
      </c>
      <c r="T101" s="4">
        <f>ABS(Table22342102345[[#This Row],[lab-med]])</f>
        <v>1.4399995499999996</v>
      </c>
      <c r="U101" s="4">
        <f>Table22342102345[[#This Row],[Lesnoff]]-F$13</f>
        <v>-0.41142536795100071</v>
      </c>
      <c r="V101" s="4">
        <f>ABS(Table22342102345[[#This Row],[anl-med]])</f>
        <v>0.41142536795100071</v>
      </c>
      <c r="W101" s="4">
        <f>Table22342102345[[#This Row],[lab-med]]*Table22342102345[[#This Row],[anl-med]]</f>
        <v>-0.59245234470802521</v>
      </c>
    </row>
    <row r="102" spans="2:23" x14ac:dyDescent="0.25">
      <c r="B102" s="46">
        <f ca="1">VALUE((Table22342102345[[#This Row],[Column3]]-62))</f>
        <v>40</v>
      </c>
      <c r="C102" t="s">
        <v>108</v>
      </c>
      <c r="D102">
        <v>10.920000099999999</v>
      </c>
      <c r="E102"/>
      <c r="F102">
        <v>11.001231964068801</v>
      </c>
      <c r="G102" s="29">
        <f>Table22342102345[[#This Row],[Lesnoff]]-Table22342102345[[#This Row],[REF]]</f>
        <v>8.1231864068801229E-2</v>
      </c>
      <c r="H102" s="29">
        <f>Table22342102345[[#This Row],[X-Y]]-E$20</f>
        <v>-0.70651009357391992</v>
      </c>
      <c r="I102" s="29">
        <f>Table22342102345[[#This Row],[Lesnoff]]-E$20</f>
        <v>10.213490006426079</v>
      </c>
      <c r="J102" s="29">
        <f>Table22342102345[[#This Row],[Lesnoff]]*E$21+E$22</f>
        <v>10.351760235898022</v>
      </c>
      <c r="K102" s="56">
        <f>Table22342102345[[#This Row],[Yest]]-Table22342102345[[#This Row],[REF]]</f>
        <v>-0.56823986410197769</v>
      </c>
      <c r="L102" s="56">
        <f>ABS(Table22342102345[[#This Row],[RESyx]])</f>
        <v>0.56823986410197769</v>
      </c>
      <c r="M102" s="29">
        <f>Table22342102345[[#This Row],[Lesnoff]]*E$25+E$26</f>
        <v>10.187528747670063</v>
      </c>
      <c r="N102" s="29">
        <f>Table22342102345[[#This Row],[X-Y]]^2</f>
        <v>6.5986157400922006E-3</v>
      </c>
      <c r="O102" s="57">
        <f>Table22342102345[[#This Row],[yest_rect]]-Table22342102345[[#This Row],[REF]]</f>
        <v>-0.73247135232993621</v>
      </c>
      <c r="P102" s="57">
        <f>Table22342102345[[#This Row],[dif rec]]^2</f>
        <v>0.53651428198404549</v>
      </c>
      <c r="Q102" s="57">
        <f>ABS(Table22342102345[[#This Row],[diff-bias]])</f>
        <v>0.70651009357391992</v>
      </c>
      <c r="R102" s="57">
        <f ca="1">CELL("row",Table22342102345[[#This Row],[Position]])</f>
        <v>102</v>
      </c>
      <c r="S102" s="4">
        <f>Table22342102345[[#This Row],[REF]]-D$13</f>
        <v>-9.0000150000001611E-2</v>
      </c>
      <c r="T102" s="4">
        <f>ABS(Table22342102345[[#This Row],[lab-med]])</f>
        <v>9.0000150000001611E-2</v>
      </c>
      <c r="U102" s="4">
        <f>Table22342102345[[#This Row],[Lesnoff]]-F$13</f>
        <v>-0.79894148785080077</v>
      </c>
      <c r="V102" s="4">
        <f>ABS(Table22342102345[[#This Row],[anl-med]])</f>
        <v>0.79894148785080077</v>
      </c>
      <c r="W102" s="4">
        <f>Table22342102345[[#This Row],[lab-med]]*Table22342102345[[#This Row],[anl-med]]</f>
        <v>7.1904853747796538E-2</v>
      </c>
    </row>
    <row r="103" spans="2:23" x14ac:dyDescent="0.25">
      <c r="B103" s="46">
        <f ca="1">VALUE((Table22342102345[[#This Row],[Column3]]-62))</f>
        <v>41</v>
      </c>
      <c r="C103" t="s">
        <v>109</v>
      </c>
      <c r="D103">
        <v>10.949999800000001</v>
      </c>
      <c r="E103"/>
      <c r="F103">
        <v>11.394301649325</v>
      </c>
      <c r="G103" s="29">
        <f>Table22342102345[[#This Row],[Lesnoff]]-Table22342102345[[#This Row],[REF]]</f>
        <v>0.44430184932499905</v>
      </c>
      <c r="H103" s="29">
        <f>Table22342102345[[#This Row],[X-Y]]-E$20</f>
        <v>-0.34344010831772209</v>
      </c>
      <c r="I103" s="29">
        <f>Table22342102345[[#This Row],[Lesnoff]]-E$20</f>
        <v>10.606559691682278</v>
      </c>
      <c r="J103" s="29">
        <f>Table22342102345[[#This Row],[Lesnoff]]*E$21+E$22</f>
        <v>10.68417229771053</v>
      </c>
      <c r="K103" s="56">
        <f>Table22342102345[[#This Row],[Yest]]-Table22342102345[[#This Row],[REF]]</f>
        <v>-0.26582750228947027</v>
      </c>
      <c r="L103" s="56">
        <f>ABS(Table22342102345[[#This Row],[RESyx]])</f>
        <v>0.26582750228947027</v>
      </c>
      <c r="M103" s="29">
        <f>Table22342102345[[#This Row],[Lesnoff]]*E$25+E$26</f>
        <v>10.591987350582366</v>
      </c>
      <c r="N103" s="29">
        <f>Table22342102345[[#This Row],[X-Y]]^2</f>
        <v>0.19740413331361417</v>
      </c>
      <c r="O103" s="57">
        <f>Table22342102345[[#This Row],[yest_rect]]-Table22342102345[[#This Row],[REF]]</f>
        <v>-0.35801244941763422</v>
      </c>
      <c r="P103" s="57">
        <f>Table22342102345[[#This Row],[dif rec]]^2</f>
        <v>0.12817291393801411</v>
      </c>
      <c r="Q103" s="57">
        <f>ABS(Table22342102345[[#This Row],[diff-bias]])</f>
        <v>0.34344010831772209</v>
      </c>
      <c r="R103" s="57">
        <f ca="1">CELL("row",Table22342102345[[#This Row],[Position]])</f>
        <v>103</v>
      </c>
      <c r="S103" s="4">
        <f>Table22342102345[[#This Row],[REF]]-D$13</f>
        <v>-6.0000450000000427E-2</v>
      </c>
      <c r="T103" s="4">
        <f>ABS(Table22342102345[[#This Row],[lab-med]])</f>
        <v>6.0000450000000427E-2</v>
      </c>
      <c r="U103" s="4">
        <f>Table22342102345[[#This Row],[Lesnoff]]-F$13</f>
        <v>-0.40587180259460176</v>
      </c>
      <c r="V103" s="4">
        <f>ABS(Table22342102345[[#This Row],[anl-med]])</f>
        <v>0.40587180259460176</v>
      </c>
      <c r="W103" s="4">
        <f>Table22342102345[[#This Row],[lab-med]]*Table22342102345[[#This Row],[anl-med]]</f>
        <v>2.4352490797987448E-2</v>
      </c>
    </row>
    <row r="104" spans="2:23" x14ac:dyDescent="0.25">
      <c r="B104" s="46">
        <f ca="1">VALUE((Table22342102345[[#This Row],[Column3]]-62))</f>
        <v>42</v>
      </c>
      <c r="C104" t="s">
        <v>110</v>
      </c>
      <c r="D104">
        <v>10.9899998</v>
      </c>
      <c r="E104"/>
      <c r="F104">
        <v>11.2176524376447</v>
      </c>
      <c r="G104" s="29">
        <f>Table22342102345[[#This Row],[Lesnoff]]-Table22342102345[[#This Row],[REF]]</f>
        <v>0.22765263764470056</v>
      </c>
      <c r="H104" s="29">
        <f>Table22342102345[[#This Row],[X-Y]]-E$20</f>
        <v>-0.56008931999802058</v>
      </c>
      <c r="I104" s="29">
        <f>Table22342102345[[#This Row],[Lesnoff]]-E$20</f>
        <v>10.429910480001979</v>
      </c>
      <c r="J104" s="29">
        <f>Table22342102345[[#This Row],[Lesnoff]]*E$21+E$22</f>
        <v>10.534783192229325</v>
      </c>
      <c r="K104" s="56">
        <f>Table22342102345[[#This Row],[Yest]]-Table22342102345[[#This Row],[REF]]</f>
        <v>-0.45521660777067474</v>
      </c>
      <c r="L104" s="56">
        <f>ABS(Table22342102345[[#This Row],[RESyx]])</f>
        <v>0.45521660777067474</v>
      </c>
      <c r="M104" s="29">
        <f>Table22342102345[[#This Row],[Lesnoff]]*E$25+E$26</f>
        <v>10.410219852243731</v>
      </c>
      <c r="N104" s="29">
        <f>Table22342102345[[#This Row],[X-Y]]^2</f>
        <v>5.1825723426589337E-2</v>
      </c>
      <c r="O104" s="57">
        <f>Table22342102345[[#This Row],[yest_rect]]-Table22342102345[[#This Row],[REF]]</f>
        <v>-0.5797799477562684</v>
      </c>
      <c r="P104" s="57">
        <f>Table22342102345[[#This Row],[dif rec]]^2</f>
        <v>0.3361447878202613</v>
      </c>
      <c r="Q104" s="57">
        <f>ABS(Table22342102345[[#This Row],[diff-bias]])</f>
        <v>0.56008931999802058</v>
      </c>
      <c r="R104" s="57">
        <f ca="1">CELL("row",Table22342102345[[#This Row],[Position]])</f>
        <v>104</v>
      </c>
      <c r="S104" s="4">
        <f>Table22342102345[[#This Row],[REF]]-D$13</f>
        <v>-2.000045000000128E-2</v>
      </c>
      <c r="T104" s="4">
        <f>ABS(Table22342102345[[#This Row],[lab-med]])</f>
        <v>2.000045000000128E-2</v>
      </c>
      <c r="U104" s="4">
        <f>Table22342102345[[#This Row],[Lesnoff]]-F$13</f>
        <v>-0.58252101427490111</v>
      </c>
      <c r="V104" s="4">
        <f>ABS(Table22342102345[[#This Row],[anl-med]])</f>
        <v>0.58252101427490111</v>
      </c>
      <c r="W104" s="4">
        <f>Table22342102345[[#This Row],[lab-med]]*Table22342102345[[#This Row],[anl-med]]</f>
        <v>1.1650682419955191E-2</v>
      </c>
    </row>
    <row r="105" spans="2:23" x14ac:dyDescent="0.25">
      <c r="B105" s="46">
        <f ca="1">VALUE((Table22342102345[[#This Row],[Column3]]-62))</f>
        <v>43</v>
      </c>
      <c r="C105" t="s">
        <v>111</v>
      </c>
      <c r="D105">
        <v>11</v>
      </c>
      <c r="E105"/>
      <c r="F105">
        <v>12.9249881218498</v>
      </c>
      <c r="G105" s="29">
        <f>Table22342102345[[#This Row],[Lesnoff]]-Table22342102345[[#This Row],[REF]]</f>
        <v>1.9249881218498004</v>
      </c>
      <c r="H105" s="29">
        <f>Table22342102345[[#This Row],[X-Y]]-E$20</f>
        <v>1.1372461642070792</v>
      </c>
      <c r="I105" s="29">
        <f>Table22342102345[[#This Row],[Lesnoff]]-E$20</f>
        <v>12.137246164207079</v>
      </c>
      <c r="J105" s="29">
        <f>Table22342102345[[#This Row],[Lesnoff]]*E$21+E$22</f>
        <v>11.978646701120297</v>
      </c>
      <c r="K105" s="56">
        <f>Table22342102345[[#This Row],[Yest]]-Table22342102345[[#This Row],[REF]]</f>
        <v>0.97864670112029728</v>
      </c>
      <c r="L105" s="56">
        <f>ABS(Table22342102345[[#This Row],[RESyx]])</f>
        <v>0.97864670112029728</v>
      </c>
      <c r="M105" s="29">
        <f>Table22342102345[[#This Row],[Lesnoff]]*E$25+E$26</f>
        <v>12.167024387006636</v>
      </c>
      <c r="N105" s="29">
        <f>Table22342102345[[#This Row],[X-Y]]^2</f>
        <v>3.705579269262822</v>
      </c>
      <c r="O105" s="57">
        <f>Table22342102345[[#This Row],[yest_rect]]-Table22342102345[[#This Row],[REF]]</f>
        <v>1.1670243870066361</v>
      </c>
      <c r="P105" s="57">
        <f>Table22342102345[[#This Row],[dif rec]]^2</f>
        <v>1.3619459198682149</v>
      </c>
      <c r="Q105" s="57">
        <f>ABS(Table22342102345[[#This Row],[diff-bias]])</f>
        <v>1.1372461642070792</v>
      </c>
      <c r="R105" s="57">
        <f ca="1">CELL("row",Table22342102345[[#This Row],[Position]])</f>
        <v>105</v>
      </c>
      <c r="S105" s="4">
        <f>Table22342102345[[#This Row],[REF]]-D$13</f>
        <v>-1.0000250000000932E-2</v>
      </c>
      <c r="T105" s="4">
        <f>ABS(Table22342102345[[#This Row],[lab-med]])</f>
        <v>1.0000250000000932E-2</v>
      </c>
      <c r="U105" s="4">
        <f>Table22342102345[[#This Row],[Lesnoff]]-F$13</f>
        <v>1.1248146699301991</v>
      </c>
      <c r="V105" s="4">
        <f>ABS(Table22342102345[[#This Row],[anl-med]])</f>
        <v>1.1248146699301991</v>
      </c>
      <c r="W105" s="4">
        <f>Table22342102345[[#This Row],[lab-med]]*Table22342102345[[#This Row],[anl-med]]</f>
        <v>-1.1248427902970521E-2</v>
      </c>
    </row>
    <row r="106" spans="2:23" x14ac:dyDescent="0.25">
      <c r="B106" s="46">
        <f ca="1">VALUE((Table22342102345[[#This Row],[Column3]]-62))</f>
        <v>44</v>
      </c>
      <c r="C106" t="s">
        <v>112</v>
      </c>
      <c r="D106">
        <v>9.9700003000000006</v>
      </c>
      <c r="E106"/>
      <c r="F106">
        <v>11.037172857405899</v>
      </c>
      <c r="G106" s="29">
        <f>Table22342102345[[#This Row],[Lesnoff]]-Table22342102345[[#This Row],[REF]]</f>
        <v>1.0671725574058986</v>
      </c>
      <c r="H106" s="29">
        <f>Table22342102345[[#This Row],[X-Y]]-E$20</f>
        <v>0.27943059976317741</v>
      </c>
      <c r="I106" s="29">
        <f>Table22342102345[[#This Row],[Lesnoff]]-E$20</f>
        <v>10.249430899763178</v>
      </c>
      <c r="J106" s="29">
        <f>Table22342102345[[#This Row],[Lesnoff]]*E$21+E$22</f>
        <v>10.382154811988981</v>
      </c>
      <c r="K106" s="56">
        <f>Table22342102345[[#This Row],[Yest]]-Table22342102345[[#This Row],[REF]]</f>
        <v>0.41215451198898023</v>
      </c>
      <c r="L106" s="56">
        <f>ABS(Table22342102345[[#This Row],[RESyx]])</f>
        <v>0.41215451198898023</v>
      </c>
      <c r="M106" s="29">
        <f>Table22342102345[[#This Row],[Lesnoff]]*E$25+E$26</f>
        <v>10.224511003111788</v>
      </c>
      <c r="N106" s="29">
        <f>Table22342102345[[#This Row],[X-Y]]^2</f>
        <v>1.1388572672802459</v>
      </c>
      <c r="O106" s="57">
        <f>Table22342102345[[#This Row],[yest_rect]]-Table22342102345[[#This Row],[REF]]</f>
        <v>0.25451070311178725</v>
      </c>
      <c r="P106" s="57">
        <f>Table22342102345[[#This Row],[dif rec]]^2</f>
        <v>6.4775697998456311E-2</v>
      </c>
      <c r="Q106" s="57">
        <f>ABS(Table22342102345[[#This Row],[diff-bias]])</f>
        <v>0.27943059976317741</v>
      </c>
      <c r="R106" s="57">
        <f ca="1">CELL("row",Table22342102345[[#This Row],[Position]])</f>
        <v>106</v>
      </c>
      <c r="S106" s="4">
        <f>Table22342102345[[#This Row],[REF]]-D$13</f>
        <v>-1.0399999500000003</v>
      </c>
      <c r="T106" s="4">
        <f>ABS(Table22342102345[[#This Row],[lab-med]])</f>
        <v>1.0399999500000003</v>
      </c>
      <c r="U106" s="4">
        <f>Table22342102345[[#This Row],[Lesnoff]]-F$13</f>
        <v>-0.76300059451370217</v>
      </c>
      <c r="V106" s="4">
        <f>ABS(Table22342102345[[#This Row],[anl-med]])</f>
        <v>0.76300059451370217</v>
      </c>
      <c r="W106" s="4">
        <f>Table22342102345[[#This Row],[lab-med]]*Table22342102345[[#This Row],[anl-med]]</f>
        <v>0.79352058014422078</v>
      </c>
    </row>
    <row r="107" spans="2:23" x14ac:dyDescent="0.25">
      <c r="B107" s="46">
        <f ca="1">VALUE((Table22342102345[[#This Row],[Column3]]-62))</f>
        <v>45</v>
      </c>
      <c r="C107" t="s">
        <v>113</v>
      </c>
      <c r="D107">
        <v>12.899999599999999</v>
      </c>
      <c r="E107"/>
      <c r="F107">
        <v>11.214790672563399</v>
      </c>
      <c r="G107" s="29">
        <f>Table22342102345[[#This Row],[Lesnoff]]-Table22342102345[[#This Row],[REF]]</f>
        <v>-1.6852089274365998</v>
      </c>
      <c r="H107" s="29">
        <f>Table22342102345[[#This Row],[X-Y]]-E$20</f>
        <v>-2.4729508850793209</v>
      </c>
      <c r="I107" s="29">
        <f>Table22342102345[[#This Row],[Lesnoff]]-E$20</f>
        <v>10.427048714920678</v>
      </c>
      <c r="J107" s="29">
        <f>Table22342102345[[#This Row],[Lesnoff]]*E$21+E$22</f>
        <v>10.532363048252874</v>
      </c>
      <c r="K107" s="56">
        <f>Table22342102345[[#This Row],[Yest]]-Table22342102345[[#This Row],[REF]]</f>
        <v>-2.3676365517471254</v>
      </c>
      <c r="L107" s="56">
        <f>ABS(Table22342102345[[#This Row],[RESyx]])</f>
        <v>2.3676365517471254</v>
      </c>
      <c r="M107" s="29">
        <f>Table22342102345[[#This Row],[Lesnoff]]*E$25+E$26</f>
        <v>10.407275169532086</v>
      </c>
      <c r="N107" s="29">
        <f>Table22342102345[[#This Row],[X-Y]]^2</f>
        <v>2.839929129112015</v>
      </c>
      <c r="O107" s="57">
        <f>Table22342102345[[#This Row],[yest_rect]]-Table22342102345[[#This Row],[REF]]</f>
        <v>-2.4927244304679128</v>
      </c>
      <c r="P107" s="57">
        <f>Table22342102345[[#This Row],[dif rec]]^2</f>
        <v>6.2136750862515804</v>
      </c>
      <c r="Q107" s="57">
        <f>ABS(Table22342102345[[#This Row],[diff-bias]])</f>
        <v>2.4729508850793209</v>
      </c>
      <c r="R107" s="57">
        <f ca="1">CELL("row",Table22342102345[[#This Row],[Position]])</f>
        <v>107</v>
      </c>
      <c r="S107" s="4">
        <f>Table22342102345[[#This Row],[REF]]-D$13</f>
        <v>1.8899993499999983</v>
      </c>
      <c r="T107" s="4">
        <f>ABS(Table22342102345[[#This Row],[lab-med]])</f>
        <v>1.8899993499999983</v>
      </c>
      <c r="U107" s="4">
        <f>Table22342102345[[#This Row],[Lesnoff]]-F$13</f>
        <v>-0.58538277935620187</v>
      </c>
      <c r="V107" s="4">
        <f>ABS(Table22342102345[[#This Row],[anl-med]])</f>
        <v>0.58538277935620187</v>
      </c>
      <c r="W107" s="4">
        <f>Table22342102345[[#This Row],[lab-med]]*Table22342102345[[#This Row],[anl-med]]</f>
        <v>-1.1063730724844139</v>
      </c>
    </row>
    <row r="108" spans="2:23" x14ac:dyDescent="0.25">
      <c r="B108" s="46">
        <f ca="1">VALUE((Table22342102345[[#This Row],[Column3]]-62))</f>
        <v>46</v>
      </c>
      <c r="C108" t="s">
        <v>114</v>
      </c>
      <c r="D108">
        <v>10.529999699999999</v>
      </c>
      <c r="E108"/>
      <c r="F108">
        <v>10.693365367487999</v>
      </c>
      <c r="G108" s="29">
        <f>Table22342102345[[#This Row],[Lesnoff]]-Table22342102345[[#This Row],[REF]]</f>
        <v>0.16336566748799974</v>
      </c>
      <c r="H108" s="29">
        <f>Table22342102345[[#This Row],[X-Y]]-E$20</f>
        <v>-0.6243762901547214</v>
      </c>
      <c r="I108" s="29">
        <f>Table22342102345[[#This Row],[Lesnoff]]-E$20</f>
        <v>9.905623409845278</v>
      </c>
      <c r="J108" s="29">
        <f>Table22342102345[[#This Row],[Lesnoff]]*E$21+E$22</f>
        <v>10.091402915119341</v>
      </c>
      <c r="K108" s="56">
        <f>Table22342102345[[#This Row],[Yest]]-Table22342102345[[#This Row],[REF]]</f>
        <v>-0.43859678488065867</v>
      </c>
      <c r="L108" s="56">
        <f>ABS(Table22342102345[[#This Row],[RESyx]])</f>
        <v>0.43859678488065867</v>
      </c>
      <c r="M108" s="29">
        <f>Table22342102345[[#This Row],[Lesnoff]]*E$25+E$26</f>
        <v>9.8707419329980617</v>
      </c>
      <c r="N108" s="29">
        <f>Table22342102345[[#This Row],[X-Y]]^2</f>
        <v>2.6688341313799695E-2</v>
      </c>
      <c r="O108" s="57">
        <f>Table22342102345[[#This Row],[yest_rect]]-Table22342102345[[#This Row],[REF]]</f>
        <v>-0.65925776700193772</v>
      </c>
      <c r="P108" s="57">
        <f>Table22342102345[[#This Row],[dif rec]]^2</f>
        <v>0.43462080335238118</v>
      </c>
      <c r="Q108" s="57">
        <f>ABS(Table22342102345[[#This Row],[diff-bias]])</f>
        <v>0.6243762901547214</v>
      </c>
      <c r="R108" s="57">
        <f ca="1">CELL("row",Table22342102345[[#This Row],[Position]])</f>
        <v>108</v>
      </c>
      <c r="S108" s="4">
        <f>Table22342102345[[#This Row],[REF]]-D$13</f>
        <v>-0.48000055000000152</v>
      </c>
      <c r="T108" s="4">
        <f>ABS(Table22342102345[[#This Row],[lab-med]])</f>
        <v>0.48000055000000152</v>
      </c>
      <c r="U108" s="4">
        <f>Table22342102345[[#This Row],[Lesnoff]]-F$13</f>
        <v>-1.1068080844316022</v>
      </c>
      <c r="V108" s="4">
        <f>ABS(Table22342102345[[#This Row],[anl-med]])</f>
        <v>1.1068080844316022</v>
      </c>
      <c r="W108" s="4">
        <f>Table22342102345[[#This Row],[lab-med]]*Table22342102345[[#This Row],[anl-med]]</f>
        <v>0.53126848927161718</v>
      </c>
    </row>
    <row r="109" spans="2:23" x14ac:dyDescent="0.25">
      <c r="B109" s="46">
        <f ca="1">VALUE((Table22342102345[[#This Row],[Column3]]-62))</f>
        <v>47</v>
      </c>
      <c r="C109" t="s">
        <v>115</v>
      </c>
      <c r="D109">
        <v>11.0600004</v>
      </c>
      <c r="E109"/>
      <c r="F109">
        <v>11.910913904821699</v>
      </c>
      <c r="G109" s="29">
        <f>Table22342102345[[#This Row],[Lesnoff]]-Table22342102345[[#This Row],[REF]]</f>
        <v>0.85091350482169936</v>
      </c>
      <c r="H109" s="29">
        <f>Table22342102345[[#This Row],[X-Y]]-E$20</f>
        <v>6.3171547178978216E-2</v>
      </c>
      <c r="I109" s="29">
        <f>Table22342102345[[#This Row],[Lesnoff]]-E$20</f>
        <v>11.123171947178978</v>
      </c>
      <c r="J109" s="29">
        <f>Table22342102345[[#This Row],[Lesnoff]]*E$21+E$22</f>
        <v>11.121062120173784</v>
      </c>
      <c r="K109" s="56">
        <f>Table22342102345[[#This Row],[Yest]]-Table22342102345[[#This Row],[REF]]</f>
        <v>6.1061720173784195E-2</v>
      </c>
      <c r="L109" s="56">
        <f>ABS(Table22342102345[[#This Row],[RESyx]])</f>
        <v>6.1061720173784195E-2</v>
      </c>
      <c r="M109" s="29">
        <f>Table22342102345[[#This Row],[Lesnoff]]*E$25+E$26</f>
        <v>11.123568082811511</v>
      </c>
      <c r="N109" s="29">
        <f>Table22342102345[[#This Row],[X-Y]]^2</f>
        <v>0.72405379268794823</v>
      </c>
      <c r="O109" s="57">
        <f>Table22342102345[[#This Row],[yest_rect]]-Table22342102345[[#This Row],[REF]]</f>
        <v>6.3567682811511261E-2</v>
      </c>
      <c r="P109" s="57">
        <f>Table22342102345[[#This Row],[dif rec]]^2</f>
        <v>4.0408502980249046E-3</v>
      </c>
      <c r="Q109" s="57">
        <f>ABS(Table22342102345[[#This Row],[diff-bias]])</f>
        <v>6.3171547178978216E-2</v>
      </c>
      <c r="R109" s="57">
        <f ca="1">CELL("row",Table22342102345[[#This Row],[Position]])</f>
        <v>109</v>
      </c>
      <c r="S109" s="4">
        <f>Table22342102345[[#This Row],[REF]]-D$13</f>
        <v>5.0000149999998911E-2</v>
      </c>
      <c r="T109" s="4">
        <f>ABS(Table22342102345[[#This Row],[lab-med]])</f>
        <v>5.0000149999998911E-2</v>
      </c>
      <c r="U109" s="4">
        <f>Table22342102345[[#This Row],[Lesnoff]]-F$13</f>
        <v>0.11074045290209789</v>
      </c>
      <c r="V109" s="4">
        <f>ABS(Table22342102345[[#This Row],[anl-med]])</f>
        <v>0.11074045290209789</v>
      </c>
      <c r="W109" s="4">
        <f>Table22342102345[[#This Row],[lab-med]]*Table22342102345[[#This Row],[anl-med]]</f>
        <v>5.5370392561727086E-3</v>
      </c>
    </row>
    <row r="110" spans="2:23" x14ac:dyDescent="0.25">
      <c r="B110" s="46">
        <f ca="1">VALUE((Table22342102345[[#This Row],[Column3]]-62))</f>
        <v>48</v>
      </c>
      <c r="C110" t="s">
        <v>116</v>
      </c>
      <c r="D110">
        <v>9.1000004000000008</v>
      </c>
      <c r="E110"/>
      <c r="F110">
        <v>10.9162378330621</v>
      </c>
      <c r="G110" s="29">
        <f>Table22342102345[[#This Row],[Lesnoff]]-Table22342102345[[#This Row],[REF]]</f>
        <v>1.8162374330620992</v>
      </c>
      <c r="H110" s="29">
        <f>Table22342102345[[#This Row],[X-Y]]-E$20</f>
        <v>1.028495475419378</v>
      </c>
      <c r="I110" s="29">
        <f>Table22342102345[[#This Row],[Lesnoff]]-E$20</f>
        <v>10.128495875419379</v>
      </c>
      <c r="J110" s="29">
        <f>Table22342102345[[#This Row],[Lesnoff]]*E$21+E$22</f>
        <v>10.279882206658794</v>
      </c>
      <c r="K110" s="56">
        <f>Table22342102345[[#This Row],[Yest]]-Table22342102345[[#This Row],[REF]]</f>
        <v>1.1798818066587931</v>
      </c>
      <c r="L110" s="56">
        <f>ABS(Table22342102345[[#This Row],[RESyx]])</f>
        <v>1.1798818066587931</v>
      </c>
      <c r="M110" s="29">
        <f>Table22342102345[[#This Row],[Lesnoff]]*E$25+E$26</f>
        <v>10.100071971499931</v>
      </c>
      <c r="N110" s="29">
        <f>Table22342102345[[#This Row],[X-Y]]^2</f>
        <v>3.2987184132560032</v>
      </c>
      <c r="O110" s="57">
        <f>Table22342102345[[#This Row],[yest_rect]]-Table22342102345[[#This Row],[REF]]</f>
        <v>1.0000715714999302</v>
      </c>
      <c r="P110" s="57">
        <f>Table22342102345[[#This Row],[dif rec]]^2</f>
        <v>1.00014314812234</v>
      </c>
      <c r="Q110" s="57">
        <f>ABS(Table22342102345[[#This Row],[diff-bias]])</f>
        <v>1.028495475419378</v>
      </c>
      <c r="R110" s="57">
        <f ca="1">CELL("row",Table22342102345[[#This Row],[Position]])</f>
        <v>110</v>
      </c>
      <c r="S110" s="4">
        <f>Table22342102345[[#This Row],[REF]]-D$13</f>
        <v>-1.9099998500000002</v>
      </c>
      <c r="T110" s="4">
        <f>ABS(Table22342102345[[#This Row],[lab-med]])</f>
        <v>1.9099998500000002</v>
      </c>
      <c r="U110" s="4">
        <f>Table22342102345[[#This Row],[Lesnoff]]-F$13</f>
        <v>-0.88393561885750138</v>
      </c>
      <c r="V110" s="4">
        <f>ABS(Table22342102345[[#This Row],[anl-med]])</f>
        <v>0.88393561885750138</v>
      </c>
      <c r="W110" s="4">
        <f>Table22342102345[[#This Row],[lab-med]]*Table22342102345[[#This Row],[anl-med]]</f>
        <v>1.6883168994274849</v>
      </c>
    </row>
    <row r="111" spans="2:23" x14ac:dyDescent="0.25">
      <c r="B111" s="46">
        <f ca="1">VALUE((Table22342102345[[#This Row],[Column3]]-62))</f>
        <v>49</v>
      </c>
      <c r="C111" t="s">
        <v>117</v>
      </c>
      <c r="D111">
        <v>8.9700003000000006</v>
      </c>
      <c r="E111"/>
      <c r="F111">
        <v>11.0607987818802</v>
      </c>
      <c r="G111" s="29">
        <f>Table22342102345[[#This Row],[Lesnoff]]-Table22342102345[[#This Row],[REF]]</f>
        <v>2.0907984818801992</v>
      </c>
      <c r="H111" s="29">
        <f>Table22342102345[[#This Row],[X-Y]]-E$20</f>
        <v>1.3030565242374781</v>
      </c>
      <c r="I111" s="29">
        <f>Table22342102345[[#This Row],[Lesnoff]]-E$20</f>
        <v>10.273056824237479</v>
      </c>
      <c r="J111" s="29">
        <f>Table22342102345[[#This Row],[Lesnoff]]*E$21+E$22</f>
        <v>10.402134837316067</v>
      </c>
      <c r="K111" s="56">
        <f>Table22342102345[[#This Row],[Yest]]-Table22342102345[[#This Row],[REF]]</f>
        <v>1.4321345373160668</v>
      </c>
      <c r="L111" s="56">
        <f>ABS(Table22342102345[[#This Row],[RESyx]])</f>
        <v>1.4321345373160668</v>
      </c>
      <c r="M111" s="29">
        <f>Table22342102345[[#This Row],[Lesnoff]]*E$25+E$26</f>
        <v>10.248821472129919</v>
      </c>
      <c r="N111" s="29">
        <f>Table22342102345[[#This Row],[X-Y]]^2</f>
        <v>4.3714382918325461</v>
      </c>
      <c r="O111" s="57">
        <f>Table22342102345[[#This Row],[yest_rect]]-Table22342102345[[#This Row],[REF]]</f>
        <v>1.2788211721299181</v>
      </c>
      <c r="P111" s="57">
        <f>Table22342102345[[#This Row],[dif rec]]^2</f>
        <v>1.6353835902877376</v>
      </c>
      <c r="Q111" s="57">
        <f>ABS(Table22342102345[[#This Row],[diff-bias]])</f>
        <v>1.3030565242374781</v>
      </c>
      <c r="R111" s="57">
        <f ca="1">CELL("row",Table22342102345[[#This Row],[Position]])</f>
        <v>111</v>
      </c>
      <c r="S111" s="4">
        <f>Table22342102345[[#This Row],[REF]]-D$13</f>
        <v>-2.0399999500000003</v>
      </c>
      <c r="T111" s="4">
        <f>ABS(Table22342102345[[#This Row],[lab-med]])</f>
        <v>2.0399999500000003</v>
      </c>
      <c r="U111" s="4">
        <f>Table22342102345[[#This Row],[Lesnoff]]-F$13</f>
        <v>-0.73937467003940149</v>
      </c>
      <c r="V111" s="4">
        <f>ABS(Table22342102345[[#This Row],[anl-med]])</f>
        <v>0.73937467003940149</v>
      </c>
      <c r="W111" s="4">
        <f>Table22342102345[[#This Row],[lab-med]]*Table22342102345[[#This Row],[anl-med]]</f>
        <v>1.5083242899116458</v>
      </c>
    </row>
    <row r="112" spans="2:23" x14ac:dyDescent="0.25">
      <c r="B112" s="46">
        <f ca="1">VALUE((Table22342102345[[#This Row],[Column3]]-62))</f>
        <v>50</v>
      </c>
      <c r="C112" t="s">
        <v>118</v>
      </c>
      <c r="D112">
        <v>11.1199999</v>
      </c>
      <c r="E112"/>
      <c r="F112">
        <v>11.097746896402001</v>
      </c>
      <c r="G112" s="29">
        <f>Table22342102345[[#This Row],[Lesnoff]]-Table22342102345[[#This Row],[REF]]</f>
        <v>-2.225300359799931E-2</v>
      </c>
      <c r="H112" s="29">
        <f>Table22342102345[[#This Row],[X-Y]]-E$20</f>
        <v>-0.80999496124072046</v>
      </c>
      <c r="I112" s="29">
        <f>Table22342102345[[#This Row],[Lesnoff]]-E$20</f>
        <v>10.310004938759279</v>
      </c>
      <c r="J112" s="29">
        <f>Table22342102345[[#This Row],[Lesnoff]]*E$21+E$22</f>
        <v>10.433381202500071</v>
      </c>
      <c r="K112" s="56">
        <f>Table22342102345[[#This Row],[Yest]]-Table22342102345[[#This Row],[REF]]</f>
        <v>-0.6866186974999291</v>
      </c>
      <c r="L112" s="56">
        <f>ABS(Table22342102345[[#This Row],[RESyx]])</f>
        <v>0.6866186974999291</v>
      </c>
      <c r="M112" s="29">
        <f>Table22342102345[[#This Row],[Lesnoff]]*E$25+E$26</f>
        <v>10.28684013228172</v>
      </c>
      <c r="N112" s="29">
        <f>Table22342102345[[#This Row],[X-Y]]^2</f>
        <v>4.9519616913257019E-4</v>
      </c>
      <c r="O112" s="57">
        <f>Table22342102345[[#This Row],[yest_rect]]-Table22342102345[[#This Row],[REF]]</f>
        <v>-0.83315976771828026</v>
      </c>
      <c r="P112" s="57">
        <f>Table22342102345[[#This Row],[dif rec]]^2</f>
        <v>0.69415519854437868</v>
      </c>
      <c r="Q112" s="57">
        <f>ABS(Table22342102345[[#This Row],[diff-bias]])</f>
        <v>0.80999496124072046</v>
      </c>
      <c r="R112" s="57">
        <f ca="1">CELL("row",Table22342102345[[#This Row],[Position]])</f>
        <v>112</v>
      </c>
      <c r="S112" s="4">
        <f>Table22342102345[[#This Row],[REF]]-D$13</f>
        <v>0.10999964999999889</v>
      </c>
      <c r="T112" s="4">
        <f>ABS(Table22342102345[[#This Row],[lab-med]])</f>
        <v>0.10999964999999889</v>
      </c>
      <c r="U112" s="4">
        <f>Table22342102345[[#This Row],[Lesnoff]]-F$13</f>
        <v>-0.7024265555176008</v>
      </c>
      <c r="V112" s="4">
        <f>ABS(Table22342102345[[#This Row],[anl-med]])</f>
        <v>0.7024265555176008</v>
      </c>
      <c r="W112" s="4">
        <f>Table22342102345[[#This Row],[lab-med]]*Table22342102345[[#This Row],[anl-med]]</f>
        <v>-7.7266675257640874E-2</v>
      </c>
    </row>
    <row r="113" spans="2:23" x14ac:dyDescent="0.25">
      <c r="B113" s="46">
        <f ca="1">VALUE((Table22342102345[[#This Row],[Column3]]-62))</f>
        <v>51</v>
      </c>
      <c r="C113" t="s">
        <v>119</v>
      </c>
      <c r="D113">
        <v>9.2299994999999999</v>
      </c>
      <c r="E113"/>
      <c r="F113">
        <v>9.48316716733585</v>
      </c>
      <c r="G113" s="29">
        <f>Table22342102345[[#This Row],[Lesnoff]]-Table22342102345[[#This Row],[REF]]</f>
        <v>0.25316766733585006</v>
      </c>
      <c r="H113" s="29">
        <f>Table22342102345[[#This Row],[X-Y]]-E$20</f>
        <v>-0.53457429030687109</v>
      </c>
      <c r="I113" s="29">
        <f>Table22342102345[[#This Row],[Lesnoff]]-E$20</f>
        <v>8.6954252096931288</v>
      </c>
      <c r="J113" s="29">
        <f>Table22342102345[[#This Row],[Lesnoff]]*E$21+E$22</f>
        <v>9.0679597598626422</v>
      </c>
      <c r="K113" s="56">
        <f>Table22342102345[[#This Row],[Yest]]-Table22342102345[[#This Row],[REF]]</f>
        <v>-0.16203974013735767</v>
      </c>
      <c r="L113" s="56">
        <f>ABS(Table22342102345[[#This Row],[RESyx]])</f>
        <v>0.16203974013735767</v>
      </c>
      <c r="M113" s="29">
        <f>Table22342102345[[#This Row],[Lesnoff]]*E$25+E$26</f>
        <v>8.6254790912159791</v>
      </c>
      <c r="N113" s="29">
        <f>Table22342102345[[#This Row],[X-Y]]^2</f>
        <v>6.4093867784275643E-2</v>
      </c>
      <c r="O113" s="57">
        <f>Table22342102345[[#This Row],[yest_rect]]-Table22342102345[[#This Row],[REF]]</f>
        <v>-0.6045204087840208</v>
      </c>
      <c r="P113" s="57">
        <f>Table22342102345[[#This Row],[dif rec]]^2</f>
        <v>0.3654449246363996</v>
      </c>
      <c r="Q113" s="57">
        <f>ABS(Table22342102345[[#This Row],[diff-bias]])</f>
        <v>0.53457429030687109</v>
      </c>
      <c r="R113" s="57">
        <f ca="1">CELL("row",Table22342102345[[#This Row],[Position]])</f>
        <v>113</v>
      </c>
      <c r="S113" s="4">
        <f>Table22342102345[[#This Row],[REF]]-D$13</f>
        <v>-1.780000750000001</v>
      </c>
      <c r="T113" s="4">
        <f>ABS(Table22342102345[[#This Row],[lab-med]])</f>
        <v>1.780000750000001</v>
      </c>
      <c r="U113" s="4">
        <f>Table22342102345[[#This Row],[Lesnoff]]-F$13</f>
        <v>-2.3170062845837514</v>
      </c>
      <c r="V113" s="4">
        <f>ABS(Table22342102345[[#This Row],[anl-med]])</f>
        <v>2.3170062845837514</v>
      </c>
      <c r="W113" s="4">
        <f>Table22342102345[[#This Row],[lab-med]]*Table22342102345[[#This Row],[anl-med]]</f>
        <v>4.124272924313793</v>
      </c>
    </row>
    <row r="114" spans="2:23" x14ac:dyDescent="0.25">
      <c r="B114" s="46">
        <f ca="1">VALUE((Table22342102345[[#This Row],[Column3]]-62))</f>
        <v>52</v>
      </c>
      <c r="C114" t="s">
        <v>120</v>
      </c>
      <c r="D114">
        <v>11.2299995</v>
      </c>
      <c r="E114"/>
      <c r="F114">
        <v>12.2355693573928</v>
      </c>
      <c r="G114" s="29">
        <f>Table22342102345[[#This Row],[Lesnoff]]-Table22342102345[[#This Row],[REF]]</f>
        <v>1.0055698573927998</v>
      </c>
      <c r="H114" s="29">
        <f>Table22342102345[[#This Row],[X-Y]]-E$20</f>
        <v>0.21782789975007866</v>
      </c>
      <c r="I114" s="29">
        <f>Table22342102345[[#This Row],[Lesnoff]]-E$20</f>
        <v>11.447827399750079</v>
      </c>
      <c r="J114" s="29">
        <f>Table22342102345[[#This Row],[Lesnoff]]*E$21+E$22</f>
        <v>11.395617478716611</v>
      </c>
      <c r="K114" s="56">
        <f>Table22342102345[[#This Row],[Yest]]-Table22342102345[[#This Row],[REF]]</f>
        <v>0.16561797871661099</v>
      </c>
      <c r="L114" s="56">
        <f>ABS(Table22342102345[[#This Row],[RESyx]])</f>
        <v>0.16561797871661099</v>
      </c>
      <c r="M114" s="29">
        <f>Table22342102345[[#This Row],[Lesnoff]]*E$25+E$26</f>
        <v>11.457630198767319</v>
      </c>
      <c r="N114" s="29">
        <f>Table22342102345[[#This Row],[X-Y]]^2</f>
        <v>1.0111707380969757</v>
      </c>
      <c r="O114" s="57">
        <f>Table22342102345[[#This Row],[yest_rect]]-Table22342102345[[#This Row],[REF]]</f>
        <v>0.22763069876731912</v>
      </c>
      <c r="P114" s="57">
        <f>Table22342102345[[#This Row],[dif rec]]^2</f>
        <v>5.1815735021297979E-2</v>
      </c>
      <c r="Q114" s="57">
        <f>ABS(Table22342102345[[#This Row],[diff-bias]])</f>
        <v>0.21782789975007866</v>
      </c>
      <c r="R114" s="57">
        <f ca="1">CELL("row",Table22342102345[[#This Row],[Position]])</f>
        <v>114</v>
      </c>
      <c r="S114" s="4">
        <f>Table22342102345[[#This Row],[REF]]-D$13</f>
        <v>0.21999924999999898</v>
      </c>
      <c r="T114" s="4">
        <f>ABS(Table22342102345[[#This Row],[lab-med]])</f>
        <v>0.21999924999999898</v>
      </c>
      <c r="U114" s="4">
        <f>Table22342102345[[#This Row],[Lesnoff]]-F$13</f>
        <v>0.4353959054731984</v>
      </c>
      <c r="V114" s="4">
        <f>ABS(Table22342102345[[#This Row],[anl-med]])</f>
        <v>0.4353959054731984</v>
      </c>
      <c r="W114" s="4">
        <f>Table22342102345[[#This Row],[lab-med]]*Table22342102345[[#This Row],[anl-med]]</f>
        <v>9.5786772657174099E-2</v>
      </c>
    </row>
    <row r="115" spans="2:23" x14ac:dyDescent="0.25">
      <c r="B115" s="46">
        <f ca="1">VALUE((Table22342102345[[#This Row],[Column3]]-62))</f>
        <v>53</v>
      </c>
      <c r="C115" t="s">
        <v>121</v>
      </c>
      <c r="D115">
        <v>11.2299995</v>
      </c>
      <c r="E115"/>
      <c r="F115">
        <v>12.2580122237392</v>
      </c>
      <c r="G115" s="29">
        <f>Table22342102345[[#This Row],[Lesnoff]]-Table22342102345[[#This Row],[REF]]</f>
        <v>1.0280127237392005</v>
      </c>
      <c r="H115" s="29">
        <f>Table22342102345[[#This Row],[X-Y]]-E$20</f>
        <v>0.24027076609647935</v>
      </c>
      <c r="I115" s="29">
        <f>Table22342102345[[#This Row],[Lesnoff]]-E$20</f>
        <v>11.470270266096479</v>
      </c>
      <c r="J115" s="29">
        <f>Table22342102345[[#This Row],[Lesnoff]]*E$21+E$22</f>
        <v>11.414597012766222</v>
      </c>
      <c r="K115" s="56">
        <f>Table22342102345[[#This Row],[Yest]]-Table22342102345[[#This Row],[REF]]</f>
        <v>0.18459751276622249</v>
      </c>
      <c r="L115" s="56">
        <f>ABS(Table22342102345[[#This Row],[RESyx]])</f>
        <v>0.18459751276622249</v>
      </c>
      <c r="M115" s="29">
        <f>Table22342102345[[#This Row],[Lesnoff]]*E$25+E$26</f>
        <v>11.480723331380423</v>
      </c>
      <c r="N115" s="29">
        <f>Table22342102345[[#This Row],[X-Y]]^2</f>
        <v>1.0568101601696898</v>
      </c>
      <c r="O115" s="57">
        <f>Table22342102345[[#This Row],[yest_rect]]-Table22342102345[[#This Row],[REF]]</f>
        <v>0.25072383138042298</v>
      </c>
      <c r="P115" s="57">
        <f>Table22342102345[[#This Row],[dif rec]]^2</f>
        <v>6.286243962207877E-2</v>
      </c>
      <c r="Q115" s="57">
        <f>ABS(Table22342102345[[#This Row],[diff-bias]])</f>
        <v>0.24027076609647935</v>
      </c>
      <c r="R115" s="57">
        <f ca="1">CELL("row",Table22342102345[[#This Row],[Position]])</f>
        <v>115</v>
      </c>
      <c r="S115" s="4">
        <f>Table22342102345[[#This Row],[REF]]-D$13</f>
        <v>0.21999924999999898</v>
      </c>
      <c r="T115" s="4">
        <f>ABS(Table22342102345[[#This Row],[lab-med]])</f>
        <v>0.21999924999999898</v>
      </c>
      <c r="U115" s="4">
        <f>Table22342102345[[#This Row],[Lesnoff]]-F$13</f>
        <v>0.45783877181959909</v>
      </c>
      <c r="V115" s="4">
        <f>ABS(Table22342102345[[#This Row],[anl-med]])</f>
        <v>0.45783877181959909</v>
      </c>
      <c r="W115" s="4">
        <f>Table22342102345[[#This Row],[lab-med]]*Table22342102345[[#This Row],[anl-med]]</f>
        <v>0.10072418642123247</v>
      </c>
    </row>
    <row r="116" spans="2:23" x14ac:dyDescent="0.25">
      <c r="B116" s="46">
        <f ca="1">VALUE((Table22342102345[[#This Row],[Column3]]-62))</f>
        <v>54</v>
      </c>
      <c r="C116" t="s">
        <v>122</v>
      </c>
      <c r="D116">
        <v>11.2399998</v>
      </c>
      <c r="E116"/>
      <c r="F116">
        <v>13.3442984</v>
      </c>
      <c r="G116" s="29">
        <f>Table22342102345[[#This Row],[Lesnoff]]-Table22342102345[[#This Row],[REF]]</f>
        <v>2.1042985999999999</v>
      </c>
      <c r="H116" s="29">
        <f>Table22342102345[[#This Row],[X-Y]]-E$20</f>
        <v>1.3165566423572788</v>
      </c>
      <c r="I116" s="29">
        <f>Table22342102345[[#This Row],[Lesnoff]]-E$20</f>
        <v>12.556556442357278</v>
      </c>
      <c r="J116" s="29">
        <f>Table22342102345[[#This Row],[Lesnoff]]*E$21+E$22</f>
        <v>12.333249966971833</v>
      </c>
      <c r="K116" s="56">
        <f>Table22342102345[[#This Row],[Yest]]-Table22342102345[[#This Row],[REF]]</f>
        <v>1.0932501669718331</v>
      </c>
      <c r="L116" s="56">
        <f>ABS(Table22342102345[[#This Row],[RESyx]])</f>
        <v>1.0932501669718331</v>
      </c>
      <c r="M116" s="29">
        <f>Table22342102345[[#This Row],[Lesnoff]]*E$25+E$26</f>
        <v>12.598483885535147</v>
      </c>
      <c r="N116" s="29">
        <f>Table22342102345[[#This Row],[X-Y]]^2</f>
        <v>4.4280725979619593</v>
      </c>
      <c r="O116" s="57">
        <f>Table22342102345[[#This Row],[yest_rect]]-Table22342102345[[#This Row],[REF]]</f>
        <v>1.3584840855351477</v>
      </c>
      <c r="P116" s="57">
        <f>Table22342102345[[#This Row],[dif rec]]^2</f>
        <v>1.8454790106522663</v>
      </c>
      <c r="Q116" s="57">
        <f>ABS(Table22342102345[[#This Row],[diff-bias]])</f>
        <v>1.3165566423572788</v>
      </c>
      <c r="R116" s="57">
        <f ca="1">CELL("row",Table22342102345[[#This Row],[Position]])</f>
        <v>116</v>
      </c>
      <c r="S116" s="4">
        <f>Table22342102345[[#This Row],[REF]]-D$13</f>
        <v>0.22999954999999872</v>
      </c>
      <c r="T116" s="4">
        <f>ABS(Table22342102345[[#This Row],[lab-med]])</f>
        <v>0.22999954999999872</v>
      </c>
      <c r="U116" s="4">
        <f>Table22342102345[[#This Row],[Lesnoff]]-F$13</f>
        <v>1.5441249480803982</v>
      </c>
      <c r="V116" s="4">
        <f>ABS(Table22342102345[[#This Row],[anl-med]])</f>
        <v>1.5441249480803982</v>
      </c>
      <c r="W116" s="4">
        <f>Table22342102345[[#This Row],[lab-med]]*Table22342102345[[#This Row],[anl-med]]</f>
        <v>0.35514804320226301</v>
      </c>
    </row>
    <row r="117" spans="2:23" x14ac:dyDescent="0.25">
      <c r="B117" s="46">
        <f ca="1">VALUE((Table22342102345[[#This Row],[Column3]]-62))</f>
        <v>55</v>
      </c>
      <c r="C117" t="s">
        <v>123</v>
      </c>
      <c r="D117">
        <v>12.5600004</v>
      </c>
      <c r="E117"/>
      <c r="F117">
        <v>13.646267104922099</v>
      </c>
      <c r="G117" s="29">
        <f>Table22342102345[[#This Row],[Lesnoff]]-Table22342102345[[#This Row],[REF]]</f>
        <v>1.0862667049220995</v>
      </c>
      <c r="H117" s="29">
        <f>Table22342102345[[#This Row],[X-Y]]-E$20</f>
        <v>0.29852474727937839</v>
      </c>
      <c r="I117" s="29">
        <f>Table22342102345[[#This Row],[Lesnoff]]-E$20</f>
        <v>12.858525147279378</v>
      </c>
      <c r="J117" s="29">
        <f>Table22342102345[[#This Row],[Lesnoff]]*E$21+E$22</f>
        <v>12.588619545372627</v>
      </c>
      <c r="K117" s="56">
        <f>Table22342102345[[#This Row],[Yest]]-Table22342102345[[#This Row],[REF]]</f>
        <v>2.8619145372626775E-2</v>
      </c>
      <c r="L117" s="56">
        <f>ABS(Table22342102345[[#This Row],[RESyx]])</f>
        <v>2.8619145372626775E-2</v>
      </c>
      <c r="M117" s="29">
        <f>Table22342102345[[#This Row],[Lesnoff]]*E$25+E$26</f>
        <v>12.909201921286046</v>
      </c>
      <c r="N117" s="29">
        <f>Table22342102345[[#This Row],[X-Y]]^2</f>
        <v>1.1799753542223157</v>
      </c>
      <c r="O117" s="57">
        <f>Table22342102345[[#This Row],[yest_rect]]-Table22342102345[[#This Row],[REF]]</f>
        <v>0.3492015212860462</v>
      </c>
      <c r="P117" s="57">
        <f>Table22342102345[[#This Row],[dif rec]]^2</f>
        <v>0.12194170246848898</v>
      </c>
      <c r="Q117" s="57">
        <f>ABS(Table22342102345[[#This Row],[diff-bias]])</f>
        <v>0.29852474727937839</v>
      </c>
      <c r="R117" s="57">
        <f ca="1">CELL("row",Table22342102345[[#This Row],[Position]])</f>
        <v>117</v>
      </c>
      <c r="S117" s="4">
        <f>Table22342102345[[#This Row],[REF]]-D$13</f>
        <v>1.5500001499999989</v>
      </c>
      <c r="T117" s="4">
        <f>ABS(Table22342102345[[#This Row],[lab-med]])</f>
        <v>1.5500001499999989</v>
      </c>
      <c r="U117" s="4">
        <f>Table22342102345[[#This Row],[Lesnoff]]-F$13</f>
        <v>1.8460936530024981</v>
      </c>
      <c r="V117" s="4">
        <f>ABS(Table22342102345[[#This Row],[anl-med]])</f>
        <v>1.8460936530024981</v>
      </c>
      <c r="W117" s="4">
        <f>Table22342102345[[#This Row],[lab-med]]*Table22342102345[[#This Row],[anl-med]]</f>
        <v>2.8614454390679178</v>
      </c>
    </row>
    <row r="118" spans="2:23" x14ac:dyDescent="0.25">
      <c r="B118" s="46">
        <f ca="1">VALUE((Table22342102345[[#This Row],[Column3]]-62))</f>
        <v>56</v>
      </c>
      <c r="C118" t="s">
        <v>124</v>
      </c>
      <c r="D118">
        <v>10.0699997</v>
      </c>
      <c r="E118"/>
      <c r="F118">
        <v>10.9147186611638</v>
      </c>
      <c r="G118" s="29">
        <f>Table22342102345[[#This Row],[Lesnoff]]-Table22342102345[[#This Row],[REF]]</f>
        <v>0.84471896116379952</v>
      </c>
      <c r="H118" s="29">
        <f>Table22342102345[[#This Row],[X-Y]]-E$20</f>
        <v>5.6977003521078373E-2</v>
      </c>
      <c r="I118" s="29">
        <f>Table22342102345[[#This Row],[Lesnoff]]-E$20</f>
        <v>10.126976703521079</v>
      </c>
      <c r="J118" s="29">
        <f>Table22342102345[[#This Row],[Lesnoff]]*E$21+E$22</f>
        <v>10.278597469926597</v>
      </c>
      <c r="K118" s="56">
        <f>Table22342102345[[#This Row],[Yest]]-Table22342102345[[#This Row],[REF]]</f>
        <v>0.2085977699265964</v>
      </c>
      <c r="L118" s="56">
        <f>ABS(Table22342102345[[#This Row],[RESyx]])</f>
        <v>0.2085977699265964</v>
      </c>
      <c r="M118" s="29">
        <f>Table22342102345[[#This Row],[Lesnoff]]*E$25+E$26</f>
        <v>10.098508782664421</v>
      </c>
      <c r="N118" s="29">
        <f>Table22342102345[[#This Row],[X-Y]]^2</f>
        <v>0.71355012334964862</v>
      </c>
      <c r="O118" s="57">
        <f>Table22342102345[[#This Row],[yest_rect]]-Table22342102345[[#This Row],[REF]]</f>
        <v>2.850908266442076E-2</v>
      </c>
      <c r="P118" s="57">
        <f>Table22342102345[[#This Row],[dif rec]]^2</f>
        <v>8.1276779436677629E-4</v>
      </c>
      <c r="Q118" s="57">
        <f>ABS(Table22342102345[[#This Row],[diff-bias]])</f>
        <v>5.6977003521078373E-2</v>
      </c>
      <c r="R118" s="57">
        <f ca="1">CELL("row",Table22342102345[[#This Row],[Position]])</f>
        <v>118</v>
      </c>
      <c r="S118" s="4">
        <f>Table22342102345[[#This Row],[REF]]-D$13</f>
        <v>-0.9400005500000006</v>
      </c>
      <c r="T118" s="4">
        <f>ABS(Table22342102345[[#This Row],[lab-med]])</f>
        <v>0.9400005500000006</v>
      </c>
      <c r="U118" s="4">
        <f>Table22342102345[[#This Row],[Lesnoff]]-F$13</f>
        <v>-0.88545479075580147</v>
      </c>
      <c r="V118" s="4">
        <f>ABS(Table22342102345[[#This Row],[anl-med]])</f>
        <v>0.88545479075580147</v>
      </c>
      <c r="W118" s="4">
        <f>Table22342102345[[#This Row],[lab-med]]*Table22342102345[[#This Row],[anl-med]]</f>
        <v>0.83232799031058879</v>
      </c>
    </row>
    <row r="119" spans="2:23" x14ac:dyDescent="0.25">
      <c r="B119" s="46">
        <f ca="1">VALUE((Table22342102345[[#This Row],[Column3]]-62))</f>
        <v>57</v>
      </c>
      <c r="C119" t="s">
        <v>125</v>
      </c>
      <c r="D119">
        <v>9.9399996000000002</v>
      </c>
      <c r="E119"/>
      <c r="F119">
        <v>11.3375906241465</v>
      </c>
      <c r="G119" s="29">
        <f>Table22342102345[[#This Row],[Lesnoff]]-Table22342102345[[#This Row],[REF]]</f>
        <v>1.3975910241465002</v>
      </c>
      <c r="H119" s="29">
        <f>Table22342102345[[#This Row],[X-Y]]-E$20</f>
        <v>0.60984906650377901</v>
      </c>
      <c r="I119" s="29">
        <f>Table22342102345[[#This Row],[Lesnoff]]-E$20</f>
        <v>10.549848666503779</v>
      </c>
      <c r="J119" s="29">
        <f>Table22342102345[[#This Row],[Lesnoff]]*E$21+E$22</f>
        <v>10.636212789475245</v>
      </c>
      <c r="K119" s="56">
        <f>Table22342102345[[#This Row],[Yest]]-Table22342102345[[#This Row],[REF]]</f>
        <v>0.69621318947524458</v>
      </c>
      <c r="L119" s="56">
        <f>ABS(Table22342102345[[#This Row],[RESyx]])</f>
        <v>0.69621318947524458</v>
      </c>
      <c r="M119" s="29">
        <f>Table22342102345[[#This Row],[Lesnoff]]*E$25+E$26</f>
        <v>10.533633163338266</v>
      </c>
      <c r="N119" s="29">
        <f>Table22342102345[[#This Row],[X-Y]]^2</f>
        <v>1.9532606707748632</v>
      </c>
      <c r="O119" s="57">
        <f>Table22342102345[[#This Row],[yest_rect]]-Table22342102345[[#This Row],[REF]]</f>
        <v>0.59363356333826545</v>
      </c>
      <c r="P119" s="57">
        <f>Table22342102345[[#This Row],[dif rec]]^2</f>
        <v>0.3524008075216864</v>
      </c>
      <c r="Q119" s="57">
        <f>ABS(Table22342102345[[#This Row],[diff-bias]])</f>
        <v>0.60984906650377901</v>
      </c>
      <c r="R119" s="57">
        <f ca="1">CELL("row",Table22342102345[[#This Row],[Position]])</f>
        <v>119</v>
      </c>
      <c r="S119" s="4">
        <f>Table22342102345[[#This Row],[REF]]-D$13</f>
        <v>-1.0700006500000008</v>
      </c>
      <c r="T119" s="4">
        <f>ABS(Table22342102345[[#This Row],[lab-med]])</f>
        <v>1.0700006500000008</v>
      </c>
      <c r="U119" s="4">
        <f>Table22342102345[[#This Row],[Lesnoff]]-F$13</f>
        <v>-0.462582827773101</v>
      </c>
      <c r="V119" s="4">
        <f>ABS(Table22342102345[[#This Row],[anl-med]])</f>
        <v>0.462582827773101</v>
      </c>
      <c r="W119" s="4">
        <f>Table22342102345[[#This Row],[lab-med]]*Table22342102345[[#This Row],[anl-med]]</f>
        <v>0.49496392639605646</v>
      </c>
    </row>
    <row r="120" spans="2:23" x14ac:dyDescent="0.25">
      <c r="B120" s="46">
        <f ca="1">VALUE((Table22342102345[[#This Row],[Column3]]-62))</f>
        <v>58</v>
      </c>
      <c r="C120" t="s">
        <v>126</v>
      </c>
      <c r="D120">
        <v>10.2399998</v>
      </c>
      <c r="E120"/>
      <c r="F120">
        <v>11.2317508460102</v>
      </c>
      <c r="G120" s="29">
        <f>Table22342102345[[#This Row],[Lesnoff]]-Table22342102345[[#This Row],[REF]]</f>
        <v>0.99175104601020081</v>
      </c>
      <c r="H120" s="29">
        <f>Table22342102345[[#This Row],[X-Y]]-E$20</f>
        <v>0.20400908836747966</v>
      </c>
      <c r="I120" s="29">
        <f>Table22342102345[[#This Row],[Lesnoff]]-E$20</f>
        <v>10.444008888367479</v>
      </c>
      <c r="J120" s="29">
        <f>Table22342102345[[#This Row],[Lesnoff]]*E$21+E$22</f>
        <v>10.546705966151706</v>
      </c>
      <c r="K120" s="56">
        <f>Table22342102345[[#This Row],[Yest]]-Table22342102345[[#This Row],[REF]]</f>
        <v>0.30670616615170587</v>
      </c>
      <c r="L120" s="56">
        <f>ABS(Table22342102345[[#This Row],[RESyx]])</f>
        <v>0.30670616615170587</v>
      </c>
      <c r="M120" s="29">
        <f>Table22342102345[[#This Row],[Lesnoff]]*E$25+E$26</f>
        <v>10.424726752075198</v>
      </c>
      <c r="N120" s="29">
        <f>Table22342102345[[#This Row],[X-Y]]^2</f>
        <v>0.98357013726232745</v>
      </c>
      <c r="O120" s="57">
        <f>Table22342102345[[#This Row],[yest_rect]]-Table22342102345[[#This Row],[REF]]</f>
        <v>0.18472695207519862</v>
      </c>
      <c r="P120" s="57">
        <f>Table22342102345[[#This Row],[dif rec]]^2</f>
        <v>3.4124046822992728E-2</v>
      </c>
      <c r="Q120" s="57">
        <f>ABS(Table22342102345[[#This Row],[diff-bias]])</f>
        <v>0.20400908836747966</v>
      </c>
      <c r="R120" s="57">
        <f ca="1">CELL("row",Table22342102345[[#This Row],[Position]])</f>
        <v>120</v>
      </c>
      <c r="S120" s="4">
        <f>Table22342102345[[#This Row],[REF]]-D$13</f>
        <v>-0.77000045000000128</v>
      </c>
      <c r="T120" s="4">
        <f>ABS(Table22342102345[[#This Row],[lab-med]])</f>
        <v>0.77000045000000128</v>
      </c>
      <c r="U120" s="4">
        <f>Table22342102345[[#This Row],[Lesnoff]]-F$13</f>
        <v>-0.56842260590940086</v>
      </c>
      <c r="V120" s="4">
        <f>ABS(Table22342102345[[#This Row],[anl-med]])</f>
        <v>0.56842260590940086</v>
      </c>
      <c r="W120" s="4">
        <f>Table22342102345[[#This Row],[lab-med]]*Table22342102345[[#This Row],[anl-med]]</f>
        <v>0.43768566234041206</v>
      </c>
    </row>
    <row r="121" spans="2:23" x14ac:dyDescent="0.25">
      <c r="B121" s="46">
        <f ca="1">VALUE((Table22342102345[[#This Row],[Column3]]-62))</f>
        <v>59</v>
      </c>
      <c r="C121" t="s">
        <v>127</v>
      </c>
      <c r="D121">
        <v>11.420000099999999</v>
      </c>
      <c r="E121"/>
      <c r="F121">
        <v>11.885965299999899</v>
      </c>
      <c r="G121" s="29">
        <f>Table22342102345[[#This Row],[Lesnoff]]-Table22342102345[[#This Row],[REF]]</f>
        <v>0.46596519999989994</v>
      </c>
      <c r="H121" s="29">
        <f>Table22342102345[[#This Row],[X-Y]]-E$20</f>
        <v>-0.32177675764282121</v>
      </c>
      <c r="I121" s="29">
        <f>Table22342102345[[#This Row],[Lesnoff]]-E$20</f>
        <v>11.098223342357178</v>
      </c>
      <c r="J121" s="29">
        <f>Table22342102345[[#This Row],[Lesnoff]]*E$21+E$22</f>
        <v>11.099963527534277</v>
      </c>
      <c r="K121" s="56">
        <f>Table22342102345[[#This Row],[Yest]]-Table22342102345[[#This Row],[REF]]</f>
        <v>-0.32003657246572281</v>
      </c>
      <c r="L121" s="56">
        <f>ABS(Table22342102345[[#This Row],[RESyx]])</f>
        <v>0.32003657246572281</v>
      </c>
      <c r="M121" s="29">
        <f>Table22342102345[[#This Row],[Lesnoff]]*E$25+E$26</f>
        <v>11.097896609713148</v>
      </c>
      <c r="N121" s="29">
        <f>Table22342102345[[#This Row],[X-Y]]^2</f>
        <v>0.21712356761094675</v>
      </c>
      <c r="O121" s="57">
        <f>Table22342102345[[#This Row],[yest_rect]]-Table22342102345[[#This Row],[REF]]</f>
        <v>-0.32210349028685137</v>
      </c>
      <c r="P121" s="57">
        <f>Table22342102345[[#This Row],[dif rec]]^2</f>
        <v>0.10375065845497175</v>
      </c>
      <c r="Q121" s="57">
        <f>ABS(Table22342102345[[#This Row],[diff-bias]])</f>
        <v>0.32177675764282121</v>
      </c>
      <c r="R121" s="57">
        <f ca="1">CELL("row",Table22342102345[[#This Row],[Position]])</f>
        <v>121</v>
      </c>
      <c r="S121" s="4">
        <f>Table22342102345[[#This Row],[REF]]-D$13</f>
        <v>0.40999984999999839</v>
      </c>
      <c r="T121" s="4">
        <f>ABS(Table22342102345[[#This Row],[lab-med]])</f>
        <v>0.40999984999999839</v>
      </c>
      <c r="U121" s="4">
        <f>Table22342102345[[#This Row],[Lesnoff]]-F$13</f>
        <v>8.5791848080297939E-2</v>
      </c>
      <c r="V121" s="4">
        <f>ABS(Table22342102345[[#This Row],[anl-med]])</f>
        <v>8.5791848080297939E-2</v>
      </c>
      <c r="W121" s="4">
        <f>Table22342102345[[#This Row],[lab-med]]*Table22342102345[[#This Row],[anl-med]]</f>
        <v>3.5174644844144808E-2</v>
      </c>
    </row>
    <row r="122" spans="2:23" x14ac:dyDescent="0.25">
      <c r="B122" s="46">
        <f ca="1">VALUE((Table22342102345[[#This Row],[Column3]]-62))</f>
        <v>60</v>
      </c>
      <c r="C122" t="s">
        <v>128</v>
      </c>
      <c r="D122">
        <v>10.5</v>
      </c>
      <c r="E122"/>
      <c r="F122">
        <v>11.4538101734432</v>
      </c>
      <c r="G122" s="29">
        <f>Table22342102345[[#This Row],[Lesnoff]]-Table22342102345[[#This Row],[REF]]</f>
        <v>0.95381017344320007</v>
      </c>
      <c r="H122" s="29">
        <f>Table22342102345[[#This Row],[X-Y]]-E$20</f>
        <v>0.16606821580047892</v>
      </c>
      <c r="I122" s="29">
        <f>Table22342102345[[#This Row],[Lesnoff]]-E$20</f>
        <v>10.666068215800479</v>
      </c>
      <c r="J122" s="29">
        <f>Table22342102345[[#This Row],[Lesnoff]]*E$21+E$22</f>
        <v>10.734497601186062</v>
      </c>
      <c r="K122" s="56">
        <f>Table22342102345[[#This Row],[Yest]]-Table22342102345[[#This Row],[REF]]</f>
        <v>0.234497601186062</v>
      </c>
      <c r="L122" s="56">
        <f>ABS(Table22342102345[[#This Row],[RESyx]])</f>
        <v>0.234497601186062</v>
      </c>
      <c r="M122" s="29">
        <f>Table22342102345[[#This Row],[Lesnoff]]*E$25+E$26</f>
        <v>10.653220092330265</v>
      </c>
      <c r="N122" s="29">
        <f>Table22342102345[[#This Row],[X-Y]]^2</f>
        <v>0.90975384696374739</v>
      </c>
      <c r="O122" s="57">
        <f>Table22342102345[[#This Row],[yest_rect]]-Table22342102345[[#This Row],[REF]]</f>
        <v>0.15322009233026535</v>
      </c>
      <c r="P122" s="57">
        <f>Table22342102345[[#This Row],[dif rec]]^2</f>
        <v>2.3476396693695036E-2</v>
      </c>
      <c r="Q122" s="57">
        <f>ABS(Table22342102345[[#This Row],[diff-bias]])</f>
        <v>0.16606821580047892</v>
      </c>
      <c r="R122" s="57">
        <f ca="1">CELL("row",Table22342102345[[#This Row],[Position]])</f>
        <v>122</v>
      </c>
      <c r="S122" s="4">
        <f>Table22342102345[[#This Row],[REF]]-D$13</f>
        <v>-0.51000025000000093</v>
      </c>
      <c r="T122" s="4">
        <f>ABS(Table22342102345[[#This Row],[lab-med]])</f>
        <v>0.51000025000000093</v>
      </c>
      <c r="U122" s="4">
        <f>Table22342102345[[#This Row],[Lesnoff]]-F$13</f>
        <v>-0.34636327847640125</v>
      </c>
      <c r="V122" s="4">
        <f>ABS(Table22342102345[[#This Row],[anl-med]])</f>
        <v>0.34636327847640125</v>
      </c>
      <c r="W122" s="4">
        <f>Table22342102345[[#This Row],[lab-med]]*Table22342102345[[#This Row],[anl-med]]</f>
        <v>0.17664535861378458</v>
      </c>
    </row>
    <row r="123" spans="2:23" x14ac:dyDescent="0.25">
      <c r="B123" s="46">
        <f ca="1">VALUE((Table22342102345[[#This Row],[Column3]]-62))</f>
        <v>61</v>
      </c>
      <c r="C123" t="s">
        <v>129</v>
      </c>
      <c r="D123">
        <v>13.140000300000001</v>
      </c>
      <c r="E123"/>
      <c r="F123">
        <v>13.686542132590301</v>
      </c>
      <c r="G123" s="29">
        <f>Table22342102345[[#This Row],[Lesnoff]]-Table22342102345[[#This Row],[REF]]</f>
        <v>0.5465418325903002</v>
      </c>
      <c r="H123" s="29">
        <f>Table22342102345[[#This Row],[X-Y]]-E$20</f>
        <v>-0.24120012505242094</v>
      </c>
      <c r="I123" s="29">
        <f>Table22342102345[[#This Row],[Lesnoff]]-E$20</f>
        <v>12.89880017494758</v>
      </c>
      <c r="J123" s="29">
        <f>Table22342102345[[#This Row],[Lesnoff]]*E$21+E$22</f>
        <v>12.622679422002431</v>
      </c>
      <c r="K123" s="56">
        <f>Table22342102345[[#This Row],[Yest]]-Table22342102345[[#This Row],[REF]]</f>
        <v>-0.51732087799756954</v>
      </c>
      <c r="L123" s="56">
        <f>ABS(Table22342102345[[#This Row],[RESyx]])</f>
        <v>0.51732087799756954</v>
      </c>
      <c r="M123" s="29">
        <f>Table22342102345[[#This Row],[Lesnoff]]*E$25+E$26</f>
        <v>12.950643889552609</v>
      </c>
      <c r="N123" s="29">
        <f>Table22342102345[[#This Row],[X-Y]]^2</f>
        <v>0.29870797477116373</v>
      </c>
      <c r="O123" s="57">
        <f>Table22342102345[[#This Row],[yest_rect]]-Table22342102345[[#This Row],[REF]]</f>
        <v>-0.18935641044739171</v>
      </c>
      <c r="P123" s="57">
        <f>Table22342102345[[#This Row],[dif rec]]^2</f>
        <v>3.5855850177521076E-2</v>
      </c>
      <c r="Q123" s="57">
        <f>ABS(Table22342102345[[#This Row],[diff-bias]])</f>
        <v>0.24120012505242094</v>
      </c>
      <c r="R123" s="57">
        <f ca="1">CELL("row",Table22342102345[[#This Row],[Position]])</f>
        <v>123</v>
      </c>
      <c r="S123" s="4">
        <f>Table22342102345[[#This Row],[REF]]-D$13</f>
        <v>2.1300000499999996</v>
      </c>
      <c r="T123" s="4">
        <f>ABS(Table22342102345[[#This Row],[lab-med]])</f>
        <v>2.1300000499999996</v>
      </c>
      <c r="U123" s="4">
        <f>Table22342102345[[#This Row],[Lesnoff]]-F$13</f>
        <v>1.8863686806706994</v>
      </c>
      <c r="V123" s="4">
        <f>ABS(Table22342102345[[#This Row],[anl-med]])</f>
        <v>1.8863686806706994</v>
      </c>
      <c r="W123" s="4">
        <f>Table22342102345[[#This Row],[lab-med]]*Table22342102345[[#This Row],[anl-med]]</f>
        <v>4.0179653841470229</v>
      </c>
    </row>
    <row r="124" spans="2:23" x14ac:dyDescent="0.25">
      <c r="B124" s="46">
        <f ca="1">VALUE((Table22342102345[[#This Row],[Column3]]-62))</f>
        <v>62</v>
      </c>
      <c r="C124" t="s">
        <v>130</v>
      </c>
      <c r="D124">
        <v>11.699999800000001</v>
      </c>
      <c r="E124"/>
      <c r="F124">
        <v>11.848934376106101</v>
      </c>
      <c r="G124" s="29">
        <f>Table22342102345[[#This Row],[Lesnoff]]-Table22342102345[[#This Row],[REF]]</f>
        <v>0.14893457610610028</v>
      </c>
      <c r="H124" s="29">
        <f>Table22342102345[[#This Row],[X-Y]]-E$20</f>
        <v>-0.63880738153662087</v>
      </c>
      <c r="I124" s="29">
        <f>Table22342102345[[#This Row],[Lesnoff]]-E$20</f>
        <v>11.06119241846338</v>
      </c>
      <c r="J124" s="29">
        <f>Table22342102345[[#This Row],[Lesnoff]]*E$21+E$22</f>
        <v>11.06864713193298</v>
      </c>
      <c r="K124" s="56">
        <f>Table22342102345[[#This Row],[Yest]]-Table22342102345[[#This Row],[REF]]</f>
        <v>-0.63135266806702006</v>
      </c>
      <c r="L124" s="56">
        <f>ABS(Table22342102345[[#This Row],[RESyx]])</f>
        <v>0.63135266806702006</v>
      </c>
      <c r="M124" s="29">
        <f>Table22342102345[[#This Row],[Lesnoff]]*E$25+E$26</f>
        <v>11.05979274084604</v>
      </c>
      <c r="N124" s="29">
        <f>Table22342102345[[#This Row],[X-Y]]^2</f>
        <v>2.2181507959903778E-2</v>
      </c>
      <c r="O124" s="57">
        <f>Table22342102345[[#This Row],[yest_rect]]-Table22342102345[[#This Row],[REF]]</f>
        <v>-0.64020705915396015</v>
      </c>
      <c r="P124" s="57">
        <f>Table22342102345[[#This Row],[dif rec]]^2</f>
        <v>0.4098650785905622</v>
      </c>
      <c r="Q124" s="57">
        <f>ABS(Table22342102345[[#This Row],[diff-bias]])</f>
        <v>0.63880738153662087</v>
      </c>
      <c r="R124" s="57">
        <f ca="1">CELL("row",Table22342102345[[#This Row],[Position]])</f>
        <v>124</v>
      </c>
      <c r="S124" s="4">
        <f>Table22342102345[[#This Row],[REF]]-D$13</f>
        <v>0.68999954999999957</v>
      </c>
      <c r="T124" s="4">
        <f>ABS(Table22342102345[[#This Row],[lab-med]])</f>
        <v>0.68999954999999957</v>
      </c>
      <c r="U124" s="4">
        <f>Table22342102345[[#This Row],[Lesnoff]]-F$13</f>
        <v>4.8760924186499466E-2</v>
      </c>
      <c r="V124" s="4">
        <f>ABS(Table22342102345[[#This Row],[anl-med]])</f>
        <v>4.8760924186499466E-2</v>
      </c>
      <c r="W124" s="4">
        <f>Table22342102345[[#This Row],[lab-med]]*Table22342102345[[#This Row],[anl-med]]</f>
        <v>3.3645015746268728E-2</v>
      </c>
    </row>
    <row r="125" spans="2:23" x14ac:dyDescent="0.25">
      <c r="B125" s="46">
        <f ca="1">VALUE((Table22342102345[[#This Row],[Column3]]-62))</f>
        <v>63</v>
      </c>
      <c r="C125" t="s">
        <v>131</v>
      </c>
      <c r="D125">
        <v>10.3800001</v>
      </c>
      <c r="E125"/>
      <c r="F125">
        <v>11.2194746692986</v>
      </c>
      <c r="G125" s="29">
        <f>Table22342102345[[#This Row],[Lesnoff]]-Table22342102345[[#This Row],[REF]]</f>
        <v>0.83947456929860031</v>
      </c>
      <c r="H125" s="29">
        <f>Table22342102345[[#This Row],[X-Y]]-E$20</f>
        <v>5.1732611655879168E-2</v>
      </c>
      <c r="I125" s="29">
        <f>Table22342102345[[#This Row],[Lesnoff]]-E$20</f>
        <v>10.431732711655879</v>
      </c>
      <c r="J125" s="29">
        <f>Table22342102345[[#This Row],[Lesnoff]]*E$21+E$22</f>
        <v>10.536324221222131</v>
      </c>
      <c r="K125" s="56">
        <f>Table22342102345[[#This Row],[Yest]]-Table22342102345[[#This Row],[REF]]</f>
        <v>0.15632412122213069</v>
      </c>
      <c r="L125" s="56">
        <f>ABS(Table22342102345[[#This Row],[RESyx]])</f>
        <v>0.15632412122213069</v>
      </c>
      <c r="M125" s="29">
        <f>Table22342102345[[#This Row],[Lesnoff]]*E$25+E$26</f>
        <v>10.412094881778097</v>
      </c>
      <c r="N125" s="29">
        <f>Table22342102345[[#This Row],[X-Y]]^2</f>
        <v>0.70471755249907053</v>
      </c>
      <c r="O125" s="57">
        <f>Table22342102345[[#This Row],[yest_rect]]-Table22342102345[[#This Row],[REF]]</f>
        <v>3.2094781778097214E-2</v>
      </c>
      <c r="P125" s="57">
        <f>Table22342102345[[#This Row],[dif rec]]^2</f>
        <v>1.030075017383681E-3</v>
      </c>
      <c r="Q125" s="57">
        <f>ABS(Table22342102345[[#This Row],[diff-bias]])</f>
        <v>5.1732611655879168E-2</v>
      </c>
      <c r="R125" s="57">
        <f ca="1">CELL("row",Table22342102345[[#This Row],[Position]])</f>
        <v>125</v>
      </c>
      <c r="S125" s="4">
        <f>Table22342102345[[#This Row],[REF]]-D$13</f>
        <v>-0.63000015000000076</v>
      </c>
      <c r="T125" s="4">
        <f>ABS(Table22342102345[[#This Row],[lab-med]])</f>
        <v>0.63000015000000076</v>
      </c>
      <c r="U125" s="4">
        <f>Table22342102345[[#This Row],[Lesnoff]]-F$13</f>
        <v>-0.58069878262100083</v>
      </c>
      <c r="V125" s="4">
        <f>ABS(Table22342102345[[#This Row],[anl-med]])</f>
        <v>0.58069878262100083</v>
      </c>
      <c r="W125" s="4">
        <f>Table22342102345[[#This Row],[lab-med]]*Table22342102345[[#This Row],[anl-med]]</f>
        <v>0.36584032015604834</v>
      </c>
    </row>
    <row r="126" spans="2:23" x14ac:dyDescent="0.25">
      <c r="B126" s="46">
        <f ca="1">VALUE((Table22342102345[[#This Row],[Column3]]-62))</f>
        <v>64</v>
      </c>
      <c r="C126" t="s">
        <v>132</v>
      </c>
      <c r="D126">
        <v>13.350000400000001</v>
      </c>
      <c r="E126"/>
      <c r="F126">
        <v>13.3339665338122</v>
      </c>
      <c r="G126" s="29">
        <f>Table22342102345[[#This Row],[Lesnoff]]-Table22342102345[[#This Row],[REF]]</f>
        <v>-1.6033866187800783E-2</v>
      </c>
      <c r="H126" s="29">
        <f>Table22342102345[[#This Row],[X-Y]]-E$20</f>
        <v>-0.80377582383052193</v>
      </c>
      <c r="I126" s="29">
        <f>Table22342102345[[#This Row],[Lesnoff]]-E$20</f>
        <v>12.546224576169479</v>
      </c>
      <c r="J126" s="29">
        <f>Table22342102345[[#This Row],[Lesnoff]]*E$21+E$22</f>
        <v>12.324512490970298</v>
      </c>
      <c r="K126" s="56">
        <f>Table22342102345[[#This Row],[Yest]]-Table22342102345[[#This Row],[REF]]</f>
        <v>-1.0254879090297031</v>
      </c>
      <c r="L126" s="56">
        <f>ABS(Table22342102345[[#This Row],[RESyx]])</f>
        <v>1.0254879090297031</v>
      </c>
      <c r="M126" s="29">
        <f>Table22342102345[[#This Row],[Lesnoff]]*E$25+E$26</f>
        <v>12.5878526607917</v>
      </c>
      <c r="N126" s="29">
        <f>Table22342102345[[#This Row],[X-Y]]^2</f>
        <v>2.5708486492830122E-4</v>
      </c>
      <c r="O126" s="57">
        <f>Table22342102345[[#This Row],[yest_rect]]-Table22342102345[[#This Row],[REF]]</f>
        <v>-0.76214773920830048</v>
      </c>
      <c r="P126" s="57">
        <f>Table22342102345[[#This Row],[dif rec]]^2</f>
        <v>0.58086917638032365</v>
      </c>
      <c r="Q126" s="57">
        <f>ABS(Table22342102345[[#This Row],[diff-bias]])</f>
        <v>0.80377582383052193</v>
      </c>
      <c r="R126" s="57">
        <f ca="1">CELL("row",Table22342102345[[#This Row],[Position]])</f>
        <v>126</v>
      </c>
      <c r="S126" s="4">
        <f>Table22342102345[[#This Row],[REF]]-D$13</f>
        <v>2.3400001499999998</v>
      </c>
      <c r="T126" s="4">
        <f>ABS(Table22342102345[[#This Row],[lab-med]])</f>
        <v>2.3400001499999998</v>
      </c>
      <c r="U126" s="4">
        <f>Table22342102345[[#This Row],[Lesnoff]]-F$13</f>
        <v>1.5337930818925987</v>
      </c>
      <c r="V126" s="4">
        <f>ABS(Table22342102345[[#This Row],[anl-med]])</f>
        <v>1.5337930818925987</v>
      </c>
      <c r="W126" s="4">
        <f>Table22342102345[[#This Row],[lab-med]]*Table22342102345[[#This Row],[anl-med]]</f>
        <v>3.589076041697643</v>
      </c>
    </row>
    <row r="127" spans="2:23" x14ac:dyDescent="0.25">
      <c r="B127" s="46">
        <f ca="1">VALUE((Table22342102345[[#This Row],[Column3]]-62))</f>
        <v>65</v>
      </c>
      <c r="C127" t="s">
        <v>133</v>
      </c>
      <c r="D127">
        <v>12.6599998</v>
      </c>
      <c r="E127"/>
      <c r="F127">
        <v>12.5637619145266</v>
      </c>
      <c r="G127" s="29">
        <f>Table22342102345[[#This Row],[Lesnoff]]-Table22342102345[[#This Row],[REF]]</f>
        <v>-9.6237885473399842E-2</v>
      </c>
      <c r="H127" s="29">
        <f>Table22342102345[[#This Row],[X-Y]]-E$20</f>
        <v>-0.88397984311612099</v>
      </c>
      <c r="I127" s="29">
        <f>Table22342102345[[#This Row],[Lesnoff]]-E$20</f>
        <v>11.776019956883879</v>
      </c>
      <c r="J127" s="29">
        <f>Table22342102345[[#This Row],[Lesnoff]]*E$21+E$22</f>
        <v>11.673164103858305</v>
      </c>
      <c r="K127" s="56">
        <f>Table22342102345[[#This Row],[Yest]]-Table22342102345[[#This Row],[REF]]</f>
        <v>-0.98683569614169464</v>
      </c>
      <c r="L127" s="56">
        <f>ABS(Table22342102345[[#This Row],[RESyx]])</f>
        <v>0.98683569614169464</v>
      </c>
      <c r="M127" s="29">
        <f>Table22342102345[[#This Row],[Lesnoff]]*E$25+E$26</f>
        <v>11.79533190440263</v>
      </c>
      <c r="N127" s="29">
        <f>Table22342102345[[#This Row],[X-Y]]^2</f>
        <v>9.2617306003912239E-3</v>
      </c>
      <c r="O127" s="57">
        <f>Table22342102345[[#This Row],[yest_rect]]-Table22342102345[[#This Row],[REF]]</f>
        <v>-0.86466789559736945</v>
      </c>
      <c r="P127" s="57">
        <f>Table22342102345[[#This Row],[dif rec]]^2</f>
        <v>0.74765056967678345</v>
      </c>
      <c r="Q127" s="57">
        <f>ABS(Table22342102345[[#This Row],[diff-bias]])</f>
        <v>0.88397984311612099</v>
      </c>
      <c r="R127" s="57">
        <f ca="1">CELL("row",Table22342102345[[#This Row],[Position]])</f>
        <v>127</v>
      </c>
      <c r="S127" s="4">
        <f>Table22342102345[[#This Row],[REF]]-D$13</f>
        <v>1.6499995499999986</v>
      </c>
      <c r="T127" s="4">
        <f>ABS(Table22342102345[[#This Row],[lab-med]])</f>
        <v>1.6499995499999986</v>
      </c>
      <c r="U127" s="4">
        <f>Table22342102345[[#This Row],[Lesnoff]]-F$13</f>
        <v>0.76358846260699842</v>
      </c>
      <c r="V127" s="4">
        <f>ABS(Table22342102345[[#This Row],[anl-med]])</f>
        <v>0.76358846260699842</v>
      </c>
      <c r="W127" s="4">
        <f>Table22342102345[[#This Row],[lab-med]]*Table22342102345[[#This Row],[anl-med]]</f>
        <v>1.2599206196867383</v>
      </c>
    </row>
    <row r="128" spans="2:23" x14ac:dyDescent="0.25">
      <c r="B128" s="46">
        <f ca="1">VALUE((Table22342102345[[#This Row],[Column3]]-62))</f>
        <v>66</v>
      </c>
      <c r="C128" t="s">
        <v>134</v>
      </c>
      <c r="D128">
        <v>11.9899998</v>
      </c>
      <c r="E128"/>
      <c r="F128">
        <v>13.1615643082185</v>
      </c>
      <c r="G128" s="29">
        <f>Table22342102345[[#This Row],[Lesnoff]]-Table22342102345[[#This Row],[REF]]</f>
        <v>1.1715645082185002</v>
      </c>
      <c r="H128" s="29">
        <f>Table22342102345[[#This Row],[X-Y]]-E$20</f>
        <v>0.38382255057577908</v>
      </c>
      <c r="I128" s="29">
        <f>Table22342102345[[#This Row],[Lesnoff]]-E$20</f>
        <v>12.373822350575779</v>
      </c>
      <c r="J128" s="29">
        <f>Table22342102345[[#This Row],[Lesnoff]]*E$21+E$22</f>
        <v>12.178714986303119</v>
      </c>
      <c r="K128" s="56">
        <f>Table22342102345[[#This Row],[Yest]]-Table22342102345[[#This Row],[REF]]</f>
        <v>0.1887151863031189</v>
      </c>
      <c r="L128" s="56">
        <f>ABS(Table22342102345[[#This Row],[RESyx]])</f>
        <v>0.1887151863031189</v>
      </c>
      <c r="M128" s="29">
        <f>Table22342102345[[#This Row],[Lesnoff]]*E$25+E$26</f>
        <v>12.410455201974314</v>
      </c>
      <c r="N128" s="29">
        <f>Table22342102345[[#This Row],[X-Y]]^2</f>
        <v>1.3725633969172564</v>
      </c>
      <c r="O128" s="57">
        <f>Table22342102345[[#This Row],[yest_rect]]-Table22342102345[[#This Row],[REF]]</f>
        <v>0.42045540197431386</v>
      </c>
      <c r="P128" s="57">
        <f>Table22342102345[[#This Row],[dif rec]]^2</f>
        <v>0.17678274504938185</v>
      </c>
      <c r="Q128" s="57">
        <f>ABS(Table22342102345[[#This Row],[diff-bias]])</f>
        <v>0.38382255057577908</v>
      </c>
      <c r="R128" s="57">
        <f ca="1">CELL("row",Table22342102345[[#This Row],[Position]])</f>
        <v>128</v>
      </c>
      <c r="S128" s="4">
        <f>Table22342102345[[#This Row],[REF]]-D$13</f>
        <v>0.97999954999999872</v>
      </c>
      <c r="T128" s="4">
        <f>ABS(Table22342102345[[#This Row],[lab-med]])</f>
        <v>0.97999954999999872</v>
      </c>
      <c r="U128" s="4">
        <f>Table22342102345[[#This Row],[Lesnoff]]-F$13</f>
        <v>1.3613908562988986</v>
      </c>
      <c r="V128" s="4">
        <f>ABS(Table22342102345[[#This Row],[anl-med]])</f>
        <v>1.3613908562988986</v>
      </c>
      <c r="W128" s="4">
        <f>Table22342102345[[#This Row],[lab-med]]*Table22342102345[[#This Row],[anl-med]]</f>
        <v>1.3341624265470335</v>
      </c>
    </row>
    <row r="129" spans="2:23" x14ac:dyDescent="0.25">
      <c r="B129" s="46">
        <f ca="1">VALUE((Table22342102345[[#This Row],[Column3]]-62))</f>
        <v>67</v>
      </c>
      <c r="C129" t="s">
        <v>135</v>
      </c>
      <c r="D129">
        <v>12</v>
      </c>
      <c r="E129"/>
      <c r="F129">
        <v>12.996030362984101</v>
      </c>
      <c r="G129" s="29">
        <f>Table22342102345[[#This Row],[Lesnoff]]-Table22342102345[[#This Row],[REF]]</f>
        <v>0.99603036298410075</v>
      </c>
      <c r="H129" s="29">
        <f>Table22342102345[[#This Row],[X-Y]]-E$20</f>
        <v>0.2082884053413796</v>
      </c>
      <c r="I129" s="29">
        <f>Table22342102345[[#This Row],[Lesnoff]]-E$20</f>
        <v>12.20828840534138</v>
      </c>
      <c r="J129" s="29">
        <f>Table22342102345[[#This Row],[Lesnoff]]*E$21+E$22</f>
        <v>12.038725864528287</v>
      </c>
      <c r="K129" s="56">
        <f>Table22342102345[[#This Row],[Yest]]-Table22342102345[[#This Row],[REF]]</f>
        <v>3.8725864528286635E-2</v>
      </c>
      <c r="L129" s="56">
        <f>ABS(Table22342102345[[#This Row],[RESyx]])</f>
        <v>3.8725864528286635E-2</v>
      </c>
      <c r="M129" s="29">
        <f>Table22342102345[[#This Row],[Lesnoff]]*E$25+E$26</f>
        <v>12.240125027108682</v>
      </c>
      <c r="N129" s="29">
        <f>Table22342102345[[#This Row],[X-Y]]^2</f>
        <v>0.99207648398623949</v>
      </c>
      <c r="O129" s="57">
        <f>Table22342102345[[#This Row],[yest_rect]]-Table22342102345[[#This Row],[REF]]</f>
        <v>0.24012502710868233</v>
      </c>
      <c r="P129" s="57">
        <f>Table22342102345[[#This Row],[dif rec]]^2</f>
        <v>5.7660028643945427E-2</v>
      </c>
      <c r="Q129" s="57">
        <f>ABS(Table22342102345[[#This Row],[diff-bias]])</f>
        <v>0.2082884053413796</v>
      </c>
      <c r="R129" s="57">
        <f ca="1">CELL("row",Table22342102345[[#This Row],[Position]])</f>
        <v>129</v>
      </c>
      <c r="S129" s="4">
        <f>Table22342102345[[#This Row],[REF]]-D$13</f>
        <v>0.98999974999999907</v>
      </c>
      <c r="T129" s="4">
        <f>ABS(Table22342102345[[#This Row],[lab-med]])</f>
        <v>0.98999974999999907</v>
      </c>
      <c r="U129" s="4">
        <f>Table22342102345[[#This Row],[Lesnoff]]-F$13</f>
        <v>1.1958569110644994</v>
      </c>
      <c r="V129" s="4">
        <f>ABS(Table22342102345[[#This Row],[anl-med]])</f>
        <v>1.1958569110644994</v>
      </c>
      <c r="W129" s="4">
        <f>Table22342102345[[#This Row],[lab-med]]*Table22342102345[[#This Row],[anl-med]]</f>
        <v>1.1838980429896255</v>
      </c>
    </row>
    <row r="130" spans="2:23" x14ac:dyDescent="0.25">
      <c r="B130" s="46">
        <f ca="1">VALUE((Table22342102345[[#This Row],[Column3]]-62))</f>
        <v>68</v>
      </c>
      <c r="C130" t="s">
        <v>136</v>
      </c>
      <c r="D130">
        <v>12</v>
      </c>
      <c r="E130"/>
      <c r="F130">
        <v>12.9664444154084</v>
      </c>
      <c r="G130" s="29">
        <f>Table22342102345[[#This Row],[Lesnoff]]-Table22342102345[[#This Row],[REF]]</f>
        <v>0.9664444154084002</v>
      </c>
      <c r="H130" s="29">
        <f>Table22342102345[[#This Row],[X-Y]]-E$20</f>
        <v>0.17870245776567906</v>
      </c>
      <c r="I130" s="29">
        <f>Table22342102345[[#This Row],[Lesnoff]]-E$20</f>
        <v>12.178702457765679</v>
      </c>
      <c r="J130" s="29">
        <f>Table22342102345[[#This Row],[Lesnoff]]*E$21+E$22</f>
        <v>12.013705553364108</v>
      </c>
      <c r="K130" s="56">
        <f>Table22342102345[[#This Row],[Yest]]-Table22342102345[[#This Row],[REF]]</f>
        <v>1.3705553364108169E-2</v>
      </c>
      <c r="L130" s="56">
        <f>ABS(Table22342102345[[#This Row],[RESyx]])</f>
        <v>1.3705553364108169E-2</v>
      </c>
      <c r="M130" s="29">
        <f>Table22342102345[[#This Row],[Lesnoff]]*E$25+E$26</f>
        <v>12.209681847511902</v>
      </c>
      <c r="N130" s="29">
        <f>Table22342102345[[#This Row],[X-Y]]^2</f>
        <v>0.93401480807408443</v>
      </c>
      <c r="O130" s="57">
        <f>Table22342102345[[#This Row],[yest_rect]]-Table22342102345[[#This Row],[REF]]</f>
        <v>0.20968184751190222</v>
      </c>
      <c r="P130" s="57">
        <f>Table22342102345[[#This Row],[dif rec]]^2</f>
        <v>4.3966477176004617E-2</v>
      </c>
      <c r="Q130" s="57">
        <f>ABS(Table22342102345[[#This Row],[diff-bias]])</f>
        <v>0.17870245776567906</v>
      </c>
      <c r="R130" s="57">
        <f ca="1">CELL("row",Table22342102345[[#This Row],[Position]])</f>
        <v>130</v>
      </c>
      <c r="S130" s="4">
        <f>Table22342102345[[#This Row],[REF]]-D$13</f>
        <v>0.98999974999999907</v>
      </c>
      <c r="T130" s="4">
        <f>ABS(Table22342102345[[#This Row],[lab-med]])</f>
        <v>0.98999974999999907</v>
      </c>
      <c r="U130" s="4">
        <f>Table22342102345[[#This Row],[Lesnoff]]-F$13</f>
        <v>1.1662709634887989</v>
      </c>
      <c r="V130" s="4">
        <f>ABS(Table22342102345[[#This Row],[anl-med]])</f>
        <v>1.1662709634887989</v>
      </c>
      <c r="W130" s="4">
        <f>Table22342102345[[#This Row],[lab-med]]*Table22342102345[[#This Row],[anl-med]]</f>
        <v>1.1546079622861689</v>
      </c>
    </row>
    <row r="131" spans="2:23" x14ac:dyDescent="0.25">
      <c r="B131" s="46">
        <f ca="1">VALUE((Table22342102345[[#This Row],[Column3]]-62))</f>
        <v>69</v>
      </c>
      <c r="C131" t="s">
        <v>137</v>
      </c>
      <c r="D131">
        <v>13.1599998</v>
      </c>
      <c r="E131"/>
      <c r="F131">
        <v>14.093422591397101</v>
      </c>
      <c r="G131" s="29">
        <f>Table22342102345[[#This Row],[Lesnoff]]-Table22342102345[[#This Row],[REF]]</f>
        <v>0.93342279139710094</v>
      </c>
      <c r="H131" s="29">
        <f>Table22342102345[[#This Row],[X-Y]]-E$20</f>
        <v>0.14568083375437979</v>
      </c>
      <c r="I131" s="29">
        <f>Table22342102345[[#This Row],[Lesnoff]]-E$20</f>
        <v>13.305680633754379</v>
      </c>
      <c r="J131" s="29">
        <f>Table22342102345[[#This Row],[Lesnoff]]*E$21+E$22</f>
        <v>12.966771010075501</v>
      </c>
      <c r="K131" s="56">
        <f>Table22342102345[[#This Row],[Yest]]-Table22342102345[[#This Row],[REF]]</f>
        <v>-0.19322878992449866</v>
      </c>
      <c r="L131" s="56">
        <f>ABS(Table22342102345[[#This Row],[RESyx]])</f>
        <v>0.19322878992449866</v>
      </c>
      <c r="M131" s="29">
        <f>Table22342102345[[#This Row],[Lesnoff]]*E$25+E$26</f>
        <v>13.369313423465032</v>
      </c>
      <c r="N131" s="29">
        <f>Table22342102345[[#This Row],[X-Y]]^2</f>
        <v>0.87127810749955581</v>
      </c>
      <c r="O131" s="57">
        <f>Table22342102345[[#This Row],[yest_rect]]-Table22342102345[[#This Row],[REF]]</f>
        <v>0.20931362346503235</v>
      </c>
      <c r="P131" s="57">
        <f>Table22342102345[[#This Row],[dif rec]]^2</f>
        <v>4.3812192968061339E-2</v>
      </c>
      <c r="Q131" s="57">
        <f>ABS(Table22342102345[[#This Row],[diff-bias]])</f>
        <v>0.14568083375437979</v>
      </c>
      <c r="R131" s="57">
        <f ca="1">CELL("row",Table22342102345[[#This Row],[Position]])</f>
        <v>131</v>
      </c>
      <c r="S131" s="4">
        <f>Table22342102345[[#This Row],[REF]]-D$13</f>
        <v>2.1499995499999986</v>
      </c>
      <c r="T131" s="4">
        <f>ABS(Table22342102345[[#This Row],[lab-med]])</f>
        <v>2.1499995499999986</v>
      </c>
      <c r="U131" s="4">
        <f>Table22342102345[[#This Row],[Lesnoff]]-F$13</f>
        <v>2.2932491394774992</v>
      </c>
      <c r="V131" s="4">
        <f>ABS(Table22342102345[[#This Row],[anl-med]])</f>
        <v>2.2932491394774992</v>
      </c>
      <c r="W131" s="4">
        <f>Table22342102345[[#This Row],[lab-med]]*Table22342102345[[#This Row],[anl-med]]</f>
        <v>4.930484617914507</v>
      </c>
    </row>
    <row r="132" spans="2:23" x14ac:dyDescent="0.25">
      <c r="B132" s="46">
        <f ca="1">VALUE((Table22342102345[[#This Row],[Column3]]-62))</f>
        <v>70</v>
      </c>
      <c r="C132" t="s">
        <v>138</v>
      </c>
      <c r="D132">
        <v>12.170000099999999</v>
      </c>
      <c r="E132"/>
      <c r="F132">
        <v>12.9454528059049</v>
      </c>
      <c r="G132" s="29">
        <f>Table22342102345[[#This Row],[Lesnoff]]-Table22342102345[[#This Row],[REF]]</f>
        <v>0.77545270590490034</v>
      </c>
      <c r="H132" s="29">
        <f>Table22342102345[[#This Row],[X-Y]]-E$20</f>
        <v>-1.2289251737820805E-2</v>
      </c>
      <c r="I132" s="29">
        <f>Table22342102345[[#This Row],[Lesnoff]]-E$20</f>
        <v>12.157710848262179</v>
      </c>
      <c r="J132" s="29">
        <f>Table22342102345[[#This Row],[Lesnoff]]*E$21+E$22</f>
        <v>11.995953321488802</v>
      </c>
      <c r="K132" s="56">
        <f>Table22342102345[[#This Row],[Yest]]-Table22342102345[[#This Row],[REF]]</f>
        <v>-0.17404677851119743</v>
      </c>
      <c r="L132" s="56">
        <f>ABS(Table22342102345[[#This Row],[RESyx]])</f>
        <v>0.17404677851119743</v>
      </c>
      <c r="M132" s="29">
        <f>Table22342102345[[#This Row],[Lesnoff]]*E$25+E$26</f>
        <v>12.188082020887947</v>
      </c>
      <c r="N132" s="29">
        <f>Table22342102345[[#This Row],[X-Y]]^2</f>
        <v>0.60132689909523185</v>
      </c>
      <c r="O132" s="57">
        <f>Table22342102345[[#This Row],[yest_rect]]-Table22342102345[[#This Row],[REF]]</f>
        <v>1.8081920887947689E-2</v>
      </c>
      <c r="P132" s="57">
        <f>Table22342102345[[#This Row],[dif rec]]^2</f>
        <v>3.2695586299799894E-4</v>
      </c>
      <c r="Q132" s="57">
        <f>ABS(Table22342102345[[#This Row],[diff-bias]])</f>
        <v>1.2289251737820805E-2</v>
      </c>
      <c r="R132" s="57">
        <f ca="1">CELL("row",Table22342102345[[#This Row],[Position]])</f>
        <v>132</v>
      </c>
      <c r="S132" s="4">
        <f>Table22342102345[[#This Row],[REF]]-D$13</f>
        <v>1.1599998499999984</v>
      </c>
      <c r="T132" s="4">
        <f>ABS(Table22342102345[[#This Row],[lab-med]])</f>
        <v>1.1599998499999984</v>
      </c>
      <c r="U132" s="4">
        <f>Table22342102345[[#This Row],[Lesnoff]]-F$13</f>
        <v>1.1452793539852983</v>
      </c>
      <c r="V132" s="4">
        <f>ABS(Table22342102345[[#This Row],[anl-med]])</f>
        <v>1.1452793539852983</v>
      </c>
      <c r="W132" s="4">
        <f>Table22342102345[[#This Row],[lab-med]]*Table22342102345[[#This Row],[anl-med]]</f>
        <v>1.3285238788310412</v>
      </c>
    </row>
    <row r="133" spans="2:23" x14ac:dyDescent="0.25">
      <c r="B133" s="46">
        <f ca="1">VALUE((Table22342102345[[#This Row],[Column3]]-62))</f>
        <v>71</v>
      </c>
      <c r="C133" t="s">
        <v>139</v>
      </c>
      <c r="D133">
        <v>10.970000300000001</v>
      </c>
      <c r="E133"/>
      <c r="F133">
        <v>12.1066941805448</v>
      </c>
      <c r="G133" s="29">
        <f>Table22342102345[[#This Row],[Lesnoff]]-Table22342102345[[#This Row],[REF]]</f>
        <v>1.136693880544799</v>
      </c>
      <c r="H133" s="29">
        <f>Table22342102345[[#This Row],[X-Y]]-E$20</f>
        <v>0.34895192290207788</v>
      </c>
      <c r="I133" s="29">
        <f>Table22342102345[[#This Row],[Lesnoff]]-E$20</f>
        <v>11.318952222902078</v>
      </c>
      <c r="J133" s="29">
        <f>Table22342102345[[#This Row],[Lesnoff]]*E$21+E$22</f>
        <v>11.286630027230565</v>
      </c>
      <c r="K133" s="56">
        <f>Table22342102345[[#This Row],[Yest]]-Table22342102345[[#This Row],[REF]]</f>
        <v>0.31662972723056448</v>
      </c>
      <c r="L133" s="56">
        <f>ABS(Table22342102345[[#This Row],[RESyx]])</f>
        <v>0.31662972723056448</v>
      </c>
      <c r="M133" s="29">
        <f>Table22342102345[[#This Row],[Lesnoff]]*E$25+E$26</f>
        <v>11.325020954317333</v>
      </c>
      <c r="N133" s="29">
        <f>Table22342102345[[#This Row],[X-Y]]^2</f>
        <v>1.2920729780679938</v>
      </c>
      <c r="O133" s="57">
        <f>Table22342102345[[#This Row],[yest_rect]]-Table22342102345[[#This Row],[REF]]</f>
        <v>0.35502065431733243</v>
      </c>
      <c r="P133" s="57">
        <f>Table22342102345[[#This Row],[dif rec]]^2</f>
        <v>0.12603966499190686</v>
      </c>
      <c r="Q133" s="57">
        <f>ABS(Table22342102345[[#This Row],[diff-bias]])</f>
        <v>0.34895192290207788</v>
      </c>
      <c r="R133" s="57">
        <f ca="1">CELL("row",Table22342102345[[#This Row],[Position]])</f>
        <v>133</v>
      </c>
      <c r="S133" s="4">
        <f>Table22342102345[[#This Row],[REF]]-D$13</f>
        <v>-3.9999950000000339E-2</v>
      </c>
      <c r="T133" s="4">
        <f>ABS(Table22342102345[[#This Row],[lab-med]])</f>
        <v>3.9999950000000339E-2</v>
      </c>
      <c r="U133" s="4">
        <f>Table22342102345[[#This Row],[Lesnoff]]-F$13</f>
        <v>0.3065207286251983</v>
      </c>
      <c r="V133" s="4">
        <f>ABS(Table22342102345[[#This Row],[anl-med]])</f>
        <v>0.3065207286251983</v>
      </c>
      <c r="W133" s="4">
        <f>Table22342102345[[#This Row],[lab-med]]*Table22342102345[[#This Row],[anl-med]]</f>
        <v>-1.2260813818971605E-2</v>
      </c>
    </row>
    <row r="134" spans="2:23" x14ac:dyDescent="0.25">
      <c r="B134" s="46">
        <f ca="1">VALUE((Table22342102345[[#This Row],[Column3]]-62))</f>
        <v>72</v>
      </c>
      <c r="C134" t="s">
        <v>140</v>
      </c>
      <c r="D134">
        <v>12.2600002</v>
      </c>
      <c r="E134"/>
      <c r="F134">
        <v>13.4027162360748</v>
      </c>
      <c r="G134" s="29">
        <f>Table22342102345[[#This Row],[Lesnoff]]-Table22342102345[[#This Row],[REF]]</f>
        <v>1.1427160360748001</v>
      </c>
      <c r="H134" s="29">
        <f>Table22342102345[[#This Row],[X-Y]]-E$20</f>
        <v>0.35497407843207895</v>
      </c>
      <c r="I134" s="29">
        <f>Table22342102345[[#This Row],[Lesnoff]]-E$20</f>
        <v>12.614974278432079</v>
      </c>
      <c r="J134" s="29">
        <f>Table22342102345[[#This Row],[Lesnoff]]*E$21+E$22</f>
        <v>12.382652894912187</v>
      </c>
      <c r="K134" s="56">
        <f>Table22342102345[[#This Row],[Yest]]-Table22342102345[[#This Row],[REF]]</f>
        <v>0.12265269491218689</v>
      </c>
      <c r="L134" s="56">
        <f>ABS(Table22342102345[[#This Row],[RESyx]])</f>
        <v>0.12265269491218689</v>
      </c>
      <c r="M134" s="29">
        <f>Table22342102345[[#This Row],[Lesnoff]]*E$25+E$26</f>
        <v>12.658594337320748</v>
      </c>
      <c r="N134" s="29">
        <f>Table22342102345[[#This Row],[X-Y]]^2</f>
        <v>1.3057999391025039</v>
      </c>
      <c r="O134" s="57">
        <f>Table22342102345[[#This Row],[yest_rect]]-Table22342102345[[#This Row],[REF]]</f>
        <v>0.39859413732074778</v>
      </c>
      <c r="P134" s="57">
        <f>Table22342102345[[#This Row],[dif rec]]^2</f>
        <v>0.15887728630647113</v>
      </c>
      <c r="Q134" s="57">
        <f>ABS(Table22342102345[[#This Row],[diff-bias]])</f>
        <v>0.35497407843207895</v>
      </c>
      <c r="R134" s="57">
        <f ca="1">CELL("row",Table22342102345[[#This Row],[Position]])</f>
        <v>134</v>
      </c>
      <c r="S134" s="4">
        <f>Table22342102345[[#This Row],[REF]]-D$13</f>
        <v>1.2499999499999994</v>
      </c>
      <c r="T134" s="4">
        <f>ABS(Table22342102345[[#This Row],[lab-med]])</f>
        <v>1.2499999499999994</v>
      </c>
      <c r="U134" s="4">
        <f>Table22342102345[[#This Row],[Lesnoff]]-F$13</f>
        <v>1.6025427841551991</v>
      </c>
      <c r="V134" s="4">
        <f>ABS(Table22342102345[[#This Row],[anl-med]])</f>
        <v>1.6025427841551991</v>
      </c>
      <c r="W134" s="4">
        <f>Table22342102345[[#This Row],[lab-med]]*Table22342102345[[#This Row],[anl-med]]</f>
        <v>2.0031784000668589</v>
      </c>
    </row>
    <row r="135" spans="2:23" x14ac:dyDescent="0.25">
      <c r="B135" s="46">
        <f ca="1">VALUE((Table22342102345[[#This Row],[Column3]]-62))</f>
        <v>73</v>
      </c>
      <c r="C135" t="s">
        <v>141</v>
      </c>
      <c r="D135">
        <v>13.029999699999999</v>
      </c>
      <c r="E135"/>
      <c r="F135">
        <v>14.166667</v>
      </c>
      <c r="G135" s="29">
        <f>Table22342102345[[#This Row],[Lesnoff]]-Table22342102345[[#This Row],[REF]]</f>
        <v>1.1366673000000009</v>
      </c>
      <c r="H135" s="29">
        <f>Table22342102345[[#This Row],[X-Y]]-E$20</f>
        <v>0.34892534235727979</v>
      </c>
      <c r="I135" s="29">
        <f>Table22342102345[[#This Row],[Lesnoff]]-E$20</f>
        <v>13.378925042357279</v>
      </c>
      <c r="J135" s="29">
        <f>Table22342102345[[#This Row],[Lesnoff]]*E$21+E$22</f>
        <v>13.028712507456707</v>
      </c>
      <c r="K135" s="56">
        <f>Table22342102345[[#This Row],[Yest]]-Table22342102345[[#This Row],[REF]]</f>
        <v>-1.2871925432929032E-3</v>
      </c>
      <c r="L135" s="56">
        <f>ABS(Table22342102345[[#This Row],[RESyx]])</f>
        <v>1.2871925432929032E-3</v>
      </c>
      <c r="M135" s="29">
        <f>Table22342102345[[#This Row],[Lesnoff]]*E$25+E$26</f>
        <v>13.444680037289137</v>
      </c>
      <c r="N135" s="29">
        <f>Table22342102345[[#This Row],[X-Y]]^2</f>
        <v>1.2920125508892921</v>
      </c>
      <c r="O135" s="57">
        <f>Table22342102345[[#This Row],[yest_rect]]-Table22342102345[[#This Row],[REF]]</f>
        <v>0.41468033728913767</v>
      </c>
      <c r="P135" s="57">
        <f>Table22342102345[[#This Row],[dif rec]]^2</f>
        <v>0.17195978213423299</v>
      </c>
      <c r="Q135" s="57">
        <f>ABS(Table22342102345[[#This Row],[diff-bias]])</f>
        <v>0.34892534235727979</v>
      </c>
      <c r="R135" s="57">
        <f ca="1">CELL("row",Table22342102345[[#This Row],[Position]])</f>
        <v>135</v>
      </c>
      <c r="S135" s="4">
        <f>Table22342102345[[#This Row],[REF]]-D$13</f>
        <v>2.0199994499999985</v>
      </c>
      <c r="T135" s="4">
        <f>ABS(Table22342102345[[#This Row],[lab-med]])</f>
        <v>2.0199994499999985</v>
      </c>
      <c r="U135" s="4">
        <f>Table22342102345[[#This Row],[Lesnoff]]-F$13</f>
        <v>2.366493548080399</v>
      </c>
      <c r="V135" s="4">
        <f>ABS(Table22342102345[[#This Row],[anl-med]])</f>
        <v>2.366493548080399</v>
      </c>
      <c r="W135" s="4">
        <f>Table22342102345[[#This Row],[lab-med]]*Table22342102345[[#This Row],[anl-med]]</f>
        <v>4.7803156655509511</v>
      </c>
    </row>
    <row r="136" spans="2:23" x14ac:dyDescent="0.25">
      <c r="B136" s="46">
        <f ca="1">VALUE((Table22342102345[[#This Row],[Column3]]-62))</f>
        <v>74</v>
      </c>
      <c r="C136" t="s">
        <v>142</v>
      </c>
      <c r="D136">
        <v>12.359999699999999</v>
      </c>
      <c r="E136"/>
      <c r="F136">
        <v>13.0270948801682</v>
      </c>
      <c r="G136" s="29">
        <f>Table22342102345[[#This Row],[Lesnoff]]-Table22342102345[[#This Row],[REF]]</f>
        <v>0.66709518016820013</v>
      </c>
      <c r="H136" s="29">
        <f>Table22342102345[[#This Row],[X-Y]]-E$20</f>
        <v>-0.12064677747452102</v>
      </c>
      <c r="I136" s="29">
        <f>Table22342102345[[#This Row],[Lesnoff]]-E$20</f>
        <v>12.239352922525478</v>
      </c>
      <c r="J136" s="29">
        <f>Table22342102345[[#This Row],[Lesnoff]]*E$21+E$22</f>
        <v>12.064996575788163</v>
      </c>
      <c r="K136" s="56">
        <f>Table22342102345[[#This Row],[Yest]]-Table22342102345[[#This Row],[REF]]</f>
        <v>-0.29500312421183672</v>
      </c>
      <c r="L136" s="56">
        <f>ABS(Table22342102345[[#This Row],[RESyx]])</f>
        <v>0.29500312421183672</v>
      </c>
      <c r="M136" s="29">
        <f>Table22342102345[[#This Row],[Lesnoff]]*E$25+E$26</f>
        <v>12.27208961682828</v>
      </c>
      <c r="N136" s="29">
        <f>Table22342102345[[#This Row],[X-Y]]^2</f>
        <v>0.4450159794036434</v>
      </c>
      <c r="O136" s="57">
        <f>Table22342102345[[#This Row],[yest_rect]]-Table22342102345[[#This Row],[REF]]</f>
        <v>-8.7910083171719222E-2</v>
      </c>
      <c r="P136" s="57">
        <f>Table22342102345[[#This Row],[dif rec]]^2</f>
        <v>7.7281827232585911E-3</v>
      </c>
      <c r="Q136" s="57">
        <f>ABS(Table22342102345[[#This Row],[diff-bias]])</f>
        <v>0.12064677747452102</v>
      </c>
      <c r="R136" s="57">
        <f ca="1">CELL("row",Table22342102345[[#This Row],[Position]])</f>
        <v>136</v>
      </c>
      <c r="S136" s="4">
        <f>Table22342102345[[#This Row],[REF]]-D$13</f>
        <v>1.3499994499999985</v>
      </c>
      <c r="T136" s="4">
        <f>ABS(Table22342102345[[#This Row],[lab-med]])</f>
        <v>1.3499994499999985</v>
      </c>
      <c r="U136" s="4">
        <f>Table22342102345[[#This Row],[Lesnoff]]-F$13</f>
        <v>1.2269214282485983</v>
      </c>
      <c r="V136" s="4">
        <f>ABS(Table22342102345[[#This Row],[anl-med]])</f>
        <v>1.2269214282485983</v>
      </c>
      <c r="W136" s="4">
        <f>Table22342102345[[#This Row],[lab-med]]*Table22342102345[[#This Row],[anl-med]]</f>
        <v>1.6563432533288203</v>
      </c>
    </row>
    <row r="137" spans="2:23" x14ac:dyDescent="0.25">
      <c r="B137" s="46">
        <f ca="1">VALUE((Table22342102345[[#This Row],[Column3]]-62))</f>
        <v>75</v>
      </c>
      <c r="C137" t="s">
        <v>143</v>
      </c>
      <c r="D137">
        <v>12.399999599999999</v>
      </c>
      <c r="E137"/>
      <c r="F137">
        <v>13.1533395845592</v>
      </c>
      <c r="G137" s="29">
        <f>Table22342102345[[#This Row],[Lesnoff]]-Table22342102345[[#This Row],[REF]]</f>
        <v>0.75333998455920081</v>
      </c>
      <c r="H137" s="29">
        <f>Table22342102345[[#This Row],[X-Y]]-E$20</f>
        <v>-3.4401973083520332E-2</v>
      </c>
      <c r="I137" s="29">
        <f>Table22342102345[[#This Row],[Lesnoff]]-E$20</f>
        <v>12.365597626916479</v>
      </c>
      <c r="J137" s="29">
        <f>Table22342102345[[#This Row],[Lesnoff]]*E$21+E$22</f>
        <v>12.171759483368204</v>
      </c>
      <c r="K137" s="56">
        <f>Table22342102345[[#This Row],[Yest]]-Table22342102345[[#This Row],[REF]]</f>
        <v>-0.22824011663179533</v>
      </c>
      <c r="L137" s="56">
        <f>ABS(Table22342102345[[#This Row],[RESyx]])</f>
        <v>0.22824011663179533</v>
      </c>
      <c r="M137" s="29">
        <f>Table22342102345[[#This Row],[Lesnoff]]*E$25+E$26</f>
        <v>12.401992172732026</v>
      </c>
      <c r="N137" s="29">
        <f>Table22342102345[[#This Row],[X-Y]]^2</f>
        <v>0.56752113233565693</v>
      </c>
      <c r="O137" s="57">
        <f>Table22342102345[[#This Row],[yest_rect]]-Table22342102345[[#This Row],[REF]]</f>
        <v>1.9925727320266873E-3</v>
      </c>
      <c r="P137" s="57">
        <f>Table22342102345[[#This Row],[dif rec]]^2</f>
        <v>3.9703460924162962E-6</v>
      </c>
      <c r="Q137" s="57">
        <f>ABS(Table22342102345[[#This Row],[diff-bias]])</f>
        <v>3.4401973083520332E-2</v>
      </c>
      <c r="R137" s="57">
        <f ca="1">CELL("row",Table22342102345[[#This Row],[Position]])</f>
        <v>137</v>
      </c>
      <c r="S137" s="4">
        <f>Table22342102345[[#This Row],[REF]]-D$13</f>
        <v>1.3899993499999983</v>
      </c>
      <c r="T137" s="4">
        <f>ABS(Table22342102345[[#This Row],[lab-med]])</f>
        <v>1.3899993499999983</v>
      </c>
      <c r="U137" s="4">
        <f>Table22342102345[[#This Row],[Lesnoff]]-F$13</f>
        <v>1.3531661326395987</v>
      </c>
      <c r="V137" s="4">
        <f>ABS(Table22342102345[[#This Row],[anl-med]])</f>
        <v>1.3531661326395987</v>
      </c>
      <c r="W137" s="4">
        <f>Table22342102345[[#This Row],[lab-med]]*Table22342102345[[#This Row],[anl-med]]</f>
        <v>1.8809000448110538</v>
      </c>
    </row>
    <row r="138" spans="2:23" x14ac:dyDescent="0.25">
      <c r="B138" s="46">
        <f ca="1">VALUE((Table22342102345[[#This Row],[Column3]]-62))</f>
        <v>76</v>
      </c>
      <c r="C138" t="s">
        <v>144</v>
      </c>
      <c r="D138">
        <v>12.5</v>
      </c>
      <c r="E138"/>
      <c r="F138">
        <v>13.028466545156</v>
      </c>
      <c r="G138" s="29">
        <f>Table22342102345[[#This Row],[Lesnoff]]-Table22342102345[[#This Row],[REF]]</f>
        <v>0.52846654515600022</v>
      </c>
      <c r="H138" s="29">
        <f>Table22342102345[[#This Row],[X-Y]]-E$20</f>
        <v>-0.25927541248672092</v>
      </c>
      <c r="I138" s="29">
        <f>Table22342102345[[#This Row],[Lesnoff]]-E$20</f>
        <v>12.240724587513279</v>
      </c>
      <c r="J138" s="29">
        <f>Table22342102345[[#This Row],[Lesnoff]]*E$21+E$22</f>
        <v>12.066156568542155</v>
      </c>
      <c r="K138" s="56">
        <f>Table22342102345[[#This Row],[Yest]]-Table22342102345[[#This Row],[REF]]</f>
        <v>-0.43384343145784499</v>
      </c>
      <c r="L138" s="56">
        <f>ABS(Table22342102345[[#This Row],[RESyx]])</f>
        <v>0.43384343145784499</v>
      </c>
      <c r="M138" s="29">
        <f>Table22342102345[[#This Row],[Lesnoff]]*E$25+E$26</f>
        <v>12.273501024844311</v>
      </c>
      <c r="N138" s="29">
        <f>Table22342102345[[#This Row],[X-Y]]^2</f>
        <v>0.27927688934911882</v>
      </c>
      <c r="O138" s="57">
        <f>Table22342102345[[#This Row],[yest_rect]]-Table22342102345[[#This Row],[REF]]</f>
        <v>-0.22649897515568895</v>
      </c>
      <c r="P138" s="57">
        <f>Table22342102345[[#This Row],[dif rec]]^2</f>
        <v>5.13017857465774E-2</v>
      </c>
      <c r="Q138" s="57">
        <f>ABS(Table22342102345[[#This Row],[diff-bias]])</f>
        <v>0.25927541248672092</v>
      </c>
      <c r="R138" s="57">
        <f ca="1">CELL("row",Table22342102345[[#This Row],[Position]])</f>
        <v>138</v>
      </c>
      <c r="S138" s="4">
        <f>Table22342102345[[#This Row],[REF]]-D$13</f>
        <v>1.4899997499999991</v>
      </c>
      <c r="T138" s="4">
        <f>ABS(Table22342102345[[#This Row],[lab-med]])</f>
        <v>1.4899997499999991</v>
      </c>
      <c r="U138" s="4">
        <f>Table22342102345[[#This Row],[Lesnoff]]-F$13</f>
        <v>1.2282930932363989</v>
      </c>
      <c r="V138" s="4">
        <f>ABS(Table22342102345[[#This Row],[anl-med]])</f>
        <v>1.2282930932363989</v>
      </c>
      <c r="W138" s="4">
        <f>Table22342102345[[#This Row],[lab-med]]*Table22342102345[[#This Row],[anl-med]]</f>
        <v>1.83015640184896</v>
      </c>
    </row>
    <row r="139" spans="2:23" x14ac:dyDescent="0.25">
      <c r="B139" s="46">
        <f ca="1">VALUE((Table22342102345[[#This Row],[Column3]]-62))</f>
        <v>77</v>
      </c>
      <c r="C139" t="s">
        <v>145</v>
      </c>
      <c r="D139">
        <v>12.600000400000001</v>
      </c>
      <c r="E139"/>
      <c r="F139">
        <v>13.5463269566891</v>
      </c>
      <c r="G139" s="29">
        <f>Table22342102345[[#This Row],[Lesnoff]]-Table22342102345[[#This Row],[REF]]</f>
        <v>0.94632655668909926</v>
      </c>
      <c r="H139" s="29">
        <f>Table22342102345[[#This Row],[X-Y]]-E$20</f>
        <v>0.15858459904637812</v>
      </c>
      <c r="I139" s="29">
        <f>Table22342102345[[#This Row],[Lesnoff]]-E$20</f>
        <v>12.758584999046379</v>
      </c>
      <c r="J139" s="29">
        <f>Table22342102345[[#This Row],[Lesnoff]]*E$21+E$22</f>
        <v>12.504101934429606</v>
      </c>
      <c r="K139" s="56">
        <f>Table22342102345[[#This Row],[Yest]]-Table22342102345[[#This Row],[REF]]</f>
        <v>-9.589846557039472E-2</v>
      </c>
      <c r="L139" s="56">
        <f>ABS(Table22342102345[[#This Row],[RESyx]])</f>
        <v>9.589846557039472E-2</v>
      </c>
      <c r="M139" s="29">
        <f>Table22342102345[[#This Row],[Lesnoff]]*E$25+E$26</f>
        <v>12.806366077553093</v>
      </c>
      <c r="N139" s="29">
        <f>Table22342102345[[#This Row],[X-Y]]^2</f>
        <v>0.89553395189504703</v>
      </c>
      <c r="O139" s="57">
        <f>Table22342102345[[#This Row],[yest_rect]]-Table22342102345[[#This Row],[REF]]</f>
        <v>0.20636567755309265</v>
      </c>
      <c r="P139" s="57">
        <f>Table22342102345[[#This Row],[dif rec]]^2</f>
        <v>4.2586792871947006E-2</v>
      </c>
      <c r="Q139" s="57">
        <f>ABS(Table22342102345[[#This Row],[diff-bias]])</f>
        <v>0.15858459904637812</v>
      </c>
      <c r="R139" s="57">
        <f ca="1">CELL("row",Table22342102345[[#This Row],[Position]])</f>
        <v>139</v>
      </c>
      <c r="S139" s="4">
        <f>Table22342102345[[#This Row],[REF]]-D$13</f>
        <v>1.5900001499999998</v>
      </c>
      <c r="T139" s="4">
        <f>ABS(Table22342102345[[#This Row],[lab-med]])</f>
        <v>1.5900001499999998</v>
      </c>
      <c r="U139" s="4">
        <f>Table22342102345[[#This Row],[Lesnoff]]-F$13</f>
        <v>1.7461535047694987</v>
      </c>
      <c r="V139" s="4">
        <f>ABS(Table22342102345[[#This Row],[anl-med]])</f>
        <v>1.7461535047694987</v>
      </c>
      <c r="W139" s="4">
        <f>Table22342102345[[#This Row],[lab-med]]*Table22342102345[[#This Row],[anl-med]]</f>
        <v>2.7763843345065284</v>
      </c>
    </row>
    <row r="140" spans="2:23" x14ac:dyDescent="0.25">
      <c r="B140" s="46">
        <f ca="1">VALUE((Table22342102345[[#This Row],[Column3]]-62))</f>
        <v>78</v>
      </c>
      <c r="C140" t="s">
        <v>146</v>
      </c>
      <c r="D140">
        <v>12.670000099999999</v>
      </c>
      <c r="E140"/>
      <c r="F140">
        <v>13.5328669993691</v>
      </c>
      <c r="G140" s="29">
        <f>Table22342102345[[#This Row],[Lesnoff]]-Table22342102345[[#This Row],[REF]]</f>
        <v>0.86286689936910044</v>
      </c>
      <c r="H140" s="29">
        <f>Table22342102345[[#This Row],[X-Y]]-E$20</f>
        <v>7.5124941726379291E-2</v>
      </c>
      <c r="I140" s="29">
        <f>Table22342102345[[#This Row],[Lesnoff]]-E$20</f>
        <v>12.745125041726379</v>
      </c>
      <c r="J140" s="29">
        <f>Table22342102345[[#This Row],[Lesnoff]]*E$21+E$22</f>
        <v>12.49271908723361</v>
      </c>
      <c r="K140" s="56">
        <f>Table22342102345[[#This Row],[Yest]]-Table22342102345[[#This Row],[REF]]</f>
        <v>-0.17728101276638952</v>
      </c>
      <c r="L140" s="56">
        <f>ABS(Table22342102345[[#This Row],[RESyx]])</f>
        <v>0.17728101276638952</v>
      </c>
      <c r="M140" s="29">
        <f>Table22342102345[[#This Row],[Lesnoff]]*E$25+E$26</f>
        <v>12.792516127437102</v>
      </c>
      <c r="N140" s="29">
        <f>Table22342102345[[#This Row],[X-Y]]^2</f>
        <v>0.74453928602684527</v>
      </c>
      <c r="O140" s="57">
        <f>Table22342102345[[#This Row],[yest_rect]]-Table22342102345[[#This Row],[REF]]</f>
        <v>0.12251602743710244</v>
      </c>
      <c r="P140" s="57">
        <f>Table22342102345[[#This Row],[dif rec]]^2</f>
        <v>1.5010176978968837E-2</v>
      </c>
      <c r="Q140" s="57">
        <f>ABS(Table22342102345[[#This Row],[diff-bias]])</f>
        <v>7.5124941726379291E-2</v>
      </c>
      <c r="R140" s="57">
        <f ca="1">CELL("row",Table22342102345[[#This Row],[Position]])</f>
        <v>140</v>
      </c>
      <c r="S140" s="4">
        <f>Table22342102345[[#This Row],[REF]]-D$13</f>
        <v>1.6599998499999984</v>
      </c>
      <c r="T140" s="4">
        <f>ABS(Table22342102345[[#This Row],[lab-med]])</f>
        <v>1.6599998499999984</v>
      </c>
      <c r="U140" s="4">
        <f>Table22342102345[[#This Row],[Lesnoff]]-F$13</f>
        <v>1.7326935474494984</v>
      </c>
      <c r="V140" s="4">
        <f>ABS(Table22342102345[[#This Row],[anl-med]])</f>
        <v>1.7326935474494984</v>
      </c>
      <c r="W140" s="4">
        <f>Table22342102345[[#This Row],[lab-med]]*Table22342102345[[#This Row],[anl-med]]</f>
        <v>2.8762710288621327</v>
      </c>
    </row>
    <row r="141" spans="2:23" x14ac:dyDescent="0.25">
      <c r="B141" s="46">
        <f ca="1">VALUE((Table22342102345[[#This Row],[Column3]]-62))</f>
        <v>79</v>
      </c>
      <c r="C141" t="s">
        <v>147</v>
      </c>
      <c r="D141">
        <v>12.699999800000001</v>
      </c>
      <c r="E141"/>
      <c r="F141">
        <v>12.2642652498413</v>
      </c>
      <c r="G141" s="29">
        <f>Table22342102345[[#This Row],[Lesnoff]]-Table22342102345[[#This Row],[REF]]</f>
        <v>-0.43573455015870088</v>
      </c>
      <c r="H141" s="29">
        <f>Table22342102345[[#This Row],[X-Y]]-E$20</f>
        <v>-1.223476507801422</v>
      </c>
      <c r="I141" s="29">
        <f>Table22342102345[[#This Row],[Lesnoff]]-E$20</f>
        <v>11.476523292198578</v>
      </c>
      <c r="J141" s="29">
        <f>Table22342102345[[#This Row],[Lesnoff]]*E$21+E$22</f>
        <v>11.419885086044657</v>
      </c>
      <c r="K141" s="56">
        <f>Table22342102345[[#This Row],[Yest]]-Table22342102345[[#This Row],[REF]]</f>
        <v>-1.2801147139553439</v>
      </c>
      <c r="L141" s="56">
        <f>ABS(Table22342102345[[#This Row],[RESyx]])</f>
        <v>1.2801147139553439</v>
      </c>
      <c r="M141" s="29">
        <f>Table22342102345[[#This Row],[Lesnoff]]*E$25+E$26</f>
        <v>11.487157534515628</v>
      </c>
      <c r="N141" s="29">
        <f>Table22342102345[[#This Row],[X-Y]]^2</f>
        <v>0.18986459820200541</v>
      </c>
      <c r="O141" s="57">
        <f>Table22342102345[[#This Row],[yest_rect]]-Table22342102345[[#This Row],[REF]]</f>
        <v>-1.2128422654843725</v>
      </c>
      <c r="P141" s="57">
        <f>Table22342102345[[#This Row],[dif rec]]^2</f>
        <v>1.4709863609452649</v>
      </c>
      <c r="Q141" s="57">
        <f>ABS(Table22342102345[[#This Row],[diff-bias]])</f>
        <v>1.223476507801422</v>
      </c>
      <c r="R141" s="57">
        <f ca="1">CELL("row",Table22342102345[[#This Row],[Position]])</f>
        <v>141</v>
      </c>
      <c r="S141" s="4">
        <f>Table22342102345[[#This Row],[REF]]-D$13</f>
        <v>1.6899995499999996</v>
      </c>
      <c r="T141" s="4">
        <f>ABS(Table22342102345[[#This Row],[lab-med]])</f>
        <v>1.6899995499999996</v>
      </c>
      <c r="U141" s="4">
        <f>Table22342102345[[#This Row],[Lesnoff]]-F$13</f>
        <v>0.4640917979216983</v>
      </c>
      <c r="V141" s="4">
        <f>ABS(Table22342102345[[#This Row],[anl-med]])</f>
        <v>0.4640917979216983</v>
      </c>
      <c r="W141" s="4">
        <f>Table22342102345[[#This Row],[lab-med]]*Table22342102345[[#This Row],[anl-med]]</f>
        <v>0.78431492964636085</v>
      </c>
    </row>
    <row r="142" spans="2:23" x14ac:dyDescent="0.25">
      <c r="B142" s="46">
        <f ca="1">VALUE((Table22342102345[[#This Row],[Column3]]-62))</f>
        <v>80</v>
      </c>
      <c r="C142" t="s">
        <v>148</v>
      </c>
      <c r="D142">
        <v>14.4300003</v>
      </c>
      <c r="E142"/>
      <c r="F142">
        <v>15.822368600000001</v>
      </c>
      <c r="G142" s="29">
        <f>Table22342102345[[#This Row],[Lesnoff]]-Table22342102345[[#This Row],[REF]]</f>
        <v>1.3923683000000011</v>
      </c>
      <c r="H142" s="29">
        <f>Table22342102345[[#This Row],[X-Y]]-E$20</f>
        <v>0.60462634235727997</v>
      </c>
      <c r="I142" s="29">
        <f>Table22342102345[[#This Row],[Lesnoff]]-E$20</f>
        <v>15.03462664235728</v>
      </c>
      <c r="J142" s="29">
        <f>Table22342102345[[#This Row],[Lesnoff]]*E$21+E$22</f>
        <v>14.428909987055109</v>
      </c>
      <c r="K142" s="56">
        <f>Table22342102345[[#This Row],[Yest]]-Table22342102345[[#This Row],[REF]]</f>
        <v>-1.0903129448909255E-3</v>
      </c>
      <c r="L142" s="56">
        <f>ABS(Table22342102345[[#This Row],[RESyx]])</f>
        <v>1.0903129448909255E-3</v>
      </c>
      <c r="M142" s="29">
        <f>Table22342102345[[#This Row],[Lesnoff]]*E$25+E$26</f>
        <v>15.148354426575066</v>
      </c>
      <c r="N142" s="29">
        <f>Table22342102345[[#This Row],[X-Y]]^2</f>
        <v>1.9386894828448931</v>
      </c>
      <c r="O142" s="57">
        <f>Table22342102345[[#This Row],[yest_rect]]-Table22342102345[[#This Row],[REF]]</f>
        <v>0.71835412657506659</v>
      </c>
      <c r="P142" s="57">
        <f>Table22342102345[[#This Row],[dif rec]]^2</f>
        <v>0.5160326511674268</v>
      </c>
      <c r="Q142" s="57">
        <f>ABS(Table22342102345[[#This Row],[diff-bias]])</f>
        <v>0.60462634235727997</v>
      </c>
      <c r="R142" s="57">
        <f ca="1">CELL("row",Table22342102345[[#This Row],[Position]])</f>
        <v>142</v>
      </c>
      <c r="S142" s="4">
        <f>Table22342102345[[#This Row],[REF]]-D$13</f>
        <v>3.4200000499999987</v>
      </c>
      <c r="T142" s="4">
        <f>ABS(Table22342102345[[#This Row],[lab-med]])</f>
        <v>3.4200000499999987</v>
      </c>
      <c r="U142" s="4">
        <f>Table22342102345[[#This Row],[Lesnoff]]-F$13</f>
        <v>4.0221951480803995</v>
      </c>
      <c r="V142" s="4">
        <f>ABS(Table22342102345[[#This Row],[anl-med]])</f>
        <v>4.0221951480803995</v>
      </c>
      <c r="W142" s="4">
        <f>Table22342102345[[#This Row],[lab-med]]*Table22342102345[[#This Row],[anl-med]]</f>
        <v>13.755907607544719</v>
      </c>
    </row>
  </sheetData>
  <mergeCells count="1">
    <mergeCell ref="C3:K3"/>
  </mergeCells>
  <conditionalFormatting sqref="F63:F142">
    <cfRule type="expression" dxfId="232" priority="2" stopIfTrue="1">
      <formula>ABS(F63-#REF!)/#REF!&gt;3</formula>
    </cfRule>
  </conditionalFormatting>
  <conditionalFormatting sqref="D68:D72">
    <cfRule type="expression" dxfId="231" priority="1" stopIfTrue="1">
      <formula>ABS(D68-#REF!)/#REF!&gt;3</formula>
    </cfRule>
  </conditionalFormatting>
  <pageMargins left="0.75" right="0.75" top="1" bottom="1" header="0.5" footer="0.5"/>
  <pageSetup paperSize="9" scale="65" orientation="portrait" r:id="rId1"/>
  <headerFooter alignWithMargins="0">
    <oddHeader>&amp;A</oddHeader>
    <oddFooter>&amp;F</oddFooter>
  </headerFooter>
  <rowBreaks count="1" manualBreakCount="1">
    <brk id="58" max="16383" man="1"/>
  </rowBreaks>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C66F4-C7BD-4E8C-BFC9-B55338B5F825}">
  <sheetPr>
    <pageSetUpPr fitToPage="1"/>
  </sheetPr>
  <dimension ref="B1:AB142"/>
  <sheetViews>
    <sheetView topLeftCell="A11" zoomScale="80" zoomScaleNormal="80" workbookViewId="0">
      <selection activeCell="F63" sqref="F63:F142"/>
    </sheetView>
  </sheetViews>
  <sheetFormatPr defaultColWidth="8.88671875" defaultRowHeight="13.2" x14ac:dyDescent="0.25"/>
  <cols>
    <col min="1" max="1" width="3.109375" style="2" customWidth="1"/>
    <col min="2" max="2" width="9.44140625" style="2" customWidth="1"/>
    <col min="3" max="3" width="20.88671875" style="2" customWidth="1"/>
    <col min="4" max="4" width="15.44140625" style="61" customWidth="1"/>
    <col min="5" max="5" width="10.88671875" style="61" customWidth="1"/>
    <col min="6" max="6" width="13.5546875" style="61" customWidth="1"/>
    <col min="7" max="7" width="10.33203125" style="2" customWidth="1"/>
    <col min="8" max="8" width="13.33203125" style="2" customWidth="1"/>
    <col min="9" max="9" width="10.5546875" style="2" customWidth="1"/>
    <col min="10" max="10" width="15" style="2" customWidth="1"/>
    <col min="11" max="11" width="12.109375" style="3" customWidth="1"/>
    <col min="12" max="12" width="9.109375" style="3" customWidth="1"/>
    <col min="13" max="13" width="7.6640625" style="2" customWidth="1"/>
    <col min="14" max="14" width="7" style="2" customWidth="1"/>
    <col min="15" max="15" width="11.109375" style="2" customWidth="1"/>
    <col min="16" max="16" width="10.109375" style="2" customWidth="1"/>
    <col min="17" max="17" width="6.33203125" style="2" customWidth="1"/>
    <col min="18" max="20" width="8.88671875" style="2"/>
    <col min="21" max="21" width="9.33203125" style="2" customWidth="1"/>
    <col min="22" max="23" width="8.88671875" style="2"/>
    <col min="24" max="24" width="9.109375" style="2" customWidth="1"/>
    <col min="25" max="16384" width="8.88671875" style="2"/>
  </cols>
  <sheetData>
    <row r="1" spans="2:28" ht="15.6" customHeight="1" x14ac:dyDescent="0.25">
      <c r="B1" s="1"/>
      <c r="C1" s="1"/>
      <c r="D1" s="2"/>
      <c r="E1" s="1"/>
      <c r="F1" s="2"/>
      <c r="M1" s="3"/>
      <c r="N1" s="3"/>
      <c r="O1" s="3"/>
      <c r="P1" s="3"/>
      <c r="Q1" s="3"/>
      <c r="R1" s="3"/>
      <c r="S1" s="3"/>
      <c r="T1" s="3"/>
      <c r="U1" s="3"/>
      <c r="V1" s="3"/>
      <c r="W1" s="1" t="s">
        <v>53</v>
      </c>
    </row>
    <row r="2" spans="2:28" ht="6.6" customHeight="1" x14ac:dyDescent="0.3">
      <c r="D2" s="4"/>
      <c r="E2" s="4"/>
      <c r="F2" s="4"/>
      <c r="G2" s="5"/>
      <c r="H2" s="4"/>
      <c r="I2" s="4"/>
      <c r="J2" s="4"/>
      <c r="K2" s="6"/>
      <c r="L2" s="6"/>
      <c r="M2" s="6"/>
      <c r="N2" s="6"/>
      <c r="O2" s="6"/>
      <c r="P2" s="6"/>
      <c r="Q2" s="6"/>
      <c r="R2" s="6"/>
      <c r="S2" s="6"/>
      <c r="T2" s="6"/>
      <c r="U2" s="6"/>
      <c r="V2" s="6"/>
      <c r="W2" s="3"/>
    </row>
    <row r="3" spans="2:28" ht="20.399999999999999" x14ac:dyDescent="0.35">
      <c r="C3" s="98" t="s">
        <v>168</v>
      </c>
      <c r="D3" s="98"/>
      <c r="E3" s="98"/>
      <c r="F3" s="98"/>
      <c r="G3" s="98"/>
      <c r="H3" s="98"/>
      <c r="I3" s="98"/>
      <c r="J3" s="98"/>
      <c r="K3" s="98"/>
      <c r="L3" s="6"/>
      <c r="M3" s="6"/>
      <c r="N3" s="6"/>
      <c r="O3" s="6"/>
      <c r="P3" s="6"/>
      <c r="Q3" s="6"/>
      <c r="R3" s="6"/>
      <c r="S3" s="6"/>
      <c r="T3" s="6"/>
      <c r="U3" s="6"/>
      <c r="V3" s="6"/>
      <c r="W3" s="3"/>
    </row>
    <row r="4" spans="2:28" ht="7.2" customHeight="1" x14ac:dyDescent="0.25">
      <c r="D4" s="4"/>
      <c r="E4" s="4"/>
      <c r="F4" s="4"/>
      <c r="G4" s="4"/>
      <c r="H4" s="4"/>
      <c r="I4" s="4"/>
      <c r="J4" s="4"/>
      <c r="K4" s="6"/>
      <c r="L4" s="6"/>
      <c r="M4" s="6"/>
      <c r="N4" s="6"/>
      <c r="O4" s="6"/>
      <c r="P4" s="6"/>
      <c r="Q4" s="6"/>
      <c r="R4" s="6"/>
      <c r="S4" s="6"/>
      <c r="T4" s="6"/>
      <c r="U4" s="6"/>
      <c r="V4" s="6"/>
      <c r="W4" s="36"/>
      <c r="X4" s="30"/>
      <c r="Y4" s="30"/>
      <c r="Z4" s="30"/>
      <c r="AA4" s="30"/>
      <c r="AB4" s="30"/>
    </row>
    <row r="5" spans="2:28" ht="7.95" customHeight="1" thickBot="1" x14ac:dyDescent="0.3">
      <c r="D5" s="4"/>
      <c r="E5" s="4"/>
      <c r="F5" s="4"/>
      <c r="G5" s="4"/>
      <c r="H5" s="4"/>
      <c r="I5" s="4"/>
      <c r="J5" s="4"/>
      <c r="K5" s="6"/>
      <c r="L5" s="6"/>
      <c r="M5" s="6"/>
      <c r="N5" s="6"/>
      <c r="O5" s="6"/>
      <c r="P5" s="6"/>
      <c r="Q5" s="6"/>
      <c r="R5" s="6"/>
      <c r="S5" s="6"/>
      <c r="T5" s="6"/>
      <c r="U5" s="6"/>
      <c r="V5" s="6"/>
      <c r="W5" s="36"/>
      <c r="X5" s="30"/>
      <c r="Y5" s="30"/>
      <c r="Z5" s="30"/>
      <c r="AA5" s="30"/>
      <c r="AB5" s="30"/>
    </row>
    <row r="6" spans="2:28" ht="17.399999999999999" x14ac:dyDescent="0.3">
      <c r="B6" s="47"/>
      <c r="C6" s="48" t="str">
        <f>CONCATENATE(D62," = f (",F62," )")</f>
        <v>REF = f (Roger )</v>
      </c>
      <c r="D6" s="49"/>
      <c r="E6" s="48"/>
      <c r="F6" s="48"/>
      <c r="G6" s="8"/>
      <c r="H6" s="65" t="s">
        <v>38</v>
      </c>
      <c r="I6" s="7"/>
      <c r="J6" s="8"/>
      <c r="M6" s="3"/>
      <c r="N6" s="3"/>
      <c r="O6" s="3"/>
      <c r="P6" s="3"/>
      <c r="Q6" s="3"/>
      <c r="R6" s="3"/>
      <c r="S6" s="3"/>
      <c r="T6" s="3"/>
      <c r="U6" s="3"/>
      <c r="V6" s="3"/>
      <c r="W6" s="36"/>
      <c r="X6" s="30"/>
      <c r="Y6" s="30"/>
      <c r="Z6" s="30"/>
      <c r="AA6" s="30"/>
      <c r="AB6" s="30"/>
    </row>
    <row r="7" spans="2:28" ht="17.399999999999999" x14ac:dyDescent="0.3">
      <c r="B7" s="50"/>
      <c r="C7" s="36"/>
      <c r="D7" s="45" t="str">
        <f>D62</f>
        <v>REF</v>
      </c>
      <c r="E7" s="45"/>
      <c r="F7" s="45" t="str">
        <f>F62</f>
        <v>Roger</v>
      </c>
      <c r="G7" s="10"/>
      <c r="H7" s="66" t="s">
        <v>22</v>
      </c>
      <c r="I7" s="9">
        <v>500</v>
      </c>
      <c r="J7" s="10"/>
      <c r="M7" s="3"/>
      <c r="N7" s="3"/>
      <c r="O7" s="3"/>
      <c r="P7" s="3"/>
      <c r="Q7" s="3"/>
      <c r="R7" s="3"/>
      <c r="S7" s="3"/>
      <c r="T7" s="3"/>
      <c r="U7" s="3"/>
      <c r="V7" s="3"/>
      <c r="W7" s="36"/>
      <c r="X7" s="30" t="s">
        <v>30</v>
      </c>
      <c r="Y7" s="30"/>
      <c r="Z7" s="30"/>
      <c r="AA7" s="30"/>
      <c r="AB7" s="30"/>
    </row>
    <row r="8" spans="2:28" ht="17.399999999999999" x14ac:dyDescent="0.3">
      <c r="B8" s="50"/>
      <c r="C8" s="51" t="s">
        <v>22</v>
      </c>
      <c r="D8" s="23"/>
      <c r="E8" s="45">
        <f>COUNT(Table223421023456[REF])</f>
        <v>80</v>
      </c>
      <c r="F8" s="23"/>
      <c r="G8" s="10"/>
      <c r="H8" s="66" t="s">
        <v>39</v>
      </c>
      <c r="I8" s="9">
        <v>1.2</v>
      </c>
      <c r="J8" s="10"/>
      <c r="M8" s="3"/>
      <c r="N8" s="3"/>
      <c r="O8" s="3"/>
      <c r="P8" s="3"/>
      <c r="Q8" s="3"/>
      <c r="R8" s="3"/>
      <c r="S8" s="3"/>
      <c r="T8" s="3"/>
      <c r="U8" s="3"/>
      <c r="V8" s="3"/>
      <c r="W8" s="36"/>
      <c r="X8" s="37">
        <f>62+E8</f>
        <v>142</v>
      </c>
      <c r="Y8" s="30"/>
      <c r="Z8" s="38"/>
      <c r="AA8" s="30"/>
      <c r="AB8" s="30"/>
    </row>
    <row r="9" spans="2:28" ht="16.2" thickBot="1" x14ac:dyDescent="0.35">
      <c r="B9" s="50"/>
      <c r="C9" s="51" t="s">
        <v>6</v>
      </c>
      <c r="D9" s="24">
        <f>AVERAGE(Table223421023456[REF])</f>
        <v>11.109499980000002</v>
      </c>
      <c r="E9" s="24"/>
      <c r="F9" s="24">
        <f>AVERAGE(Table223421023456[Roger])</f>
        <v>11.661915000000002</v>
      </c>
      <c r="G9" s="69"/>
      <c r="H9" s="67" t="s">
        <v>43</v>
      </c>
      <c r="I9" s="13"/>
      <c r="J9" s="14">
        <v>12</v>
      </c>
      <c r="M9" s="3"/>
      <c r="N9" s="3"/>
      <c r="O9" s="3"/>
      <c r="P9" s="3"/>
      <c r="Q9" s="3"/>
      <c r="R9" s="3"/>
      <c r="S9" s="3"/>
      <c r="T9" s="3"/>
      <c r="U9" s="3"/>
      <c r="V9" s="3"/>
      <c r="W9" s="56"/>
      <c r="X9" s="30"/>
      <c r="Y9" s="30"/>
      <c r="Z9" s="30"/>
      <c r="AA9" s="30"/>
      <c r="AB9" s="30"/>
    </row>
    <row r="10" spans="2:28" ht="16.2" thickBot="1" x14ac:dyDescent="0.35">
      <c r="B10" s="50"/>
      <c r="C10" s="51" t="s">
        <v>7</v>
      </c>
      <c r="D10" s="24">
        <f>MIN(Table223421023456[REF])</f>
        <v>8.9700003000000006</v>
      </c>
      <c r="E10" s="24">
        <f>ROUNDDOWN(MIN(D10,F10),0)</f>
        <v>6</v>
      </c>
      <c r="F10" s="24">
        <f>MIN(Table223421023456[Roger])</f>
        <v>6.8712999999999997</v>
      </c>
      <c r="G10" s="70"/>
      <c r="H10" s="68" t="s">
        <v>40</v>
      </c>
      <c r="I10" s="15">
        <v>0.05</v>
      </c>
      <c r="J10" s="16"/>
      <c r="M10" s="3"/>
      <c r="N10" s="3"/>
      <c r="O10" s="3"/>
      <c r="P10" s="3"/>
      <c r="Q10" s="3"/>
      <c r="R10" s="3"/>
      <c r="S10" s="3"/>
      <c r="T10" s="3"/>
      <c r="U10" s="3"/>
      <c r="V10" s="3"/>
      <c r="W10" s="56">
        <f>E10+E20</f>
        <v>6.5524150199999998</v>
      </c>
      <c r="X10" s="30"/>
      <c r="Y10" s="30"/>
      <c r="Z10" s="30"/>
      <c r="AA10" s="30"/>
      <c r="AB10" s="30"/>
    </row>
    <row r="11" spans="2:28" ht="15.6" x14ac:dyDescent="0.3">
      <c r="B11" s="50"/>
      <c r="C11" s="51" t="s">
        <v>8</v>
      </c>
      <c r="D11" s="24">
        <f>MAX(Table223421023456[REF])</f>
        <v>14.4300003</v>
      </c>
      <c r="E11" s="24">
        <f>ROUNDUP(MAX(D11,F11),0)+1</f>
        <v>18</v>
      </c>
      <c r="F11" s="24">
        <f>MAX(Table223421023456[Roger])</f>
        <v>16.427</v>
      </c>
      <c r="G11" s="70"/>
      <c r="H11" s="28" t="s">
        <v>41</v>
      </c>
      <c r="I11" s="29">
        <f>TINV(I10,E8)</f>
        <v>1.9900634212544475</v>
      </c>
      <c r="J11" s="29"/>
      <c r="K11" s="36"/>
      <c r="M11" s="3"/>
      <c r="N11" s="3"/>
      <c r="O11" s="3"/>
      <c r="P11" s="3"/>
      <c r="Q11" s="3"/>
      <c r="R11" s="3"/>
      <c r="S11" s="3"/>
      <c r="T11" s="3"/>
      <c r="U11" s="3"/>
      <c r="V11" s="3"/>
      <c r="W11" s="56">
        <f>E11+E20</f>
        <v>18.552415019999998</v>
      </c>
      <c r="X11" s="30"/>
      <c r="Y11" s="30"/>
      <c r="Z11" s="30"/>
      <c r="AA11" s="30"/>
      <c r="AB11" s="30"/>
    </row>
    <row r="12" spans="2:28" ht="15.6" x14ac:dyDescent="0.3">
      <c r="B12" s="50"/>
      <c r="C12" s="51" t="s">
        <v>9</v>
      </c>
      <c r="D12" s="25">
        <f>STDEV(Table223421023456[REF])</f>
        <v>1.1729049824811564</v>
      </c>
      <c r="E12" s="25"/>
      <c r="F12" s="24">
        <f>STDEV(Table223421023456[Roger])</f>
        <v>1.6914398593348823</v>
      </c>
      <c r="G12" s="69"/>
      <c r="H12" s="28" t="s">
        <v>42</v>
      </c>
      <c r="I12" s="29">
        <f>FINV(I10,E8-1,I7-1-J9)</f>
        <v>1.305795130911809</v>
      </c>
      <c r="J12" s="30"/>
      <c r="K12" s="36"/>
      <c r="M12" s="3"/>
      <c r="N12" s="3"/>
      <c r="O12" s="3"/>
      <c r="P12" s="3"/>
      <c r="Q12" s="3"/>
      <c r="R12" s="3"/>
      <c r="S12" s="3"/>
      <c r="T12" s="3"/>
      <c r="U12" s="3"/>
      <c r="V12" s="3"/>
      <c r="W12" s="36"/>
      <c r="X12" s="30"/>
      <c r="Y12" s="30"/>
      <c r="Z12" s="30"/>
      <c r="AA12" s="30"/>
      <c r="AB12" s="30"/>
    </row>
    <row r="13" spans="2:28" ht="15.6" x14ac:dyDescent="0.3">
      <c r="B13" s="50"/>
      <c r="C13" s="51" t="s">
        <v>56</v>
      </c>
      <c r="D13" s="24">
        <f>MEDIAN(Table223421023456[REF])</f>
        <v>11.010000250000001</v>
      </c>
      <c r="E13" s="25"/>
      <c r="F13" s="24">
        <f>MEDIAN(Table223421023456[Roger])</f>
        <v>11.781499999999999</v>
      </c>
      <c r="G13" s="69"/>
      <c r="H13" s="28"/>
      <c r="I13" s="29"/>
      <c r="J13" s="30"/>
      <c r="K13" s="36"/>
      <c r="M13" s="3"/>
      <c r="N13" s="3"/>
      <c r="O13" s="3"/>
      <c r="P13" s="3"/>
      <c r="Q13" s="3"/>
      <c r="R13" s="3"/>
      <c r="S13" s="3"/>
      <c r="T13" s="3"/>
      <c r="U13" s="3"/>
      <c r="V13" s="3"/>
      <c r="W13" s="36"/>
      <c r="X13" s="30"/>
      <c r="Y13" s="30"/>
      <c r="Z13" s="30"/>
      <c r="AA13" s="30"/>
      <c r="AB13" s="30"/>
    </row>
    <row r="14" spans="2:28" ht="15.6" x14ac:dyDescent="0.3">
      <c r="B14" s="50"/>
      <c r="C14" s="51" t="s">
        <v>57</v>
      </c>
      <c r="D14" s="25">
        <f>1.4826*(MEDIAN(Table223421023456[abs(lab)]))</f>
        <v>1.4677736293499986</v>
      </c>
      <c r="E14" s="25"/>
      <c r="F14" s="24">
        <f>1.4826*MEDIAN(Table223421023456[abs(anl)])</f>
        <v>1.7287116000000005</v>
      </c>
      <c r="G14" s="75"/>
      <c r="H14" s="28"/>
      <c r="I14" s="29"/>
      <c r="J14" s="30"/>
      <c r="K14" s="36"/>
      <c r="M14" s="3"/>
      <c r="N14" s="3"/>
      <c r="O14" s="3"/>
      <c r="P14" s="3"/>
      <c r="Q14" s="3"/>
      <c r="R14" s="3"/>
      <c r="S14" s="3"/>
      <c r="T14" s="3"/>
      <c r="U14" s="3"/>
      <c r="V14" s="3"/>
      <c r="W14" s="36"/>
      <c r="X14" s="30"/>
      <c r="Y14" s="30"/>
      <c r="Z14" s="30"/>
      <c r="AA14" s="30"/>
      <c r="AB14" s="30"/>
    </row>
    <row r="15" spans="2:28" ht="15.6" x14ac:dyDescent="0.3">
      <c r="B15" s="50"/>
      <c r="C15" s="51"/>
      <c r="D15" s="25"/>
      <c r="E15" s="25"/>
      <c r="F15" s="24" t="s">
        <v>63</v>
      </c>
      <c r="G15" s="69"/>
      <c r="H15" s="28"/>
      <c r="I15" s="29"/>
      <c r="J15" s="30"/>
      <c r="K15" s="36"/>
      <c r="M15" s="3"/>
      <c r="N15" s="3"/>
      <c r="O15" s="3"/>
      <c r="P15" s="3"/>
      <c r="Q15" s="3"/>
      <c r="R15" s="3"/>
      <c r="S15" s="3"/>
      <c r="T15" s="3"/>
      <c r="U15" s="3"/>
      <c r="V15" s="3"/>
      <c r="W15" s="36"/>
      <c r="X15" s="30"/>
      <c r="Y15" s="30"/>
      <c r="Z15" s="30"/>
      <c r="AA15" s="30"/>
      <c r="AB15" s="30"/>
    </row>
    <row r="16" spans="2:28" ht="17.399999999999999" x14ac:dyDescent="0.3">
      <c r="B16" s="50"/>
      <c r="C16" s="51" t="s">
        <v>10</v>
      </c>
      <c r="D16" s="25"/>
      <c r="E16" s="26">
        <f>SQRT(AVERAGE(Table223421023456[dif^2]))</f>
        <v>1.3544858145347325</v>
      </c>
      <c r="F16" s="72">
        <f>SQRT(F18^2+E20^2)</f>
        <v>1.631015740887434</v>
      </c>
      <c r="G16" s="10"/>
      <c r="H16" s="31"/>
      <c r="I16" s="30"/>
      <c r="J16" s="31"/>
      <c r="K16" s="44"/>
      <c r="M16" s="3"/>
      <c r="N16" s="3"/>
      <c r="O16" s="3"/>
      <c r="P16" s="3"/>
      <c r="Q16" s="3"/>
      <c r="R16" s="3"/>
      <c r="S16" s="3"/>
      <c r="T16" s="3"/>
      <c r="U16" s="3"/>
      <c r="V16" s="3"/>
      <c r="W16" s="36"/>
      <c r="X16" s="30"/>
      <c r="Y16" s="30"/>
      <c r="Z16" s="30"/>
      <c r="AA16" s="30"/>
      <c r="AB16" s="30"/>
    </row>
    <row r="17" spans="2:28" ht="21" x14ac:dyDescent="0.4">
      <c r="B17" s="50"/>
      <c r="C17" s="51" t="s">
        <v>55</v>
      </c>
      <c r="D17" s="3"/>
      <c r="E17" s="26"/>
      <c r="F17" s="26">
        <f>MEDIAN(Table223421023456[abs_errors])</f>
        <v>1.0350851300000006</v>
      </c>
      <c r="G17" s="10"/>
      <c r="H17" s="32"/>
      <c r="I17" s="33"/>
      <c r="J17" s="34"/>
      <c r="K17" s="54"/>
      <c r="M17" s="3"/>
      <c r="N17" s="3"/>
      <c r="O17" s="3"/>
      <c r="P17" s="3"/>
      <c r="Q17" s="3"/>
      <c r="R17" s="3"/>
      <c r="S17" s="3"/>
      <c r="T17" s="3"/>
      <c r="U17" s="3"/>
      <c r="V17" s="3"/>
      <c r="W17" s="36"/>
      <c r="X17" s="30"/>
      <c r="Y17" s="30"/>
      <c r="Z17" s="30"/>
      <c r="AA17" s="30"/>
      <c r="AB17" s="30"/>
    </row>
    <row r="18" spans="2:28" ht="21" x14ac:dyDescent="0.4">
      <c r="B18" s="50"/>
      <c r="C18" s="51" t="s">
        <v>11</v>
      </c>
      <c r="D18" s="25"/>
      <c r="E18" s="26">
        <f>STDEV(Table223421023456[X-Y])</f>
        <v>1.2445199236894389</v>
      </c>
      <c r="F18" s="26">
        <f>1.4826*MEDIAN(Table223421023456[abs_errors])</f>
        <v>1.5346172137380008</v>
      </c>
      <c r="G18" s="10"/>
      <c r="H18" s="32" t="s">
        <v>44</v>
      </c>
      <c r="I18" s="33">
        <f>I8*I12</f>
        <v>1.5669541570941707</v>
      </c>
      <c r="J18" s="34" t="str">
        <f>IF(E18&gt;I18,"S"," ns ")</f>
        <v xml:space="preserve"> ns </v>
      </c>
      <c r="K18" s="36"/>
      <c r="M18" s="3"/>
      <c r="N18" s="3"/>
      <c r="O18" s="3"/>
      <c r="P18" s="3"/>
      <c r="Q18" s="3"/>
      <c r="R18" s="3"/>
      <c r="S18" s="3"/>
      <c r="T18" s="3"/>
      <c r="U18" s="3"/>
      <c r="V18" s="3"/>
      <c r="W18" s="36"/>
      <c r="X18" s="30" t="s">
        <v>28</v>
      </c>
      <c r="Y18" s="30" t="s">
        <v>27</v>
      </c>
      <c r="Z18" s="30"/>
      <c r="AA18" s="30"/>
      <c r="AB18" s="30"/>
    </row>
    <row r="19" spans="2:28" ht="17.399999999999999" x14ac:dyDescent="0.3">
      <c r="B19" s="50"/>
      <c r="C19" s="51" t="s">
        <v>12</v>
      </c>
      <c r="D19" s="25"/>
      <c r="E19" s="26">
        <f>STEYX(Table223421023456[REF],Table223421023456[Roger])</f>
        <v>0.8683031831535476</v>
      </c>
      <c r="F19" s="26">
        <f>1.4826*MEDIAN(Table223421023456[Abs_erroryx])</f>
        <v>0.90886953459019204</v>
      </c>
      <c r="G19" s="10"/>
      <c r="H19" s="32"/>
      <c r="I19" s="33"/>
      <c r="J19" s="30"/>
      <c r="K19" s="36"/>
      <c r="M19" s="3"/>
      <c r="N19" s="3"/>
      <c r="O19" s="3"/>
      <c r="P19" s="3"/>
      <c r="Q19" s="3"/>
      <c r="R19" s="3"/>
      <c r="S19" s="3"/>
      <c r="T19" s="3"/>
      <c r="U19" s="3"/>
      <c r="V19" s="3"/>
      <c r="W19" s="36" t="s">
        <v>24</v>
      </c>
      <c r="X19" s="35">
        <f>E$26+E$25*E10</f>
        <v>7.1833253204432825</v>
      </c>
      <c r="Y19" s="30">
        <f>E10</f>
        <v>6</v>
      </c>
      <c r="Z19" s="30"/>
      <c r="AA19" s="30"/>
      <c r="AB19" s="30"/>
    </row>
    <row r="20" spans="2:28" ht="21" x14ac:dyDescent="0.4">
      <c r="B20" s="50"/>
      <c r="C20" s="51" t="s">
        <v>16</v>
      </c>
      <c r="D20" s="25"/>
      <c r="E20" s="72">
        <f>F9-D9</f>
        <v>0.55241501999999976</v>
      </c>
      <c r="F20" s="26">
        <f>F13-D13</f>
        <v>0.77149974999999849</v>
      </c>
      <c r="G20" s="10"/>
      <c r="H20" s="32" t="s">
        <v>46</v>
      </c>
      <c r="I20" s="33">
        <f>ABS(E20/(SQRT(SUM(Table223421023456[dif^2])/(E8*(E8-1)))))</f>
        <v>3.6249712208996878</v>
      </c>
      <c r="J20" s="34" t="str">
        <f>IF(I20&gt;I11,"S","ns")</f>
        <v>S</v>
      </c>
      <c r="K20" s="36"/>
      <c r="M20" s="3"/>
      <c r="N20" s="3"/>
      <c r="O20" s="3"/>
      <c r="P20" s="3"/>
      <c r="Q20" s="3"/>
      <c r="R20" s="3"/>
      <c r="S20" s="3"/>
      <c r="T20" s="3"/>
      <c r="U20" s="3"/>
      <c r="V20" s="3"/>
      <c r="W20" s="36" t="s">
        <v>25</v>
      </c>
      <c r="X20" s="35">
        <f>E$26+E$25*E11</f>
        <v>15.504555136623962</v>
      </c>
      <c r="Y20" s="30">
        <f>E11</f>
        <v>18</v>
      </c>
      <c r="Z20" s="30"/>
      <c r="AA20" s="30"/>
      <c r="AB20" s="30"/>
    </row>
    <row r="21" spans="2:28" ht="21" x14ac:dyDescent="0.4">
      <c r="B21" s="50"/>
      <c r="C21" s="51" t="s">
        <v>13</v>
      </c>
      <c r="D21" s="25"/>
      <c r="E21" s="26">
        <f>SLOPE(Table223421023456[REF],Table223421023456[Roger])</f>
        <v>0.46974386042463512</v>
      </c>
      <c r="F21" s="26"/>
      <c r="G21" s="10"/>
      <c r="H21" s="32" t="s">
        <v>45</v>
      </c>
      <c r="I21" s="33">
        <f>ABS(E21-1)*SQRT((E8-1)*F12^2/E19^2)</f>
        <v>9.1808822823734353</v>
      </c>
      <c r="J21" s="34" t="str">
        <f>IF(I21&gt;I11,"S"," ns  ")</f>
        <v>S</v>
      </c>
      <c r="K21" s="55"/>
      <c r="M21" s="3"/>
      <c r="N21" s="3"/>
      <c r="O21" s="3"/>
      <c r="P21" s="3"/>
      <c r="Q21" s="3"/>
      <c r="R21" s="3"/>
      <c r="S21" s="3"/>
      <c r="T21" s="3"/>
      <c r="U21" s="3"/>
      <c r="V21" s="3"/>
      <c r="W21" s="36" t="s">
        <v>26</v>
      </c>
      <c r="X21" s="30">
        <f>E$26+E$25*F9</f>
        <v>11.109499980000002</v>
      </c>
      <c r="Y21" s="29">
        <f>F9</f>
        <v>11.661915000000002</v>
      </c>
      <c r="Z21" s="30"/>
      <c r="AA21" s="30"/>
      <c r="AB21" s="30"/>
    </row>
    <row r="22" spans="2:28" ht="17.399999999999999" x14ac:dyDescent="0.3">
      <c r="B22" s="50"/>
      <c r="C22" s="51" t="s">
        <v>14</v>
      </c>
      <c r="D22" s="25"/>
      <c r="E22" s="26">
        <f>INTERCEPT(Table223421023456[REF],Table223421023456[Roger])</f>
        <v>5.6313870079560431</v>
      </c>
      <c r="F22" s="26"/>
      <c r="G22" s="10"/>
      <c r="H22" s="30"/>
      <c r="I22" s="30"/>
      <c r="J22" s="30"/>
      <c r="K22" s="36"/>
      <c r="M22" s="3"/>
      <c r="N22" s="3"/>
      <c r="O22" s="3"/>
      <c r="P22" s="3"/>
      <c r="Q22" s="3"/>
      <c r="R22" s="3"/>
      <c r="S22" s="3"/>
      <c r="T22" s="3"/>
      <c r="U22" s="3"/>
      <c r="V22" s="3"/>
      <c r="W22" s="36"/>
      <c r="X22" s="30"/>
      <c r="Y22" s="30"/>
      <c r="Z22" s="30"/>
      <c r="AA22" s="30"/>
      <c r="AB22" s="30"/>
    </row>
    <row r="23" spans="2:28" ht="22.8" x14ac:dyDescent="0.4">
      <c r="B23" s="50"/>
      <c r="C23" s="51" t="s">
        <v>15</v>
      </c>
      <c r="D23" s="25"/>
      <c r="E23" s="80">
        <f>RSQ(Table223421023456[REF],Table223421023456[Roger])</f>
        <v>0.45889115210036974</v>
      </c>
      <c r="F23" s="26">
        <f>(D12^2-F19^2)/D12^2</f>
        <v>0.39954919720887133</v>
      </c>
      <c r="G23" s="10"/>
      <c r="H23" s="32"/>
      <c r="I23" s="33"/>
      <c r="J23" s="30"/>
      <c r="K23" s="36"/>
      <c r="M23" s="3"/>
      <c r="N23" s="3"/>
      <c r="O23" s="3"/>
      <c r="P23" s="3"/>
      <c r="Q23" s="3"/>
      <c r="R23" s="3"/>
      <c r="S23" s="3"/>
      <c r="T23" s="3"/>
      <c r="U23" s="3"/>
      <c r="V23" s="3"/>
      <c r="W23" s="36"/>
      <c r="X23" s="30"/>
      <c r="Y23" s="30"/>
      <c r="Z23" s="30"/>
      <c r="AA23" s="30"/>
      <c r="AB23" s="30"/>
    </row>
    <row r="24" spans="2:28" ht="17.399999999999999" x14ac:dyDescent="0.3">
      <c r="B24" s="50"/>
      <c r="C24" s="51" t="s">
        <v>29</v>
      </c>
      <c r="D24" s="23"/>
      <c r="E24" s="26">
        <f>1/SQRT(1-E23)</f>
        <v>1.3594326062226527</v>
      </c>
      <c r="F24" s="26">
        <f>1/SQRT(1-F23)</f>
        <v>1.2905097352724202</v>
      </c>
      <c r="G24" s="10"/>
      <c r="H24" s="76" t="s">
        <v>64</v>
      </c>
      <c r="I24" s="77">
        <f>D12/E19</f>
        <v>1.3508012008217458</v>
      </c>
      <c r="J24" s="30"/>
      <c r="K24" s="36"/>
      <c r="M24" s="3"/>
      <c r="N24" s="3"/>
      <c r="O24" s="3"/>
      <c r="P24" s="3"/>
      <c r="Q24" s="3"/>
      <c r="R24" s="3"/>
      <c r="S24" s="3"/>
      <c r="T24" s="3"/>
      <c r="U24" s="3"/>
      <c r="V24" s="3"/>
      <c r="W24" s="36"/>
      <c r="X24" s="30"/>
      <c r="Y24" s="30"/>
      <c r="Z24" s="30"/>
      <c r="AA24" s="30"/>
      <c r="AB24" s="30"/>
    </row>
    <row r="25" spans="2:28" ht="17.399999999999999" x14ac:dyDescent="0.3">
      <c r="B25" s="50"/>
      <c r="C25" s="51" t="s">
        <v>17</v>
      </c>
      <c r="D25" s="23"/>
      <c r="E25" s="26">
        <f>(D12/F12)</f>
        <v>0.6934358180150566</v>
      </c>
      <c r="F25" s="45"/>
      <c r="G25" s="10"/>
      <c r="H25" s="32" t="s">
        <v>47</v>
      </c>
      <c r="I25" s="62">
        <f>QUARTILE(Table223421023456[abs_errors],3)</f>
        <v>1.4340424650000001</v>
      </c>
      <c r="J25" s="30"/>
      <c r="K25" s="36"/>
      <c r="M25" s="3"/>
      <c r="N25" s="3"/>
      <c r="O25" s="3"/>
      <c r="P25" s="3"/>
      <c r="Q25" s="3"/>
      <c r="R25" s="3"/>
      <c r="S25" s="3"/>
      <c r="T25" s="3"/>
      <c r="U25" s="3"/>
      <c r="V25" s="3"/>
      <c r="W25" s="36" t="s">
        <v>19</v>
      </c>
      <c r="X25" s="30">
        <f>COVAR(Table223421023456[REF],Table223421023456[Roger])</f>
        <v>1.3271234960129248</v>
      </c>
      <c r="Y25" s="30"/>
      <c r="Z25" s="30"/>
      <c r="AA25" s="30"/>
      <c r="AB25" s="30"/>
    </row>
    <row r="26" spans="2:28" ht="17.399999999999999" x14ac:dyDescent="0.3">
      <c r="B26" s="50"/>
      <c r="C26" s="51" t="s">
        <v>18</v>
      </c>
      <c r="D26" s="23"/>
      <c r="E26" s="26">
        <f>D9-E25*F9</f>
        <v>3.0227104123529429</v>
      </c>
      <c r="F26" s="45"/>
      <c r="G26" s="10"/>
      <c r="M26" s="3"/>
      <c r="N26" s="3"/>
      <c r="O26" s="3"/>
      <c r="P26" s="3"/>
      <c r="Q26" s="3"/>
      <c r="R26" s="3"/>
      <c r="S26" s="3"/>
      <c r="T26" s="3"/>
      <c r="U26" s="3"/>
      <c r="V26" s="3"/>
      <c r="W26" s="36" t="s">
        <v>20</v>
      </c>
      <c r="X26" s="30">
        <f>SIGN(X25)</f>
        <v>1</v>
      </c>
      <c r="Y26" s="30"/>
      <c r="Z26" s="30"/>
      <c r="AA26" s="30"/>
      <c r="AB26" s="30"/>
    </row>
    <row r="27" spans="2:28" ht="18" thickBot="1" x14ac:dyDescent="0.35">
      <c r="B27" s="52"/>
      <c r="C27" s="53" t="s">
        <v>21</v>
      </c>
      <c r="D27" s="27"/>
      <c r="E27" s="73">
        <f>SQRT(AVERAGE(Table223421023456[dif_rec^2]))</f>
        <v>0.93619955633435337</v>
      </c>
      <c r="F27" s="74"/>
      <c r="G27" s="71"/>
      <c r="M27" s="3"/>
      <c r="N27" s="3"/>
      <c r="O27" s="3"/>
      <c r="P27" s="3"/>
      <c r="Q27" s="3"/>
      <c r="R27" s="3"/>
      <c r="S27" s="3"/>
      <c r="T27" s="3"/>
      <c r="U27" s="3"/>
      <c r="V27" s="3"/>
      <c r="W27" s="36"/>
      <c r="X27" s="30"/>
      <c r="Y27" s="30"/>
      <c r="Z27" s="30"/>
      <c r="AA27" s="30"/>
      <c r="AB27" s="30"/>
    </row>
    <row r="28" spans="2:28" ht="15.6" x14ac:dyDescent="0.3">
      <c r="B28" s="3"/>
      <c r="C28" s="11"/>
      <c r="D28" s="12"/>
      <c r="E28" s="18"/>
      <c r="F28" s="12"/>
      <c r="M28" s="3"/>
      <c r="N28" s="3"/>
      <c r="O28" s="3"/>
      <c r="P28" s="3"/>
      <c r="Q28" s="3"/>
      <c r="R28" s="3"/>
      <c r="S28" s="3"/>
      <c r="T28" s="3"/>
      <c r="U28" s="3"/>
      <c r="V28" s="3"/>
      <c r="W28" s="36"/>
      <c r="X28" s="30"/>
      <c r="Y28" s="30"/>
      <c r="Z28" s="30"/>
      <c r="AA28" s="30"/>
      <c r="AB28" s="30"/>
    </row>
    <row r="29" spans="2:28" ht="17.399999999999999" x14ac:dyDescent="0.3">
      <c r="C29" s="19"/>
      <c r="D29" s="3"/>
      <c r="E29" s="17"/>
      <c r="F29" s="3"/>
      <c r="M29" s="3"/>
      <c r="N29" s="3"/>
      <c r="O29" s="3"/>
      <c r="P29" s="3"/>
      <c r="Q29" s="3"/>
      <c r="R29" s="3"/>
      <c r="S29" s="3"/>
      <c r="T29" s="3"/>
      <c r="U29" s="3"/>
      <c r="V29" s="3"/>
      <c r="W29" s="44" t="s">
        <v>54</v>
      </c>
      <c r="X29" s="37">
        <f>MIN(Table223421023456[X-Y])</f>
        <v>-2.2086999000000009</v>
      </c>
      <c r="Y29" s="30">
        <f>X29</f>
        <v>-2.2086999000000009</v>
      </c>
      <c r="Z29" s="30"/>
      <c r="AA29" s="30"/>
      <c r="AB29" s="30"/>
    </row>
    <row r="30" spans="2:28" ht="17.399999999999999" x14ac:dyDescent="0.3">
      <c r="C30" s="19"/>
      <c r="D30" s="3"/>
      <c r="E30" s="17"/>
      <c r="F30" s="3"/>
      <c r="M30" s="3"/>
      <c r="N30" s="3"/>
      <c r="O30" s="3"/>
      <c r="P30" s="3"/>
      <c r="Q30" s="3"/>
      <c r="R30" s="3"/>
      <c r="S30" s="3"/>
      <c r="T30" s="3"/>
      <c r="U30" s="3"/>
      <c r="V30" s="3"/>
      <c r="W30" s="39" t="s">
        <v>37</v>
      </c>
      <c r="X30" s="63">
        <f>MAX(Table223421023456[X-Y])</f>
        <v>3.0939999999999994</v>
      </c>
      <c r="Y30" s="30">
        <f>X30</f>
        <v>3.0939999999999994</v>
      </c>
      <c r="Z30" s="30"/>
      <c r="AA30" s="30"/>
      <c r="AB30" s="30"/>
    </row>
    <row r="31" spans="2:28" ht="15.6" x14ac:dyDescent="0.3">
      <c r="C31" s="19"/>
      <c r="D31" s="3"/>
      <c r="E31" s="17"/>
      <c r="F31" s="3"/>
      <c r="M31" s="3"/>
      <c r="N31" s="3"/>
      <c r="O31" s="3"/>
      <c r="P31" s="3"/>
      <c r="Q31" s="3"/>
      <c r="R31" s="3"/>
      <c r="S31" s="3"/>
      <c r="T31" s="3"/>
      <c r="U31" s="3"/>
      <c r="V31" s="3"/>
      <c r="W31" s="36"/>
      <c r="X31" s="30"/>
      <c r="Y31" s="30"/>
      <c r="Z31" s="40"/>
      <c r="AA31" s="30"/>
      <c r="AB31" s="30"/>
    </row>
    <row r="32" spans="2:28" x14ac:dyDescent="0.25">
      <c r="C32" s="19"/>
      <c r="D32" s="3"/>
      <c r="E32" s="17"/>
      <c r="F32" s="3"/>
      <c r="M32" s="3"/>
      <c r="N32" s="3"/>
      <c r="O32" s="3"/>
      <c r="P32" s="3"/>
      <c r="Q32" s="3"/>
      <c r="R32" s="3"/>
      <c r="S32" s="3"/>
      <c r="T32" s="3"/>
      <c r="U32" s="3"/>
      <c r="V32" s="3"/>
      <c r="W32" s="36"/>
      <c r="X32" s="30"/>
      <c r="Y32" s="30"/>
      <c r="Z32" s="30"/>
      <c r="AA32" s="30"/>
      <c r="AB32" s="30"/>
    </row>
    <row r="33" spans="3:28" x14ac:dyDescent="0.25">
      <c r="C33" s="19"/>
      <c r="D33" s="3"/>
      <c r="E33" s="17"/>
      <c r="F33" s="3"/>
      <c r="M33" s="3"/>
      <c r="N33" s="3"/>
      <c r="O33" s="3"/>
      <c r="P33" s="3"/>
      <c r="Q33" s="3"/>
      <c r="R33" s="3"/>
      <c r="S33" s="3"/>
      <c r="T33" s="3"/>
      <c r="U33" s="3"/>
      <c r="V33" s="3"/>
      <c r="W33" s="36"/>
      <c r="X33" s="30"/>
      <c r="Y33" s="30"/>
      <c r="Z33" s="30"/>
      <c r="AA33" s="30"/>
      <c r="AB33" s="30"/>
    </row>
    <row r="34" spans="3:28" x14ac:dyDescent="0.25">
      <c r="C34" s="19"/>
      <c r="D34" s="3"/>
      <c r="E34" s="17"/>
      <c r="F34" s="3"/>
      <c r="M34" s="3"/>
      <c r="N34" s="3"/>
      <c r="O34" s="3"/>
      <c r="P34" s="3"/>
      <c r="Q34" s="3"/>
      <c r="R34" s="3"/>
      <c r="S34" s="3"/>
      <c r="T34" s="3"/>
      <c r="U34" s="3"/>
      <c r="V34" s="3"/>
      <c r="W34" s="36"/>
      <c r="X34" s="30"/>
      <c r="Y34" s="30"/>
      <c r="Z34" s="30"/>
      <c r="AA34" s="30"/>
      <c r="AB34" s="30"/>
    </row>
    <row r="35" spans="3:28" x14ac:dyDescent="0.25">
      <c r="C35" s="19"/>
      <c r="D35" s="3"/>
      <c r="E35" s="17"/>
      <c r="F35" s="3"/>
      <c r="M35" s="3"/>
      <c r="N35" s="3"/>
      <c r="O35" s="3"/>
      <c r="P35" s="3"/>
      <c r="Q35" s="3"/>
      <c r="R35" s="3"/>
      <c r="S35" s="3"/>
      <c r="T35" s="3"/>
      <c r="U35" s="3"/>
      <c r="V35" s="3"/>
      <c r="W35" s="36"/>
      <c r="X35" s="30"/>
      <c r="Y35" s="30"/>
      <c r="Z35" s="30"/>
      <c r="AA35" s="30"/>
      <c r="AB35" s="30"/>
    </row>
    <row r="36" spans="3:28" x14ac:dyDescent="0.25">
      <c r="C36" s="19"/>
      <c r="D36" s="3"/>
      <c r="E36" s="17"/>
      <c r="F36" s="3"/>
      <c r="M36" s="3"/>
      <c r="N36" s="3"/>
      <c r="O36" s="3"/>
      <c r="P36" s="3"/>
      <c r="Q36" s="3"/>
      <c r="R36" s="3"/>
      <c r="S36" s="3"/>
      <c r="T36" s="3"/>
      <c r="U36" s="3"/>
      <c r="V36" s="3"/>
      <c r="W36" s="36"/>
      <c r="X36" s="30"/>
      <c r="Y36" s="30"/>
      <c r="Z36" s="30"/>
      <c r="AA36" s="30"/>
      <c r="AB36" s="30"/>
    </row>
    <row r="37" spans="3:28" x14ac:dyDescent="0.25">
      <c r="C37" s="19"/>
      <c r="D37" s="3"/>
      <c r="E37" s="17"/>
      <c r="F37" s="3"/>
      <c r="M37" s="3"/>
      <c r="N37" s="3"/>
      <c r="O37" s="3"/>
      <c r="P37" s="3"/>
      <c r="Q37" s="3"/>
      <c r="R37" s="3"/>
      <c r="S37" s="3"/>
      <c r="T37" s="3"/>
      <c r="U37" s="3"/>
      <c r="V37" s="3"/>
      <c r="W37" s="36"/>
      <c r="X37" s="30"/>
      <c r="Y37" s="30"/>
      <c r="Z37" s="30"/>
      <c r="AA37" s="30"/>
      <c r="AB37" s="30"/>
    </row>
    <row r="38" spans="3:28" x14ac:dyDescent="0.25">
      <c r="C38" s="19"/>
      <c r="D38" s="3"/>
      <c r="E38" s="17"/>
      <c r="F38" s="3"/>
      <c r="M38" s="3"/>
      <c r="N38" s="3"/>
      <c r="O38" s="3"/>
      <c r="P38" s="3"/>
      <c r="Q38" s="3"/>
      <c r="R38" s="3"/>
      <c r="S38" s="3"/>
      <c r="T38" s="3"/>
      <c r="U38" s="3"/>
      <c r="V38" s="3"/>
      <c r="W38" s="36"/>
      <c r="X38" s="30" t="s">
        <v>30</v>
      </c>
      <c r="Y38" s="30"/>
      <c r="Z38" s="30"/>
      <c r="AA38" s="30"/>
      <c r="AB38" s="30"/>
    </row>
    <row r="39" spans="3:28" ht="17.399999999999999" x14ac:dyDescent="0.3">
      <c r="C39" s="19"/>
      <c r="D39" s="3"/>
      <c r="E39" s="17"/>
      <c r="F39" s="3"/>
      <c r="M39" s="3"/>
      <c r="N39" s="3"/>
      <c r="O39" s="3"/>
      <c r="P39" s="3"/>
      <c r="Q39" s="3"/>
      <c r="R39" s="3"/>
      <c r="S39" s="3"/>
      <c r="T39" s="3"/>
      <c r="U39" s="3"/>
      <c r="V39" s="3"/>
      <c r="W39" s="36"/>
      <c r="X39" s="37">
        <f>X8</f>
        <v>142</v>
      </c>
      <c r="Y39" s="41" t="s">
        <v>34</v>
      </c>
      <c r="Z39" s="30"/>
      <c r="AA39" s="30"/>
      <c r="AB39" s="30"/>
    </row>
    <row r="40" spans="3:28" x14ac:dyDescent="0.25">
      <c r="C40" s="19"/>
      <c r="D40" s="3"/>
      <c r="E40" s="17"/>
      <c r="F40" s="3"/>
      <c r="M40" s="3"/>
      <c r="N40" s="3"/>
      <c r="O40" s="3"/>
      <c r="P40" s="3"/>
      <c r="Q40" s="3"/>
      <c r="R40" s="3"/>
      <c r="S40" s="3"/>
      <c r="T40" s="3"/>
      <c r="U40" s="3"/>
      <c r="V40" s="3"/>
      <c r="W40" s="36"/>
      <c r="X40" s="30"/>
      <c r="Y40" s="30" t="s">
        <v>35</v>
      </c>
      <c r="Z40" s="30"/>
      <c r="AA40" s="30"/>
      <c r="AB40" s="30"/>
    </row>
    <row r="41" spans="3:28" x14ac:dyDescent="0.25">
      <c r="C41" s="19"/>
      <c r="D41" s="3"/>
      <c r="E41" s="17"/>
      <c r="F41" s="3"/>
      <c r="M41" s="3"/>
      <c r="N41" s="3"/>
      <c r="O41" s="3"/>
      <c r="P41" s="3"/>
      <c r="Q41" s="3"/>
      <c r="R41" s="3"/>
      <c r="S41" s="3"/>
      <c r="T41" s="3"/>
      <c r="U41" s="3"/>
      <c r="V41" s="3"/>
      <c r="W41" s="36"/>
      <c r="X41" s="30"/>
      <c r="Y41" s="30" t="s">
        <v>36</v>
      </c>
      <c r="Z41" s="30"/>
      <c r="AA41" s="30"/>
      <c r="AB41" s="30"/>
    </row>
    <row r="42" spans="3:28" x14ac:dyDescent="0.25">
      <c r="C42" s="19"/>
      <c r="D42" s="3"/>
      <c r="E42" s="17"/>
      <c r="F42" s="3"/>
      <c r="M42" s="3"/>
      <c r="N42" s="3"/>
      <c r="O42" s="3"/>
      <c r="P42" s="3"/>
      <c r="Q42" s="3"/>
      <c r="R42" s="3"/>
      <c r="S42" s="3"/>
      <c r="T42" s="3"/>
      <c r="U42" s="3"/>
      <c r="V42" s="3"/>
      <c r="W42" s="36"/>
      <c r="X42" s="30"/>
      <c r="Y42" s="30"/>
      <c r="Z42" s="30"/>
      <c r="AA42" s="30"/>
      <c r="AB42" s="30"/>
    </row>
    <row r="43" spans="3:28" x14ac:dyDescent="0.25">
      <c r="C43" s="19"/>
      <c r="D43" s="3"/>
      <c r="E43" s="17"/>
      <c r="F43" s="3"/>
      <c r="M43" s="3"/>
      <c r="N43" s="3"/>
      <c r="O43" s="3"/>
      <c r="P43" s="3"/>
      <c r="Q43" s="3"/>
      <c r="R43" s="3"/>
      <c r="S43" s="3"/>
      <c r="T43" s="3"/>
      <c r="U43" s="3"/>
      <c r="V43" s="3"/>
      <c r="W43" s="36"/>
      <c r="X43" s="30"/>
      <c r="Y43" s="30"/>
      <c r="Z43" s="30"/>
      <c r="AA43" s="30"/>
      <c r="AB43" s="30"/>
    </row>
    <row r="44" spans="3:28" x14ac:dyDescent="0.25">
      <c r="C44" s="19"/>
      <c r="D44" s="3"/>
      <c r="E44" s="17"/>
      <c r="F44" s="3"/>
      <c r="M44" s="3"/>
      <c r="N44" s="3"/>
      <c r="O44" s="3"/>
      <c r="P44" s="3"/>
      <c r="Q44" s="3"/>
      <c r="R44" s="3"/>
      <c r="S44" s="3"/>
      <c r="T44" s="3"/>
      <c r="U44" s="3"/>
      <c r="V44" s="3"/>
      <c r="W44" s="36"/>
      <c r="X44" s="30"/>
      <c r="Y44" s="30"/>
      <c r="Z44" s="30"/>
      <c r="AA44" s="30"/>
      <c r="AB44" s="30"/>
    </row>
    <row r="45" spans="3:28" ht="15" x14ac:dyDescent="0.25">
      <c r="C45" s="19"/>
      <c r="D45" s="3"/>
      <c r="E45" s="17"/>
      <c r="F45" s="3"/>
      <c r="M45" s="3"/>
      <c r="N45" s="3"/>
      <c r="O45" s="3"/>
      <c r="P45" s="3"/>
      <c r="Q45" s="3"/>
      <c r="R45" s="3"/>
      <c r="S45" s="3"/>
      <c r="T45" s="3"/>
      <c r="U45" s="3"/>
      <c r="V45" s="3"/>
      <c r="W45" s="36"/>
      <c r="X45" s="58"/>
      <c r="Y45" s="30"/>
      <c r="Z45" s="30"/>
      <c r="AA45" s="30"/>
      <c r="AB45" s="30"/>
    </row>
    <row r="46" spans="3:28" x14ac:dyDescent="0.25">
      <c r="C46" s="19"/>
      <c r="D46" s="3"/>
      <c r="E46" s="17"/>
      <c r="F46" s="3"/>
      <c r="M46" s="3"/>
      <c r="N46" s="3"/>
      <c r="O46" s="3"/>
      <c r="P46" s="3"/>
      <c r="Q46" s="3"/>
      <c r="R46" s="3"/>
      <c r="S46" s="3"/>
      <c r="T46" s="3"/>
      <c r="U46" s="3"/>
      <c r="V46" s="3"/>
      <c r="W46" s="36"/>
      <c r="X46" s="30"/>
      <c r="Y46" s="30"/>
      <c r="Z46" s="30"/>
      <c r="AA46" s="30"/>
      <c r="AB46" s="30"/>
    </row>
    <row r="47" spans="3:28" x14ac:dyDescent="0.25">
      <c r="C47" s="19"/>
      <c r="D47" s="3"/>
      <c r="E47" s="17"/>
      <c r="F47" s="3"/>
      <c r="M47" s="3"/>
      <c r="N47" s="3"/>
      <c r="O47" s="3"/>
      <c r="P47" s="3"/>
      <c r="Q47" s="3"/>
      <c r="R47" s="3"/>
      <c r="S47" s="3"/>
      <c r="T47" s="3"/>
      <c r="U47" s="3"/>
      <c r="V47" s="3"/>
      <c r="W47" s="36"/>
      <c r="X47" s="30"/>
      <c r="Y47" s="30"/>
      <c r="Z47" s="30"/>
      <c r="AA47" s="30"/>
      <c r="AB47" s="30"/>
    </row>
    <row r="48" spans="3:28" x14ac:dyDescent="0.25">
      <c r="C48" s="19"/>
      <c r="D48" s="3"/>
      <c r="E48" s="17"/>
      <c r="F48" s="3"/>
      <c r="M48" s="3"/>
      <c r="N48" s="3"/>
      <c r="O48" s="3"/>
      <c r="P48" s="3"/>
      <c r="Q48" s="3"/>
      <c r="R48" s="3"/>
      <c r="S48" s="3"/>
      <c r="T48" s="3"/>
      <c r="U48" s="3"/>
      <c r="V48" s="3"/>
      <c r="W48" s="36"/>
      <c r="X48" s="30"/>
      <c r="Y48" s="30"/>
      <c r="Z48" s="30"/>
      <c r="AA48" s="30"/>
      <c r="AB48" s="30"/>
    </row>
    <row r="49" spans="2:28" x14ac:dyDescent="0.25">
      <c r="C49" s="19"/>
      <c r="D49" s="3"/>
      <c r="E49" s="17"/>
      <c r="F49" s="3"/>
      <c r="M49" s="3"/>
      <c r="N49" s="3"/>
      <c r="O49" s="3"/>
      <c r="P49" s="3"/>
      <c r="Q49" s="3"/>
      <c r="R49" s="3"/>
      <c r="S49" s="3"/>
      <c r="T49" s="3"/>
      <c r="U49" s="3"/>
      <c r="V49" s="3"/>
      <c r="W49" s="36"/>
      <c r="X49" s="30"/>
      <c r="Y49" s="30"/>
      <c r="Z49" s="30"/>
      <c r="AA49" s="30"/>
      <c r="AB49" s="30"/>
    </row>
    <row r="50" spans="2:28" x14ac:dyDescent="0.25">
      <c r="C50" s="19"/>
      <c r="D50" s="3"/>
      <c r="E50" s="17"/>
      <c r="F50" s="3"/>
      <c r="M50" s="3"/>
      <c r="N50" s="3"/>
      <c r="O50" s="3"/>
      <c r="P50" s="3"/>
      <c r="Q50" s="3"/>
      <c r="R50" s="3"/>
      <c r="S50" s="3"/>
      <c r="T50" s="3"/>
      <c r="U50" s="3"/>
      <c r="V50" s="3"/>
      <c r="W50" s="36"/>
      <c r="X50" s="30"/>
      <c r="Y50" s="30"/>
      <c r="Z50" s="30"/>
      <c r="AA50" s="30"/>
      <c r="AB50" s="30"/>
    </row>
    <row r="51" spans="2:28" x14ac:dyDescent="0.25">
      <c r="C51" s="19"/>
      <c r="D51" s="3"/>
      <c r="E51" s="17"/>
      <c r="F51" s="3"/>
      <c r="M51" s="3"/>
      <c r="N51" s="3"/>
      <c r="O51" s="3"/>
      <c r="P51" s="3"/>
      <c r="Q51" s="3"/>
      <c r="R51" s="3"/>
      <c r="S51" s="3"/>
      <c r="T51" s="3"/>
      <c r="U51" s="3"/>
      <c r="V51" s="3"/>
      <c r="W51" s="36"/>
      <c r="X51" s="30"/>
      <c r="Y51" s="30"/>
      <c r="Z51" s="30"/>
      <c r="AA51" s="30"/>
      <c r="AB51" s="30"/>
    </row>
    <row r="52" spans="2:28" x14ac:dyDescent="0.25">
      <c r="C52" s="19"/>
      <c r="D52" s="3"/>
      <c r="E52" s="17"/>
      <c r="F52" s="3"/>
      <c r="M52" s="3"/>
      <c r="N52" s="3"/>
      <c r="O52" s="3"/>
      <c r="P52" s="3"/>
      <c r="Q52" s="3"/>
      <c r="R52" s="3"/>
      <c r="S52" s="3"/>
      <c r="T52" s="3"/>
      <c r="U52" s="3"/>
      <c r="V52" s="3"/>
      <c r="W52" s="36"/>
      <c r="X52" s="30"/>
      <c r="Y52" s="30"/>
      <c r="Z52" s="30"/>
      <c r="AA52" s="30"/>
      <c r="AB52" s="30"/>
    </row>
    <row r="53" spans="2:28" x14ac:dyDescent="0.25">
      <c r="C53" s="19"/>
      <c r="D53" s="3"/>
      <c r="E53" s="17"/>
      <c r="F53" s="3"/>
      <c r="M53" s="3"/>
      <c r="N53" s="3"/>
      <c r="O53" s="3"/>
      <c r="P53" s="3"/>
      <c r="Q53" s="3"/>
      <c r="R53" s="3"/>
      <c r="S53" s="3"/>
      <c r="T53" s="3"/>
      <c r="U53" s="3"/>
      <c r="V53" s="3"/>
      <c r="W53" s="36"/>
      <c r="X53" s="30"/>
      <c r="Y53" s="30"/>
      <c r="Z53" s="30"/>
      <c r="AA53" s="30"/>
      <c r="AB53" s="30"/>
    </row>
    <row r="54" spans="2:28" x14ac:dyDescent="0.25">
      <c r="C54" s="19"/>
      <c r="D54" s="3"/>
      <c r="E54" s="17"/>
      <c r="F54" s="3"/>
      <c r="M54" s="3"/>
      <c r="N54" s="3"/>
      <c r="O54" s="3"/>
      <c r="P54" s="3"/>
      <c r="Q54" s="3"/>
      <c r="R54" s="3"/>
      <c r="S54" s="3"/>
      <c r="T54" s="3"/>
      <c r="U54" s="3"/>
      <c r="V54" s="3"/>
      <c r="W54" s="36"/>
      <c r="X54" s="30"/>
      <c r="Y54" s="30"/>
      <c r="Z54" s="30"/>
      <c r="AA54" s="30"/>
      <c r="AB54" s="30"/>
    </row>
    <row r="55" spans="2:28" ht="15.75" customHeight="1" x14ac:dyDescent="0.3">
      <c r="C55" s="19"/>
      <c r="D55" s="3"/>
      <c r="E55" s="17"/>
      <c r="F55" s="3"/>
      <c r="M55" s="3"/>
      <c r="N55" s="3"/>
      <c r="O55" s="3"/>
      <c r="P55" s="3"/>
      <c r="Q55" s="3"/>
      <c r="R55" s="3"/>
      <c r="S55" s="3"/>
      <c r="T55" s="3"/>
      <c r="U55" s="3"/>
      <c r="V55" s="3"/>
      <c r="W55" s="36"/>
      <c r="X55" s="30"/>
      <c r="Y55" s="30"/>
      <c r="Z55" s="40"/>
      <c r="AA55" s="30"/>
      <c r="AB55" s="30"/>
    </row>
    <row r="56" spans="2:28" ht="15.75" customHeight="1" x14ac:dyDescent="0.3">
      <c r="C56" s="19"/>
      <c r="D56" s="3"/>
      <c r="E56" s="17"/>
      <c r="F56" s="3"/>
      <c r="M56" s="3"/>
      <c r="N56" s="3"/>
      <c r="O56" s="3"/>
      <c r="P56" s="3"/>
      <c r="Q56" s="3"/>
      <c r="R56" s="3"/>
      <c r="S56" s="3"/>
      <c r="T56" s="3"/>
      <c r="U56" s="3"/>
      <c r="V56" s="3"/>
      <c r="W56" s="36"/>
      <c r="X56" s="30"/>
      <c r="Y56" s="30"/>
      <c r="Z56" s="59"/>
      <c r="AA56" s="30"/>
      <c r="AB56" s="30"/>
    </row>
    <row r="57" spans="2:28" ht="15.75" customHeight="1" x14ac:dyDescent="0.3">
      <c r="C57" s="19"/>
      <c r="D57" s="3"/>
      <c r="E57" s="17"/>
      <c r="F57" s="3"/>
      <c r="M57" s="3"/>
      <c r="N57" s="3"/>
      <c r="O57" s="3"/>
      <c r="P57" s="3"/>
      <c r="Q57" s="3"/>
      <c r="R57" s="3"/>
      <c r="S57" s="3"/>
      <c r="T57" s="3"/>
      <c r="U57" s="3"/>
      <c r="V57" s="3"/>
      <c r="W57" s="36"/>
      <c r="X57" s="30"/>
      <c r="Y57" s="30"/>
      <c r="Z57" s="59"/>
      <c r="AA57" s="30"/>
      <c r="AB57" s="30"/>
    </row>
    <row r="58" spans="2:28" ht="15.75" customHeight="1" x14ac:dyDescent="0.3">
      <c r="C58" s="19"/>
      <c r="D58" s="3"/>
      <c r="E58" s="17"/>
      <c r="F58" s="3"/>
      <c r="M58" s="3"/>
      <c r="N58" s="3"/>
      <c r="O58" s="3"/>
      <c r="P58" s="3"/>
      <c r="Q58" s="3"/>
      <c r="R58" s="3"/>
      <c r="S58" s="3"/>
      <c r="T58" s="3"/>
      <c r="U58" s="3"/>
      <c r="V58" s="3"/>
      <c r="W58" s="36"/>
      <c r="X58" s="30" t="s">
        <v>30</v>
      </c>
      <c r="Y58" s="30"/>
      <c r="Z58" s="60"/>
      <c r="AA58" s="30"/>
      <c r="AB58" s="30"/>
    </row>
    <row r="59" spans="2:28" ht="17.399999999999999" x14ac:dyDescent="0.3">
      <c r="C59" s="19"/>
      <c r="D59" s="3"/>
      <c r="E59" s="17"/>
      <c r="F59" s="3"/>
      <c r="M59" s="3"/>
      <c r="N59" s="3"/>
      <c r="O59" s="3"/>
      <c r="P59" s="3"/>
      <c r="Q59" s="3"/>
      <c r="R59" s="3"/>
      <c r="S59" s="3"/>
      <c r="T59" s="3"/>
      <c r="U59" s="3"/>
      <c r="V59" s="3"/>
      <c r="W59" s="36">
        <f>W60*E8</f>
        <v>53.735862140000151</v>
      </c>
      <c r="X59" s="37">
        <f>X39</f>
        <v>142</v>
      </c>
      <c r="Y59" s="30"/>
      <c r="Z59" s="30"/>
      <c r="AA59" s="30"/>
      <c r="AB59" s="30"/>
    </row>
    <row r="60" spans="2:28" ht="17.399999999999999" x14ac:dyDescent="0.3">
      <c r="C60" s="19"/>
      <c r="D60" s="3"/>
      <c r="E60" s="17"/>
      <c r="F60" s="3"/>
      <c r="M60" s="3"/>
      <c r="N60" s="42"/>
      <c r="O60" s="3"/>
      <c r="P60" s="3"/>
      <c r="Q60" s="3"/>
      <c r="R60" s="3"/>
      <c r="S60" s="3"/>
      <c r="T60" s="3">
        <f>MEDIAN(Table223421023456[abs(lab)])</f>
        <v>0.98999974999999907</v>
      </c>
      <c r="U60" s="3"/>
      <c r="V60" s="3">
        <f>MEDIAN(Table223421023456[abs(anl)])</f>
        <v>1.1660000000000004</v>
      </c>
      <c r="W60" s="2">
        <f>MEDIAN(Table223421023456[Produits Lab x Anl])</f>
        <v>0.67169827675000193</v>
      </c>
      <c r="X60" s="37"/>
      <c r="Z60" s="60"/>
      <c r="AA60" s="30"/>
      <c r="AB60" s="30"/>
    </row>
    <row r="61" spans="2:28" ht="13.8" x14ac:dyDescent="0.25">
      <c r="D61" s="43" t="s">
        <v>1</v>
      </c>
      <c r="E61" s="1"/>
      <c r="F61" s="43" t="s">
        <v>2</v>
      </c>
      <c r="G61" s="4"/>
      <c r="M61" s="3"/>
      <c r="W61" s="22"/>
      <c r="Y61" s="22"/>
    </row>
    <row r="62" spans="2:28" s="22" customFormat="1" ht="42.75" customHeight="1" x14ac:dyDescent="0.25">
      <c r="B62" s="20" t="s">
        <v>0</v>
      </c>
      <c r="C62" t="s">
        <v>67</v>
      </c>
      <c r="D62" t="s">
        <v>65</v>
      </c>
      <c r="E62" t="s">
        <v>66</v>
      </c>
      <c r="F62" s="82" t="s">
        <v>168</v>
      </c>
      <c r="G62" s="20" t="s">
        <v>48</v>
      </c>
      <c r="H62" s="20" t="s">
        <v>3</v>
      </c>
      <c r="I62" s="20" t="s">
        <v>23</v>
      </c>
      <c r="J62" s="20" t="s">
        <v>4</v>
      </c>
      <c r="K62" s="20" t="s">
        <v>51</v>
      </c>
      <c r="L62" s="20" t="s">
        <v>52</v>
      </c>
      <c r="M62" s="21" t="s">
        <v>5</v>
      </c>
      <c r="N62" s="21" t="s">
        <v>32</v>
      </c>
      <c r="O62" s="21" t="s">
        <v>31</v>
      </c>
      <c r="P62" s="21" t="s">
        <v>33</v>
      </c>
      <c r="Q62" s="21" t="s">
        <v>50</v>
      </c>
      <c r="R62" s="21" t="s">
        <v>49</v>
      </c>
      <c r="S62" s="21" t="s">
        <v>58</v>
      </c>
      <c r="T62" s="21" t="s">
        <v>60</v>
      </c>
      <c r="U62" s="64" t="s">
        <v>59</v>
      </c>
      <c r="V62" s="64" t="s">
        <v>61</v>
      </c>
      <c r="W62" s="21" t="s">
        <v>62</v>
      </c>
      <c r="X62" s="22" t="str">
        <f>D62</f>
        <v>REF</v>
      </c>
      <c r="Z62" s="2"/>
      <c r="AA62" s="22" t="str">
        <f>F62</f>
        <v>Roger</v>
      </c>
      <c r="AB62" s="2"/>
    </row>
    <row r="63" spans="2:28" x14ac:dyDescent="0.25">
      <c r="B63" s="46">
        <f ca="1">VALUE((Table223421023456[[#This Row],[Column3]]-62))</f>
        <v>1</v>
      </c>
      <c r="C63" t="s">
        <v>69</v>
      </c>
      <c r="D63">
        <v>9.9399996000000002</v>
      </c>
      <c r="E63"/>
      <c r="F63">
        <v>8.9719999999999995</v>
      </c>
      <c r="G63" s="29">
        <f>Table223421023456[[#This Row],[Roger]]-Table223421023456[[#This Row],[REF]]</f>
        <v>-0.96799960000000063</v>
      </c>
      <c r="H63" s="29">
        <f>Table223421023456[[#This Row],[X-Y]]-E$20</f>
        <v>-1.5204146200000004</v>
      </c>
      <c r="I63" s="29">
        <f>Table223421023456[[#This Row],[Roger]]-E$20</f>
        <v>8.4195849799999998</v>
      </c>
      <c r="J63" s="29">
        <f>Table223421023456[[#This Row],[Roger]]*E$21+E$22</f>
        <v>9.845928923685868</v>
      </c>
      <c r="K63" s="56">
        <f>Table223421023456[[#This Row],[Yest]]-Table223421023456[[#This Row],[REF]]</f>
        <v>-9.4070676314132129E-2</v>
      </c>
      <c r="L63" s="56">
        <f>ABS(Table223421023456[[#This Row],[RESyx]])</f>
        <v>9.4070676314132129E-2</v>
      </c>
      <c r="M63" s="29">
        <f>Table223421023456[[#This Row],[Roger]]*E$25+E$26</f>
        <v>9.2442165715840297</v>
      </c>
      <c r="N63" s="29">
        <f>Table223421023456[[#This Row],[X-Y]]^2</f>
        <v>0.93702322560016116</v>
      </c>
      <c r="O63" s="57">
        <f>Table223421023456[[#This Row],[yest_rect]]-Table223421023456[[#This Row],[REF]]</f>
        <v>-0.69578302841597051</v>
      </c>
      <c r="P63" s="57">
        <f>Table223421023456[[#This Row],[dif rec]]^2</f>
        <v>0.48411402263169923</v>
      </c>
      <c r="Q63" s="57">
        <f>ABS(Table223421023456[[#This Row],[diff-bias]])</f>
        <v>1.5204146200000004</v>
      </c>
      <c r="R63" s="57">
        <f ca="1">CELL("row",Table223421023456[[#This Row],[Position]])</f>
        <v>63</v>
      </c>
      <c r="S63" s="4">
        <f>Table223421023456[[#This Row],[REF]]-D$13</f>
        <v>-1.0700006500000008</v>
      </c>
      <c r="T63" s="4">
        <f>ABS(Table223421023456[[#This Row],[lab-med]])</f>
        <v>1.0700006500000008</v>
      </c>
      <c r="U63" s="4">
        <f>Table223421023456[[#This Row],[Roger]]-F$13</f>
        <v>-2.8094999999999999</v>
      </c>
      <c r="V63" s="4">
        <f>ABS(Table223421023456[[#This Row],[anl-med]])</f>
        <v>2.8094999999999999</v>
      </c>
      <c r="W63" s="4">
        <f>Table223421023456[[#This Row],[lab-med]]*Table223421023456[[#This Row],[anl-med]]</f>
        <v>3.0061668261750021</v>
      </c>
    </row>
    <row r="64" spans="2:28" x14ac:dyDescent="0.25">
      <c r="B64" s="46">
        <f ca="1">VALUE((Table223421023456[[#This Row],[Column3]]-62))</f>
        <v>2</v>
      </c>
      <c r="C64" t="s">
        <v>70</v>
      </c>
      <c r="D64">
        <v>10.0200005</v>
      </c>
      <c r="E64"/>
      <c r="F64">
        <v>12.618</v>
      </c>
      <c r="G64" s="29">
        <f>Table223421023456[[#This Row],[Roger]]-Table223421023456[[#This Row],[REF]]</f>
        <v>2.5979995000000002</v>
      </c>
      <c r="H64" s="29">
        <f>Table223421023456[[#This Row],[X-Y]]-E$20</f>
        <v>2.0455844800000005</v>
      </c>
      <c r="I64" s="29">
        <f>Table223421023456[[#This Row],[Roger]]-E$20</f>
        <v>12.065584980000001</v>
      </c>
      <c r="J64" s="29">
        <f>Table223421023456[[#This Row],[Roger]]*E$21+E$22</f>
        <v>11.558615038794089</v>
      </c>
      <c r="K64" s="56">
        <f>Table223421023456[[#This Row],[Yest]]-Table223421023456[[#This Row],[REF]]</f>
        <v>1.5386145387940893</v>
      </c>
      <c r="L64" s="56">
        <f>ABS(Table223421023456[[#This Row],[RESyx]])</f>
        <v>1.5386145387940893</v>
      </c>
      <c r="M64" s="29">
        <f>Table223421023456[[#This Row],[Roger]]*E$25+E$26</f>
        <v>11.772483564066928</v>
      </c>
      <c r="N64" s="29">
        <f>Table223421023456[[#This Row],[X-Y]]^2</f>
        <v>6.749601402000251</v>
      </c>
      <c r="O64" s="57">
        <f>Table223421023456[[#This Row],[yest_rect]]-Table223421023456[[#This Row],[REF]]</f>
        <v>1.7524830640669276</v>
      </c>
      <c r="P64" s="57">
        <f>Table223421023456[[#This Row],[dif rec]]^2</f>
        <v>3.0711968898414068</v>
      </c>
      <c r="Q64" s="57">
        <f>ABS(Table223421023456[[#This Row],[diff-bias]])</f>
        <v>2.0455844800000005</v>
      </c>
      <c r="R64" s="57">
        <f ca="1">CELL("row",Table223421023456[[#This Row],[Position]])</f>
        <v>64</v>
      </c>
      <c r="S64" s="4">
        <f>Table223421023456[[#This Row],[REF]]-D$13</f>
        <v>-0.98999975000000084</v>
      </c>
      <c r="T64" s="4">
        <f>ABS(Table223421023456[[#This Row],[lab-med]])</f>
        <v>0.98999975000000084</v>
      </c>
      <c r="U64" s="4">
        <f>Table223421023456[[#This Row],[Roger]]-F$13</f>
        <v>0.83650000000000091</v>
      </c>
      <c r="V64" s="4">
        <f>ABS(Table223421023456[[#This Row],[anl-med]])</f>
        <v>0.83650000000000091</v>
      </c>
      <c r="W64" s="4">
        <f>Table223421023456[[#This Row],[lab-med]]*Table223421023456[[#This Row],[anl-med]]</f>
        <v>-0.82813479087500164</v>
      </c>
    </row>
    <row r="65" spans="2:23" x14ac:dyDescent="0.25">
      <c r="B65" s="46">
        <f ca="1">VALUE((Table223421023456[[#This Row],[Column3]]-62))</f>
        <v>3</v>
      </c>
      <c r="C65" t="s">
        <v>71</v>
      </c>
      <c r="D65">
        <v>10</v>
      </c>
      <c r="E65"/>
      <c r="F65">
        <v>9.6913</v>
      </c>
      <c r="G65" s="29">
        <f>Table223421023456[[#This Row],[Roger]]-Table223421023456[[#This Row],[REF]]</f>
        <v>-0.30869999999999997</v>
      </c>
      <c r="H65" s="29">
        <f>Table223421023456[[#This Row],[X-Y]]-E$20</f>
        <v>-0.86111501999999973</v>
      </c>
      <c r="I65" s="29">
        <f>Table223421023456[[#This Row],[Roger]]-E$20</f>
        <v>9.1388849800000003</v>
      </c>
      <c r="J65" s="29">
        <f>Table223421023456[[#This Row],[Roger]]*E$21+E$22</f>
        <v>10.18381568248931</v>
      </c>
      <c r="K65" s="56">
        <f>Table223421023456[[#This Row],[Yest]]-Table223421023456[[#This Row],[REF]]</f>
        <v>0.18381568248931046</v>
      </c>
      <c r="L65" s="56">
        <f>ABS(Table223421023456[[#This Row],[RESyx]])</f>
        <v>0.18381568248931046</v>
      </c>
      <c r="M65" s="29">
        <f>Table223421023456[[#This Row],[Roger]]*E$25+E$26</f>
        <v>9.7430049554822613</v>
      </c>
      <c r="N65" s="29">
        <f>Table223421023456[[#This Row],[X-Y]]^2</f>
        <v>9.5295689999999988E-2</v>
      </c>
      <c r="O65" s="57">
        <f>Table223421023456[[#This Row],[yest_rect]]-Table223421023456[[#This Row],[REF]]</f>
        <v>-0.25699504451773869</v>
      </c>
      <c r="P65" s="57">
        <f>Table223421023456[[#This Row],[dif rec]]^2</f>
        <v>6.6046452906674491E-2</v>
      </c>
      <c r="Q65" s="57">
        <f>ABS(Table223421023456[[#This Row],[diff-bias]])</f>
        <v>0.86111501999999973</v>
      </c>
      <c r="R65" s="57">
        <f ca="1">CELL("row",Table223421023456[[#This Row],[Position]])</f>
        <v>65</v>
      </c>
      <c r="S65" s="4">
        <f>Table223421023456[[#This Row],[REF]]-D$13</f>
        <v>-1.0100002500000009</v>
      </c>
      <c r="T65" s="4">
        <f>ABS(Table223421023456[[#This Row],[lab-med]])</f>
        <v>1.0100002500000009</v>
      </c>
      <c r="U65" s="4">
        <f>Table223421023456[[#This Row],[Roger]]-F$13</f>
        <v>-2.0901999999999994</v>
      </c>
      <c r="V65" s="4">
        <f>ABS(Table223421023456[[#This Row],[anl-med]])</f>
        <v>2.0901999999999994</v>
      </c>
      <c r="W65" s="4">
        <f>Table223421023456[[#This Row],[lab-med]]*Table223421023456[[#This Row],[anl-med]]</f>
        <v>2.1111025225500013</v>
      </c>
    </row>
    <row r="66" spans="2:23" x14ac:dyDescent="0.25">
      <c r="B66" s="46">
        <f ca="1">VALUE((Table223421023456[[#This Row],[Column3]]-62))</f>
        <v>4</v>
      </c>
      <c r="C66" t="s">
        <v>72</v>
      </c>
      <c r="D66">
        <v>10.5</v>
      </c>
      <c r="E66"/>
      <c r="F66">
        <v>13.593999999999999</v>
      </c>
      <c r="G66" s="29">
        <f>Table223421023456[[#This Row],[Roger]]-Table223421023456[[#This Row],[REF]]</f>
        <v>3.0939999999999994</v>
      </c>
      <c r="H66" s="29">
        <f>Table223421023456[[#This Row],[X-Y]]-E$20</f>
        <v>2.5415849799999997</v>
      </c>
      <c r="I66" s="29">
        <f>Table223421023456[[#This Row],[Roger]]-E$20</f>
        <v>13.04158498</v>
      </c>
      <c r="J66" s="29">
        <f>Table223421023456[[#This Row],[Roger]]*E$21+E$22</f>
        <v>12.017085046568532</v>
      </c>
      <c r="K66" s="56">
        <f>Table223421023456[[#This Row],[Yest]]-Table223421023456[[#This Row],[REF]]</f>
        <v>1.5170850465685319</v>
      </c>
      <c r="L66" s="56">
        <f>ABS(Table223421023456[[#This Row],[RESyx]])</f>
        <v>1.5170850465685319</v>
      </c>
      <c r="M66" s="29">
        <f>Table223421023456[[#This Row],[Roger]]*E$25+E$26</f>
        <v>12.449276922449622</v>
      </c>
      <c r="N66" s="29">
        <f>Table223421023456[[#This Row],[X-Y]]^2</f>
        <v>9.572835999999997</v>
      </c>
      <c r="O66" s="57">
        <f>Table223421023456[[#This Row],[yest_rect]]-Table223421023456[[#This Row],[REF]]</f>
        <v>1.9492769224496218</v>
      </c>
      <c r="P66" s="57">
        <f>Table223421023456[[#This Row],[dif rec]]^2</f>
        <v>3.7996805203946691</v>
      </c>
      <c r="Q66" s="57">
        <f>ABS(Table223421023456[[#This Row],[diff-bias]])</f>
        <v>2.5415849799999997</v>
      </c>
      <c r="R66" s="57">
        <f ca="1">CELL("row",Table223421023456[[#This Row],[Position]])</f>
        <v>66</v>
      </c>
      <c r="S66" s="4">
        <f>Table223421023456[[#This Row],[REF]]-D$13</f>
        <v>-0.51000025000000093</v>
      </c>
      <c r="T66" s="4">
        <f>ABS(Table223421023456[[#This Row],[lab-med]])</f>
        <v>0.51000025000000093</v>
      </c>
      <c r="U66" s="4">
        <f>Table223421023456[[#This Row],[Roger]]-F$13</f>
        <v>1.8125</v>
      </c>
      <c r="V66" s="4">
        <f>ABS(Table223421023456[[#This Row],[anl-med]])</f>
        <v>1.8125</v>
      </c>
      <c r="W66" s="4">
        <f>Table223421023456[[#This Row],[lab-med]]*Table223421023456[[#This Row],[anl-med]]</f>
        <v>-0.92437545312500169</v>
      </c>
    </row>
    <row r="67" spans="2:23" x14ac:dyDescent="0.25">
      <c r="B67" s="46">
        <f ca="1">VALUE((Table223421023456[[#This Row],[Column3]]-62))</f>
        <v>5</v>
      </c>
      <c r="C67" t="s">
        <v>73</v>
      </c>
      <c r="D67">
        <v>10.779999699999999</v>
      </c>
      <c r="E67"/>
      <c r="F67">
        <v>8.8520000000000003</v>
      </c>
      <c r="G67" s="29">
        <f>Table223421023456[[#This Row],[Roger]]-Table223421023456[[#This Row],[REF]]</f>
        <v>-1.9279996999999991</v>
      </c>
      <c r="H67" s="29">
        <f>Table223421023456[[#This Row],[X-Y]]-E$20</f>
        <v>-2.4804147199999989</v>
      </c>
      <c r="I67" s="29">
        <f>Table223421023456[[#This Row],[Roger]]-E$20</f>
        <v>8.2995849800000006</v>
      </c>
      <c r="J67" s="29">
        <f>Table223421023456[[#This Row],[Roger]]*E$21+E$22</f>
        <v>9.7895596604349144</v>
      </c>
      <c r="K67" s="56">
        <f>Table223421023456[[#This Row],[Yest]]-Table223421023456[[#This Row],[REF]]</f>
        <v>-0.99044003956508497</v>
      </c>
      <c r="L67" s="56">
        <f>ABS(Table223421023456[[#This Row],[RESyx]])</f>
        <v>0.99044003956508497</v>
      </c>
      <c r="M67" s="29">
        <f>Table223421023456[[#This Row],[Roger]]*E$25+E$26</f>
        <v>9.1610042734222255</v>
      </c>
      <c r="N67" s="29">
        <f>Table223421023456[[#This Row],[X-Y]]^2</f>
        <v>3.7171828432000864</v>
      </c>
      <c r="O67" s="57">
        <f>Table223421023456[[#This Row],[yest_rect]]-Table223421023456[[#This Row],[REF]]</f>
        <v>-1.618995426577774</v>
      </c>
      <c r="P67" s="57">
        <f>Table223421023456[[#This Row],[dif rec]]^2</f>
        <v>2.6211461912797485</v>
      </c>
      <c r="Q67" s="57">
        <f>ABS(Table223421023456[[#This Row],[diff-bias]])</f>
        <v>2.4804147199999989</v>
      </c>
      <c r="R67" s="57">
        <f ca="1">CELL("row",Table223421023456[[#This Row],[Position]])</f>
        <v>67</v>
      </c>
      <c r="S67" s="4">
        <f>Table223421023456[[#This Row],[REF]]-D$13</f>
        <v>-0.23000055000000152</v>
      </c>
      <c r="T67" s="4">
        <f>ABS(Table223421023456[[#This Row],[lab-med]])</f>
        <v>0.23000055000000152</v>
      </c>
      <c r="U67" s="4">
        <f>Table223421023456[[#This Row],[Roger]]-F$13</f>
        <v>-2.9294999999999991</v>
      </c>
      <c r="V67" s="4">
        <f>ABS(Table223421023456[[#This Row],[anl-med]])</f>
        <v>2.9294999999999991</v>
      </c>
      <c r="W67" s="4">
        <f>Table223421023456[[#This Row],[lab-med]]*Table223421023456[[#This Row],[anl-med]]</f>
        <v>0.67378661122500427</v>
      </c>
    </row>
    <row r="68" spans="2:23" x14ac:dyDescent="0.25">
      <c r="B68" s="46">
        <f ca="1">VALUE((Table223421023456[[#This Row],[Column3]]-62))</f>
        <v>6</v>
      </c>
      <c r="C68" t="s">
        <v>74</v>
      </c>
      <c r="D68">
        <v>10.449999800000001</v>
      </c>
      <c r="E68"/>
      <c r="F68">
        <v>11.365</v>
      </c>
      <c r="G68" s="29">
        <f>Table223421023456[[#This Row],[Roger]]-Table223421023456[[#This Row],[REF]]</f>
        <v>0.91500019999999971</v>
      </c>
      <c r="H68" s="29">
        <f>Table223421023456[[#This Row],[X-Y]]-E$20</f>
        <v>0.36258517999999995</v>
      </c>
      <c r="I68" s="29">
        <f>Table223421023456[[#This Row],[Roger]]-E$20</f>
        <v>10.81258498</v>
      </c>
      <c r="J68" s="29">
        <f>Table223421023456[[#This Row],[Roger]]*E$21+E$22</f>
        <v>10.970025981682021</v>
      </c>
      <c r="K68" s="56">
        <f>Table223421023456[[#This Row],[Yest]]-Table223421023456[[#This Row],[REF]]</f>
        <v>0.52002618168202019</v>
      </c>
      <c r="L68" s="56">
        <f>ABS(Table223421023456[[#This Row],[RESyx]])</f>
        <v>0.52002618168202019</v>
      </c>
      <c r="M68" s="29">
        <f>Table223421023456[[#This Row],[Roger]]*E$25+E$26</f>
        <v>10.903608484094061</v>
      </c>
      <c r="N68" s="29">
        <f>Table223421023456[[#This Row],[X-Y]]^2</f>
        <v>0.83722536600003949</v>
      </c>
      <c r="O68" s="57">
        <f>Table223421023456[[#This Row],[yest_rect]]-Table223421023456[[#This Row],[REF]]</f>
        <v>0.45360868409406052</v>
      </c>
      <c r="P68" s="57">
        <f>Table223421023456[[#This Row],[dif rec]]^2</f>
        <v>0.2057608382855452</v>
      </c>
      <c r="Q68" s="57">
        <f>ABS(Table223421023456[[#This Row],[diff-bias]])</f>
        <v>0.36258517999999995</v>
      </c>
      <c r="R68" s="57">
        <f ca="1">CELL("row",Table223421023456[[#This Row],[Position]])</f>
        <v>68</v>
      </c>
      <c r="S68" s="4">
        <f>Table223421023456[[#This Row],[REF]]-D$13</f>
        <v>-0.56000045000000043</v>
      </c>
      <c r="T68" s="4">
        <f>ABS(Table223421023456[[#This Row],[lab-med]])</f>
        <v>0.56000045000000043</v>
      </c>
      <c r="U68" s="4">
        <f>Table223421023456[[#This Row],[Roger]]-F$13</f>
        <v>-0.4164999999999992</v>
      </c>
      <c r="V68" s="4">
        <f>ABS(Table223421023456[[#This Row],[anl-med]])</f>
        <v>0.4164999999999992</v>
      </c>
      <c r="W68" s="4">
        <f>Table223421023456[[#This Row],[lab-med]]*Table223421023456[[#This Row],[anl-med]]</f>
        <v>0.23324018742499975</v>
      </c>
    </row>
    <row r="69" spans="2:23" x14ac:dyDescent="0.25">
      <c r="B69" s="46">
        <f ca="1">VALUE((Table223421023456[[#This Row],[Column3]]-62))</f>
        <v>7</v>
      </c>
      <c r="C69" t="s">
        <v>75</v>
      </c>
      <c r="D69">
        <v>11.0200005</v>
      </c>
      <c r="E69"/>
      <c r="F69">
        <v>10.137</v>
      </c>
      <c r="G69" s="29">
        <f>Table223421023456[[#This Row],[Roger]]-Table223421023456[[#This Row],[REF]]</f>
        <v>-0.88300049999999963</v>
      </c>
      <c r="H69" s="29">
        <f>Table223421023456[[#This Row],[X-Y]]-E$20</f>
        <v>-1.4354155199999994</v>
      </c>
      <c r="I69" s="29">
        <f>Table223421023456[[#This Row],[Roger]]-E$20</f>
        <v>9.5845849800000007</v>
      </c>
      <c r="J69" s="29">
        <f>Table223421023456[[#This Row],[Roger]]*E$21+E$22</f>
        <v>10.39318052108057</v>
      </c>
      <c r="K69" s="56">
        <f>Table223421023456[[#This Row],[Yest]]-Table223421023456[[#This Row],[REF]]</f>
        <v>-0.6268199789194302</v>
      </c>
      <c r="L69" s="56">
        <f>ABS(Table223421023456[[#This Row],[RESyx]])</f>
        <v>0.6268199789194302</v>
      </c>
      <c r="M69" s="29">
        <f>Table223421023456[[#This Row],[Roger]]*E$25+E$26</f>
        <v>10.052069299571572</v>
      </c>
      <c r="N69" s="29">
        <f>Table223421023456[[#This Row],[X-Y]]^2</f>
        <v>0.77968988300024933</v>
      </c>
      <c r="O69" s="57">
        <f>Table223421023456[[#This Row],[yest_rect]]-Table223421023456[[#This Row],[REF]]</f>
        <v>-0.96793120042842773</v>
      </c>
      <c r="P69" s="57">
        <f>Table223421023456[[#This Row],[dif rec]]^2</f>
        <v>0.93689080876281716</v>
      </c>
      <c r="Q69" s="57">
        <f>ABS(Table223421023456[[#This Row],[diff-bias]])</f>
        <v>1.4354155199999994</v>
      </c>
      <c r="R69" s="57">
        <f ca="1">CELL("row",Table223421023456[[#This Row],[Position]])</f>
        <v>69</v>
      </c>
      <c r="S69" s="4">
        <f>Table223421023456[[#This Row],[REF]]-D$13</f>
        <v>1.0000249999999156E-2</v>
      </c>
      <c r="T69" s="4">
        <f>ABS(Table223421023456[[#This Row],[lab-med]])</f>
        <v>1.0000249999999156E-2</v>
      </c>
      <c r="U69" s="4">
        <f>Table223421023456[[#This Row],[Roger]]-F$13</f>
        <v>-1.644499999999999</v>
      </c>
      <c r="V69" s="4">
        <f>ABS(Table223421023456[[#This Row],[anl-med]])</f>
        <v>1.644499999999999</v>
      </c>
      <c r="W69" s="4">
        <f>Table223421023456[[#This Row],[lab-med]]*Table223421023456[[#This Row],[anl-med]]</f>
        <v>-1.6445411124998602E-2</v>
      </c>
    </row>
    <row r="70" spans="2:23" x14ac:dyDescent="0.25">
      <c r="B70" s="46">
        <f ca="1">VALUE((Table223421023456[[#This Row],[Column3]]-62))</f>
        <v>8</v>
      </c>
      <c r="C70" t="s">
        <v>76</v>
      </c>
      <c r="D70">
        <v>10.800000199999999</v>
      </c>
      <c r="E70"/>
      <c r="F70">
        <v>11.683</v>
      </c>
      <c r="G70" s="29">
        <f>Table223421023456[[#This Row],[Roger]]-Table223421023456[[#This Row],[REF]]</f>
        <v>0.88299980000000033</v>
      </c>
      <c r="H70" s="29">
        <f>Table223421023456[[#This Row],[X-Y]]-E$20</f>
        <v>0.33058478000000058</v>
      </c>
      <c r="I70" s="29">
        <f>Table223421023456[[#This Row],[Roger]]-E$20</f>
        <v>11.13058498</v>
      </c>
      <c r="J70" s="29">
        <f>Table223421023456[[#This Row],[Roger]]*E$21+E$22</f>
        <v>11.119404529297055</v>
      </c>
      <c r="K70" s="56">
        <f>Table223421023456[[#This Row],[Yest]]-Table223421023456[[#This Row],[REF]]</f>
        <v>0.31940432929705587</v>
      </c>
      <c r="L70" s="56">
        <f>ABS(Table223421023456[[#This Row],[RESyx]])</f>
        <v>0.31940432929705587</v>
      </c>
      <c r="M70" s="29">
        <f>Table223421023456[[#This Row],[Roger]]*E$25+E$26</f>
        <v>11.124121074222849</v>
      </c>
      <c r="N70" s="29">
        <f>Table223421023456[[#This Row],[X-Y]]^2</f>
        <v>0.77968864680004057</v>
      </c>
      <c r="O70" s="57">
        <f>Table223421023456[[#This Row],[yest_rect]]-Table223421023456[[#This Row],[REF]]</f>
        <v>0.32412087422284941</v>
      </c>
      <c r="P70" s="57">
        <f>Table223421023456[[#This Row],[dif rec]]^2</f>
        <v>0.10505434110698417</v>
      </c>
      <c r="Q70" s="57">
        <f>ABS(Table223421023456[[#This Row],[diff-bias]])</f>
        <v>0.33058478000000058</v>
      </c>
      <c r="R70" s="57">
        <f ca="1">CELL("row",Table223421023456[[#This Row],[Position]])</f>
        <v>70</v>
      </c>
      <c r="S70" s="4">
        <f>Table223421023456[[#This Row],[REF]]-D$13</f>
        <v>-0.21000005000000144</v>
      </c>
      <c r="T70" s="4">
        <f>ABS(Table223421023456[[#This Row],[lab-med]])</f>
        <v>0.21000005000000144</v>
      </c>
      <c r="U70" s="4">
        <f>Table223421023456[[#This Row],[Roger]]-F$13</f>
        <v>-9.8499999999999588E-2</v>
      </c>
      <c r="V70" s="4">
        <f>ABS(Table223421023456[[#This Row],[anl-med]])</f>
        <v>9.8499999999999588E-2</v>
      </c>
      <c r="W70" s="4">
        <f>Table223421023456[[#This Row],[lab-med]]*Table223421023456[[#This Row],[anl-med]]</f>
        <v>2.0685004925000056E-2</v>
      </c>
    </row>
    <row r="71" spans="2:23" x14ac:dyDescent="0.25">
      <c r="B71" s="46">
        <f ca="1">VALUE((Table223421023456[[#This Row],[Column3]]-62))</f>
        <v>9</v>
      </c>
      <c r="C71" t="s">
        <v>77</v>
      </c>
      <c r="D71">
        <v>10.8800001</v>
      </c>
      <c r="E71"/>
      <c r="F71">
        <v>12.449</v>
      </c>
      <c r="G71" s="29">
        <f>Table223421023456[[#This Row],[Roger]]-Table223421023456[[#This Row],[REF]]</f>
        <v>1.5689998999999997</v>
      </c>
      <c r="H71" s="29">
        <f>Table223421023456[[#This Row],[X-Y]]-E$20</f>
        <v>1.0165848799999999</v>
      </c>
      <c r="I71" s="29">
        <f>Table223421023456[[#This Row],[Roger]]-E$20</f>
        <v>11.89658498</v>
      </c>
      <c r="J71" s="29">
        <f>Table223421023456[[#This Row],[Roger]]*E$21+E$22</f>
        <v>11.479228326382326</v>
      </c>
      <c r="K71" s="56">
        <f>Table223421023456[[#This Row],[Yest]]-Table223421023456[[#This Row],[REF]]</f>
        <v>0.59922822638232631</v>
      </c>
      <c r="L71" s="56">
        <f>ABS(Table223421023456[[#This Row],[RESyx]])</f>
        <v>0.59922822638232631</v>
      </c>
      <c r="M71" s="29">
        <f>Table223421023456[[#This Row],[Roger]]*E$25+E$26</f>
        <v>11.655292910822382</v>
      </c>
      <c r="N71" s="29">
        <f>Table223421023456[[#This Row],[X-Y]]^2</f>
        <v>2.4617606862000088</v>
      </c>
      <c r="O71" s="57">
        <f>Table223421023456[[#This Row],[yest_rect]]-Table223421023456[[#This Row],[REF]]</f>
        <v>0.77529281082238199</v>
      </c>
      <c r="P71" s="57">
        <f>Table223421023456[[#This Row],[dif rec]]^2</f>
        <v>0.60107894251286975</v>
      </c>
      <c r="Q71" s="57">
        <f>ABS(Table223421023456[[#This Row],[diff-bias]])</f>
        <v>1.0165848799999999</v>
      </c>
      <c r="R71" s="57">
        <f ca="1">CELL("row",Table223421023456[[#This Row],[Position]])</f>
        <v>71</v>
      </c>
      <c r="S71" s="4">
        <f>Table223421023456[[#This Row],[REF]]-D$13</f>
        <v>-0.13000015000000076</v>
      </c>
      <c r="T71" s="4">
        <f>ABS(Table223421023456[[#This Row],[lab-med]])</f>
        <v>0.13000015000000076</v>
      </c>
      <c r="U71" s="4">
        <f>Table223421023456[[#This Row],[Roger]]-F$13</f>
        <v>0.66750000000000043</v>
      </c>
      <c r="V71" s="4">
        <f>ABS(Table223421023456[[#This Row],[anl-med]])</f>
        <v>0.66750000000000043</v>
      </c>
      <c r="W71" s="4">
        <f>Table223421023456[[#This Row],[lab-med]]*Table223421023456[[#This Row],[anl-med]]</f>
        <v>-8.6775100125000559E-2</v>
      </c>
    </row>
    <row r="72" spans="2:23" x14ac:dyDescent="0.25">
      <c r="B72" s="46">
        <f ca="1">VALUE((Table223421023456[[#This Row],[Column3]]-62))</f>
        <v>10</v>
      </c>
      <c r="C72" t="s">
        <v>78</v>
      </c>
      <c r="D72">
        <v>11.0600004</v>
      </c>
      <c r="E72"/>
      <c r="F72">
        <v>9.9460999999999995</v>
      </c>
      <c r="G72" s="29">
        <f>Table223421023456[[#This Row],[Roger]]-Table223421023456[[#This Row],[REF]]</f>
        <v>-1.1139004000000003</v>
      </c>
      <c r="H72" s="29">
        <f>Table223421023456[[#This Row],[X-Y]]-E$20</f>
        <v>-1.6663154200000001</v>
      </c>
      <c r="I72" s="29">
        <f>Table223421023456[[#This Row],[Roger]]-E$20</f>
        <v>9.3936849799999997</v>
      </c>
      <c r="J72" s="29">
        <f>Table223421023456[[#This Row],[Roger]]*E$21+E$22</f>
        <v>10.303506418125506</v>
      </c>
      <c r="K72" s="56">
        <f>Table223421023456[[#This Row],[Yest]]-Table223421023456[[#This Row],[REF]]</f>
        <v>-0.75649398187449357</v>
      </c>
      <c r="L72" s="56">
        <f>ABS(Table223421023456[[#This Row],[RESyx]])</f>
        <v>0.75649398187449357</v>
      </c>
      <c r="M72" s="29">
        <f>Table223421023456[[#This Row],[Roger]]*E$25+E$26</f>
        <v>9.9196924019124975</v>
      </c>
      <c r="N72" s="29">
        <f>Table223421023456[[#This Row],[X-Y]]^2</f>
        <v>1.2407741011201607</v>
      </c>
      <c r="O72" s="57">
        <f>Table223421023456[[#This Row],[yest_rect]]-Table223421023456[[#This Row],[REF]]</f>
        <v>-1.1403079980875024</v>
      </c>
      <c r="P72" s="57">
        <f>Table223421023456[[#This Row],[dif rec]]^2</f>
        <v>1.3003023305023274</v>
      </c>
      <c r="Q72" s="57">
        <f>ABS(Table223421023456[[#This Row],[diff-bias]])</f>
        <v>1.6663154200000001</v>
      </c>
      <c r="R72" s="57">
        <f ca="1">CELL("row",Table223421023456[[#This Row],[Position]])</f>
        <v>72</v>
      </c>
      <c r="S72" s="4">
        <f>Table223421023456[[#This Row],[REF]]-D$13</f>
        <v>5.0000149999998911E-2</v>
      </c>
      <c r="T72" s="4">
        <f>ABS(Table223421023456[[#This Row],[lab-med]])</f>
        <v>5.0000149999998911E-2</v>
      </c>
      <c r="U72" s="4">
        <f>Table223421023456[[#This Row],[Roger]]-F$13</f>
        <v>-1.8353999999999999</v>
      </c>
      <c r="V72" s="4">
        <f>ABS(Table223421023456[[#This Row],[anl-med]])</f>
        <v>1.8353999999999999</v>
      </c>
      <c r="W72" s="4">
        <f>Table223421023456[[#This Row],[lab-med]]*Table223421023456[[#This Row],[anl-med]]</f>
        <v>-9.1770275309997998E-2</v>
      </c>
    </row>
    <row r="73" spans="2:23" x14ac:dyDescent="0.25">
      <c r="B73" s="46">
        <f ca="1">VALUE((Table223421023456[[#This Row],[Column3]]-62))</f>
        <v>11</v>
      </c>
      <c r="C73" t="s">
        <v>79</v>
      </c>
      <c r="D73">
        <v>11.0900002</v>
      </c>
      <c r="E73"/>
      <c r="F73">
        <v>12.994999999999999</v>
      </c>
      <c r="G73" s="29">
        <f>Table223421023456[[#This Row],[Roger]]-Table223421023456[[#This Row],[REF]]</f>
        <v>1.9049997999999988</v>
      </c>
      <c r="H73" s="29">
        <f>Table223421023456[[#This Row],[X-Y]]-E$20</f>
        <v>1.352584779999999</v>
      </c>
      <c r="I73" s="29">
        <f>Table223421023456[[#This Row],[Roger]]-E$20</f>
        <v>12.442584979999999</v>
      </c>
      <c r="J73" s="29">
        <f>Table223421023456[[#This Row],[Roger]]*E$21+E$22</f>
        <v>11.735708474174176</v>
      </c>
      <c r="K73" s="56">
        <f>Table223421023456[[#This Row],[Yest]]-Table223421023456[[#This Row],[REF]]</f>
        <v>0.64570827417417576</v>
      </c>
      <c r="L73" s="56">
        <f>ABS(Table223421023456[[#This Row],[RESyx]])</f>
        <v>0.64570827417417576</v>
      </c>
      <c r="M73" s="29">
        <f>Table223421023456[[#This Row],[Roger]]*E$25+E$26</f>
        <v>12.033908867458603</v>
      </c>
      <c r="N73" s="29">
        <f>Table223421023456[[#This Row],[X-Y]]^2</f>
        <v>3.6290242380000355</v>
      </c>
      <c r="O73" s="57">
        <f>Table223421023456[[#This Row],[yest_rect]]-Table223421023456[[#This Row],[REF]]</f>
        <v>0.94390866745860258</v>
      </c>
      <c r="P73" s="57">
        <f>Table223421023456[[#This Row],[dif rec]]^2</f>
        <v>0.8909635725034748</v>
      </c>
      <c r="Q73" s="57">
        <f>ABS(Table223421023456[[#This Row],[diff-bias]])</f>
        <v>1.352584779999999</v>
      </c>
      <c r="R73" s="57">
        <f ca="1">CELL("row",Table223421023456[[#This Row],[Position]])</f>
        <v>73</v>
      </c>
      <c r="S73" s="4">
        <f>Table223421023456[[#This Row],[REF]]-D$13</f>
        <v>7.9999949999999487E-2</v>
      </c>
      <c r="T73" s="4">
        <f>ABS(Table223421023456[[#This Row],[lab-med]])</f>
        <v>7.9999949999999487E-2</v>
      </c>
      <c r="U73" s="4">
        <f>Table223421023456[[#This Row],[Roger]]-F$13</f>
        <v>1.2134999999999998</v>
      </c>
      <c r="V73" s="4">
        <f>ABS(Table223421023456[[#This Row],[anl-med]])</f>
        <v>1.2134999999999998</v>
      </c>
      <c r="W73" s="4">
        <f>Table223421023456[[#This Row],[lab-med]]*Table223421023456[[#This Row],[anl-med]]</f>
        <v>9.7079939324999365E-2</v>
      </c>
    </row>
    <row r="74" spans="2:23" x14ac:dyDescent="0.25">
      <c r="B74" s="46">
        <f ca="1">VALUE((Table223421023456[[#This Row],[Column3]]-62))</f>
        <v>12</v>
      </c>
      <c r="C74" t="s">
        <v>80</v>
      </c>
      <c r="D74">
        <v>11.6199999</v>
      </c>
      <c r="E74"/>
      <c r="F74">
        <v>12.914999999999999</v>
      </c>
      <c r="G74" s="29">
        <f>Table223421023456[[#This Row],[Roger]]-Table223421023456[[#This Row],[REF]]</f>
        <v>1.2950000999999993</v>
      </c>
      <c r="H74" s="29">
        <f>Table223421023456[[#This Row],[X-Y]]-E$20</f>
        <v>0.74258507999999956</v>
      </c>
      <c r="I74" s="29">
        <f>Table223421023456[[#This Row],[Roger]]-E$20</f>
        <v>12.362584979999999</v>
      </c>
      <c r="J74" s="29">
        <f>Table223421023456[[#This Row],[Roger]]*E$21+E$22</f>
        <v>11.698128965340207</v>
      </c>
      <c r="K74" s="56">
        <f>Table223421023456[[#This Row],[Yest]]-Table223421023456[[#This Row],[REF]]</f>
        <v>7.8129065340206694E-2</v>
      </c>
      <c r="L74" s="56">
        <f>ABS(Table223421023456[[#This Row],[RESyx]])</f>
        <v>7.8129065340206694E-2</v>
      </c>
      <c r="M74" s="29">
        <f>Table223421023456[[#This Row],[Roger]]*E$25+E$26</f>
        <v>11.978434002017398</v>
      </c>
      <c r="N74" s="29">
        <f>Table223421023456[[#This Row],[X-Y]]^2</f>
        <v>1.6770252590000083</v>
      </c>
      <c r="O74" s="57">
        <f>Table223421023456[[#This Row],[yest_rect]]-Table223421023456[[#This Row],[REF]]</f>
        <v>0.358434102017398</v>
      </c>
      <c r="P74" s="57">
        <f>Table223421023456[[#This Row],[dif rec]]^2</f>
        <v>0.12847500548901847</v>
      </c>
      <c r="Q74" s="57">
        <f>ABS(Table223421023456[[#This Row],[diff-bias]])</f>
        <v>0.74258507999999956</v>
      </c>
      <c r="R74" s="57">
        <f ca="1">CELL("row",Table223421023456[[#This Row],[Position]])</f>
        <v>74</v>
      </c>
      <c r="S74" s="4">
        <f>Table223421023456[[#This Row],[REF]]-D$13</f>
        <v>0.60999964999999889</v>
      </c>
      <c r="T74" s="4">
        <f>ABS(Table223421023456[[#This Row],[lab-med]])</f>
        <v>0.60999964999999889</v>
      </c>
      <c r="U74" s="4">
        <f>Table223421023456[[#This Row],[Roger]]-F$13</f>
        <v>1.1334999999999997</v>
      </c>
      <c r="V74" s="4">
        <f>ABS(Table223421023456[[#This Row],[anl-med]])</f>
        <v>1.1334999999999997</v>
      </c>
      <c r="W74" s="4">
        <f>Table223421023456[[#This Row],[lab-med]]*Table223421023456[[#This Row],[anl-med]]</f>
        <v>0.69143460327499862</v>
      </c>
    </row>
    <row r="75" spans="2:23" x14ac:dyDescent="0.25">
      <c r="B75" s="46">
        <f ca="1">VALUE((Table223421023456[[#This Row],[Column3]]-62))</f>
        <v>13</v>
      </c>
      <c r="C75" t="s">
        <v>81</v>
      </c>
      <c r="D75">
        <v>9.9600000000000009</v>
      </c>
      <c r="E75"/>
      <c r="F75">
        <v>11.79</v>
      </c>
      <c r="G75" s="29">
        <f>Table223421023456[[#This Row],[Roger]]-Table223421023456[[#This Row],[REF]]</f>
        <v>1.8299999999999983</v>
      </c>
      <c r="H75" s="29">
        <f>Table223421023456[[#This Row],[X-Y]]-E$20</f>
        <v>1.2775849799999985</v>
      </c>
      <c r="I75" s="29">
        <f>Table223421023456[[#This Row],[Roger]]-E$20</f>
        <v>11.237584979999999</v>
      </c>
      <c r="J75" s="29">
        <f>Table223421023456[[#This Row],[Roger]]*E$21+E$22</f>
        <v>11.16966712236249</v>
      </c>
      <c r="K75" s="56">
        <f>Table223421023456[[#This Row],[Yest]]-Table223421023456[[#This Row],[REF]]</f>
        <v>1.2096671223624895</v>
      </c>
      <c r="L75" s="56">
        <f>ABS(Table223421023456[[#This Row],[RESyx]])</f>
        <v>1.2096671223624895</v>
      </c>
      <c r="M75" s="29">
        <f>Table223421023456[[#This Row],[Roger]]*E$25+E$26</f>
        <v>11.198318706750459</v>
      </c>
      <c r="N75" s="29">
        <f>Table223421023456[[#This Row],[X-Y]]^2</f>
        <v>3.3488999999999938</v>
      </c>
      <c r="O75" s="57">
        <f>Table223421023456[[#This Row],[yest_rect]]-Table223421023456[[#This Row],[REF]]</f>
        <v>1.2383187067504586</v>
      </c>
      <c r="P75" s="57">
        <f>Table223421023456[[#This Row],[dif rec]]^2</f>
        <v>1.5334332194881284</v>
      </c>
      <c r="Q75" s="57">
        <f>ABS(Table223421023456[[#This Row],[diff-bias]])</f>
        <v>1.2775849799999985</v>
      </c>
      <c r="R75" s="57">
        <f ca="1">CELL("row",Table223421023456[[#This Row],[Position]])</f>
        <v>75</v>
      </c>
      <c r="S75" s="4">
        <f>Table223421023456[[#This Row],[REF]]-D$13</f>
        <v>-1.0500002500000001</v>
      </c>
      <c r="T75" s="4">
        <f>ABS(Table223421023456[[#This Row],[lab-med]])</f>
        <v>1.0500002500000001</v>
      </c>
      <c r="U75" s="4">
        <f>Table223421023456[[#This Row],[Roger]]-F$13</f>
        <v>8.49999999999973E-3</v>
      </c>
      <c r="V75" s="4">
        <f>ABS(Table223421023456[[#This Row],[anl-med]])</f>
        <v>8.49999999999973E-3</v>
      </c>
      <c r="W75" s="4">
        <f>Table223421023456[[#This Row],[lab-med]]*Table223421023456[[#This Row],[anl-med]]</f>
        <v>-8.9250021249997168E-3</v>
      </c>
    </row>
    <row r="76" spans="2:23" x14ac:dyDescent="0.25">
      <c r="B76" s="46">
        <f ca="1">VALUE((Table223421023456[[#This Row],[Column3]]-62))</f>
        <v>14</v>
      </c>
      <c r="C76" t="s">
        <v>82</v>
      </c>
      <c r="D76">
        <v>9.5</v>
      </c>
      <c r="E76"/>
      <c r="F76">
        <v>11.542</v>
      </c>
      <c r="G76" s="29">
        <f>Table223421023456[[#This Row],[Roger]]-Table223421023456[[#This Row],[REF]]</f>
        <v>2.0419999999999998</v>
      </c>
      <c r="H76" s="29">
        <f>Table223421023456[[#This Row],[X-Y]]-E$20</f>
        <v>1.4895849800000001</v>
      </c>
      <c r="I76" s="29">
        <f>Table223421023456[[#This Row],[Roger]]-E$20</f>
        <v>10.98958498</v>
      </c>
      <c r="J76" s="29">
        <f>Table223421023456[[#This Row],[Roger]]*E$21+E$22</f>
        <v>11.053170644977182</v>
      </c>
      <c r="K76" s="56">
        <f>Table223421023456[[#This Row],[Yest]]-Table223421023456[[#This Row],[REF]]</f>
        <v>1.5531706449771825</v>
      </c>
      <c r="L76" s="56">
        <f>ABS(Table223421023456[[#This Row],[RESyx]])</f>
        <v>1.5531706449771825</v>
      </c>
      <c r="M76" s="29">
        <f>Table223421023456[[#This Row],[Roger]]*E$25+E$26</f>
        <v>11.026346623882725</v>
      </c>
      <c r="N76" s="29">
        <f>Table223421023456[[#This Row],[X-Y]]^2</f>
        <v>4.1697639999999989</v>
      </c>
      <c r="O76" s="57">
        <f>Table223421023456[[#This Row],[yest_rect]]-Table223421023456[[#This Row],[REF]]</f>
        <v>1.5263466238827252</v>
      </c>
      <c r="P76" s="57">
        <f>Table223421023456[[#This Row],[dif rec]]^2</f>
        <v>2.3297340162381937</v>
      </c>
      <c r="Q76" s="57">
        <f>ABS(Table223421023456[[#This Row],[diff-bias]])</f>
        <v>1.4895849800000001</v>
      </c>
      <c r="R76" s="57">
        <f ca="1">CELL("row",Table223421023456[[#This Row],[Position]])</f>
        <v>76</v>
      </c>
      <c r="S76" s="4">
        <f>Table223421023456[[#This Row],[REF]]-D$13</f>
        <v>-1.5100002500000009</v>
      </c>
      <c r="T76" s="4">
        <f>ABS(Table223421023456[[#This Row],[lab-med]])</f>
        <v>1.5100002500000009</v>
      </c>
      <c r="U76" s="4">
        <f>Table223421023456[[#This Row],[Roger]]-F$13</f>
        <v>-0.2394999999999996</v>
      </c>
      <c r="V76" s="4">
        <f>ABS(Table223421023456[[#This Row],[anl-med]])</f>
        <v>0.2394999999999996</v>
      </c>
      <c r="W76" s="4">
        <f>Table223421023456[[#This Row],[lab-med]]*Table223421023456[[#This Row],[anl-med]]</f>
        <v>0.36164505987499962</v>
      </c>
    </row>
    <row r="77" spans="2:23" x14ac:dyDescent="0.25">
      <c r="B77" s="46">
        <f ca="1">VALUE((Table223421023456[[#This Row],[Column3]]-62))</f>
        <v>15</v>
      </c>
      <c r="C77" t="s">
        <v>83</v>
      </c>
      <c r="D77">
        <v>9.9899997999999997</v>
      </c>
      <c r="E77"/>
      <c r="F77">
        <v>9.2951999999999995</v>
      </c>
      <c r="G77" s="29">
        <f>Table223421023456[[#This Row],[Roger]]-Table223421023456[[#This Row],[REF]]</f>
        <v>-0.69479980000000019</v>
      </c>
      <c r="H77" s="29">
        <f>Table223421023456[[#This Row],[X-Y]]-E$20</f>
        <v>-1.2472148199999999</v>
      </c>
      <c r="I77" s="29">
        <f>Table223421023456[[#This Row],[Roger]]-E$20</f>
        <v>8.7427849799999997</v>
      </c>
      <c r="J77" s="29">
        <f>Table223421023456[[#This Row],[Roger]]*E$21+E$22</f>
        <v>9.9977501393751105</v>
      </c>
      <c r="K77" s="56">
        <f>Table223421023456[[#This Row],[Yest]]-Table223421023456[[#This Row],[REF]]</f>
        <v>7.7503393751108263E-3</v>
      </c>
      <c r="L77" s="56">
        <f>ABS(Table223421023456[[#This Row],[RESyx]])</f>
        <v>7.7503393751108263E-3</v>
      </c>
      <c r="M77" s="29">
        <f>Table223421023456[[#This Row],[Roger]]*E$25+E$26</f>
        <v>9.4683350279664964</v>
      </c>
      <c r="N77" s="29">
        <f>Table223421023456[[#This Row],[X-Y]]^2</f>
        <v>0.48274676208004025</v>
      </c>
      <c r="O77" s="57">
        <f>Table223421023456[[#This Row],[yest_rect]]-Table223421023456[[#This Row],[REF]]</f>
        <v>-0.52166477203350325</v>
      </c>
      <c r="P77" s="57">
        <f>Table223421023456[[#This Row],[dif rec]]^2</f>
        <v>0.27213413438076695</v>
      </c>
      <c r="Q77" s="57">
        <f>ABS(Table223421023456[[#This Row],[diff-bias]])</f>
        <v>1.2472148199999999</v>
      </c>
      <c r="R77" s="57">
        <f ca="1">CELL("row",Table223421023456[[#This Row],[Position]])</f>
        <v>77</v>
      </c>
      <c r="S77" s="4">
        <f>Table223421023456[[#This Row],[REF]]-D$13</f>
        <v>-1.0200004500000013</v>
      </c>
      <c r="T77" s="4">
        <f>ABS(Table223421023456[[#This Row],[lab-med]])</f>
        <v>1.0200004500000013</v>
      </c>
      <c r="U77" s="4">
        <f>Table223421023456[[#This Row],[Roger]]-F$13</f>
        <v>-2.4863</v>
      </c>
      <c r="V77" s="4">
        <f>ABS(Table223421023456[[#This Row],[anl-med]])</f>
        <v>2.4863</v>
      </c>
      <c r="W77" s="4">
        <f>Table223421023456[[#This Row],[lab-med]]*Table223421023456[[#This Row],[anl-med]]</f>
        <v>2.536027118835003</v>
      </c>
    </row>
    <row r="78" spans="2:23" x14ac:dyDescent="0.25">
      <c r="B78" s="46">
        <f ca="1">VALUE((Table223421023456[[#This Row],[Column3]]-62))</f>
        <v>16</v>
      </c>
      <c r="C78" t="s">
        <v>84</v>
      </c>
      <c r="D78">
        <v>10.0100002</v>
      </c>
      <c r="E78"/>
      <c r="F78">
        <v>10.497999999999999</v>
      </c>
      <c r="G78" s="29">
        <f>Table223421023456[[#This Row],[Roger]]-Table223421023456[[#This Row],[REF]]</f>
        <v>0.48799979999999898</v>
      </c>
      <c r="H78" s="29">
        <f>Table223421023456[[#This Row],[X-Y]]-E$20</f>
        <v>-6.4415220000000772E-2</v>
      </c>
      <c r="I78" s="29">
        <f>Table223421023456[[#This Row],[Roger]]-E$20</f>
        <v>9.9455849799999996</v>
      </c>
      <c r="J78" s="29">
        <f>Table223421023456[[#This Row],[Roger]]*E$21+E$22</f>
        <v>10.562758054693862</v>
      </c>
      <c r="K78" s="56">
        <f>Table223421023456[[#This Row],[Yest]]-Table223421023456[[#This Row],[REF]]</f>
        <v>0.55275785469386207</v>
      </c>
      <c r="L78" s="56">
        <f>ABS(Table223421023456[[#This Row],[RESyx]])</f>
        <v>0.55275785469386207</v>
      </c>
      <c r="M78" s="29">
        <f>Table223421023456[[#This Row],[Roger]]*E$25+E$26</f>
        <v>10.302399629875007</v>
      </c>
      <c r="N78" s="29">
        <f>Table223421023456[[#This Row],[X-Y]]^2</f>
        <v>0.23814380480003902</v>
      </c>
      <c r="O78" s="57">
        <f>Table223421023456[[#This Row],[yest_rect]]-Table223421023456[[#This Row],[REF]]</f>
        <v>0.29239942987500633</v>
      </c>
      <c r="P78" s="57">
        <f>Table223421023456[[#This Row],[dif rec]]^2</f>
        <v>8.5497426591228748E-2</v>
      </c>
      <c r="Q78" s="57">
        <f>ABS(Table223421023456[[#This Row],[diff-bias]])</f>
        <v>6.4415220000000772E-2</v>
      </c>
      <c r="R78" s="57">
        <f ca="1">CELL("row",Table223421023456[[#This Row],[Position]])</f>
        <v>78</v>
      </c>
      <c r="S78" s="4">
        <f>Table223421023456[[#This Row],[REF]]-D$13</f>
        <v>-1.0000000500000006</v>
      </c>
      <c r="T78" s="4">
        <f>ABS(Table223421023456[[#This Row],[lab-med]])</f>
        <v>1.0000000500000006</v>
      </c>
      <c r="U78" s="4">
        <f>Table223421023456[[#This Row],[Roger]]-F$13</f>
        <v>-1.2835000000000001</v>
      </c>
      <c r="V78" s="4">
        <f>ABS(Table223421023456[[#This Row],[anl-med]])</f>
        <v>1.2835000000000001</v>
      </c>
      <c r="W78" s="4">
        <f>Table223421023456[[#This Row],[lab-med]]*Table223421023456[[#This Row],[anl-med]]</f>
        <v>1.2835000641750007</v>
      </c>
    </row>
    <row r="79" spans="2:23" x14ac:dyDescent="0.25">
      <c r="B79" s="46">
        <f ca="1">VALUE((Table223421023456[[#This Row],[Column3]]-62))</f>
        <v>17</v>
      </c>
      <c r="C79" t="s">
        <v>85</v>
      </c>
      <c r="D79">
        <v>9.8299999000000007</v>
      </c>
      <c r="E79"/>
      <c r="F79">
        <v>9.7220999999999993</v>
      </c>
      <c r="G79" s="29">
        <f>Table223421023456[[#This Row],[Roger]]-Table223421023456[[#This Row],[REF]]</f>
        <v>-0.10789990000000138</v>
      </c>
      <c r="H79" s="29">
        <f>Table223421023456[[#This Row],[X-Y]]-E$20</f>
        <v>-0.66031492000000114</v>
      </c>
      <c r="I79" s="29">
        <f>Table223421023456[[#This Row],[Roger]]-E$20</f>
        <v>9.1696849799999995</v>
      </c>
      <c r="J79" s="29">
        <f>Table223421023456[[#This Row],[Roger]]*E$21+E$22</f>
        <v>10.198283793390388</v>
      </c>
      <c r="K79" s="56">
        <f>Table223421023456[[#This Row],[Yest]]-Table223421023456[[#This Row],[REF]]</f>
        <v>0.36828389339038736</v>
      </c>
      <c r="L79" s="56">
        <f>ABS(Table223421023456[[#This Row],[RESyx]])</f>
        <v>0.36828389339038736</v>
      </c>
      <c r="M79" s="29">
        <f>Table223421023456[[#This Row],[Roger]]*E$25+E$26</f>
        <v>9.7643627786771248</v>
      </c>
      <c r="N79" s="29">
        <f>Table223421023456[[#This Row],[X-Y]]^2</f>
        <v>1.1642388420010297E-2</v>
      </c>
      <c r="O79" s="57">
        <f>Table223421023456[[#This Row],[yest_rect]]-Table223421023456[[#This Row],[REF]]</f>
        <v>-6.5637121322875913E-2</v>
      </c>
      <c r="P79" s="57">
        <f>Table223421023456[[#This Row],[dif rec]]^2</f>
        <v>4.3082316955539322E-3</v>
      </c>
      <c r="Q79" s="57">
        <f>ABS(Table223421023456[[#This Row],[diff-bias]])</f>
        <v>0.66031492000000114</v>
      </c>
      <c r="R79" s="57">
        <f ca="1">CELL("row",Table223421023456[[#This Row],[Position]])</f>
        <v>79</v>
      </c>
      <c r="S79" s="4">
        <f>Table223421023456[[#This Row],[REF]]-D$13</f>
        <v>-1.1800003500000003</v>
      </c>
      <c r="T79" s="4">
        <f>ABS(Table223421023456[[#This Row],[lab-med]])</f>
        <v>1.1800003500000003</v>
      </c>
      <c r="U79" s="4">
        <f>Table223421023456[[#This Row],[Roger]]-F$13</f>
        <v>-2.0594000000000001</v>
      </c>
      <c r="V79" s="4">
        <f>ABS(Table223421023456[[#This Row],[anl-med]])</f>
        <v>2.0594000000000001</v>
      </c>
      <c r="W79" s="4">
        <f>Table223421023456[[#This Row],[lab-med]]*Table223421023456[[#This Row],[anl-med]]</f>
        <v>2.4300927207900007</v>
      </c>
    </row>
    <row r="80" spans="2:23" x14ac:dyDescent="0.25">
      <c r="B80" s="46">
        <f ca="1">VALUE((Table223421023456[[#This Row],[Column3]]-62))</f>
        <v>18</v>
      </c>
      <c r="C80" t="s">
        <v>86</v>
      </c>
      <c r="D80">
        <v>9.5699997000000003</v>
      </c>
      <c r="E80"/>
      <c r="F80">
        <v>8.6181999999999999</v>
      </c>
      <c r="G80" s="29">
        <f>Table223421023456[[#This Row],[Roger]]-Table223421023456[[#This Row],[REF]]</f>
        <v>-0.95179970000000047</v>
      </c>
      <c r="H80" s="29">
        <f>Table223421023456[[#This Row],[X-Y]]-E$20</f>
        <v>-1.5042147200000002</v>
      </c>
      <c r="I80" s="29">
        <f>Table223421023456[[#This Row],[Roger]]-E$20</f>
        <v>8.0657849800000001</v>
      </c>
      <c r="J80" s="29">
        <f>Table223421023456[[#This Row],[Roger]]*E$21+E$22</f>
        <v>9.6797335458676343</v>
      </c>
      <c r="K80" s="56">
        <f>Table223421023456[[#This Row],[Yest]]-Table223421023456[[#This Row],[REF]]</f>
        <v>0.10973384586763402</v>
      </c>
      <c r="L80" s="56">
        <f>ABS(Table223421023456[[#This Row],[RESyx]])</f>
        <v>0.10973384586763402</v>
      </c>
      <c r="M80" s="29">
        <f>Table223421023456[[#This Row],[Roger]]*E$25+E$26</f>
        <v>8.9988789791703034</v>
      </c>
      <c r="N80" s="29">
        <f>Table223421023456[[#This Row],[X-Y]]^2</f>
        <v>0.90592266892009088</v>
      </c>
      <c r="O80" s="57">
        <f>Table223421023456[[#This Row],[yest_rect]]-Table223421023456[[#This Row],[REF]]</f>
        <v>-0.57112072082969689</v>
      </c>
      <c r="P80" s="57">
        <f>Table223421023456[[#This Row],[dif rec]]^2</f>
        <v>0.32617887776103255</v>
      </c>
      <c r="Q80" s="57">
        <f>ABS(Table223421023456[[#This Row],[diff-bias]])</f>
        <v>1.5042147200000002</v>
      </c>
      <c r="R80" s="57">
        <f ca="1">CELL("row",Table223421023456[[#This Row],[Position]])</f>
        <v>80</v>
      </c>
      <c r="S80" s="4">
        <f>Table223421023456[[#This Row],[REF]]-D$13</f>
        <v>-1.4400005500000006</v>
      </c>
      <c r="T80" s="4">
        <f>ABS(Table223421023456[[#This Row],[lab-med]])</f>
        <v>1.4400005500000006</v>
      </c>
      <c r="U80" s="4">
        <f>Table223421023456[[#This Row],[Roger]]-F$13</f>
        <v>-3.1632999999999996</v>
      </c>
      <c r="V80" s="4">
        <f>ABS(Table223421023456[[#This Row],[anl-med]])</f>
        <v>3.1632999999999996</v>
      </c>
      <c r="W80" s="4">
        <f>Table223421023456[[#This Row],[lab-med]]*Table223421023456[[#This Row],[anl-med]]</f>
        <v>4.555153739815001</v>
      </c>
    </row>
    <row r="81" spans="2:23" x14ac:dyDescent="0.25">
      <c r="B81" s="46">
        <f ca="1">VALUE((Table223421023456[[#This Row],[Column3]]-62))</f>
        <v>19</v>
      </c>
      <c r="C81" t="s">
        <v>87</v>
      </c>
      <c r="D81">
        <v>9.9200000999999993</v>
      </c>
      <c r="E81"/>
      <c r="F81">
        <v>12.311</v>
      </c>
      <c r="G81" s="29">
        <f>Table223421023456[[#This Row],[Roger]]-Table223421023456[[#This Row],[REF]]</f>
        <v>2.3909999000000006</v>
      </c>
      <c r="H81" s="29">
        <f>Table223421023456[[#This Row],[X-Y]]-E$20</f>
        <v>1.8385848800000009</v>
      </c>
      <c r="I81" s="29">
        <f>Table223421023456[[#This Row],[Roger]]-E$20</f>
        <v>11.75858498</v>
      </c>
      <c r="J81" s="29">
        <f>Table223421023456[[#This Row],[Roger]]*E$21+E$22</f>
        <v>11.414403673643726</v>
      </c>
      <c r="K81" s="56">
        <f>Table223421023456[[#This Row],[Yest]]-Table223421023456[[#This Row],[REF]]</f>
        <v>1.4944035736437264</v>
      </c>
      <c r="L81" s="56">
        <f>ABS(Table223421023456[[#This Row],[RESyx]])</f>
        <v>1.4944035736437264</v>
      </c>
      <c r="M81" s="29">
        <f>Table223421023456[[#This Row],[Roger]]*E$25+E$26</f>
        <v>11.559598767936304</v>
      </c>
      <c r="N81" s="29">
        <f>Table223421023456[[#This Row],[X-Y]]^2</f>
        <v>5.7168805218000127</v>
      </c>
      <c r="O81" s="57">
        <f>Table223421023456[[#This Row],[yest_rect]]-Table223421023456[[#This Row],[REF]]</f>
        <v>1.6395986679363048</v>
      </c>
      <c r="P81" s="57">
        <f>Table223421023456[[#This Row],[dif rec]]^2</f>
        <v>2.6882837918985052</v>
      </c>
      <c r="Q81" s="57">
        <f>ABS(Table223421023456[[#This Row],[diff-bias]])</f>
        <v>1.8385848800000009</v>
      </c>
      <c r="R81" s="57">
        <f ca="1">CELL("row",Table223421023456[[#This Row],[Position]])</f>
        <v>81</v>
      </c>
      <c r="S81" s="4">
        <f>Table223421023456[[#This Row],[REF]]-D$13</f>
        <v>-1.0900001500000016</v>
      </c>
      <c r="T81" s="4">
        <f>ABS(Table223421023456[[#This Row],[lab-med]])</f>
        <v>1.0900001500000016</v>
      </c>
      <c r="U81" s="4">
        <f>Table223421023456[[#This Row],[Roger]]-F$13</f>
        <v>0.52950000000000053</v>
      </c>
      <c r="V81" s="4">
        <f>ABS(Table223421023456[[#This Row],[anl-med]])</f>
        <v>0.52950000000000053</v>
      </c>
      <c r="W81" s="4">
        <f>Table223421023456[[#This Row],[lab-med]]*Table223421023456[[#This Row],[anl-med]]</f>
        <v>-0.57715507942500144</v>
      </c>
    </row>
    <row r="82" spans="2:23" x14ac:dyDescent="0.25">
      <c r="B82" s="46">
        <f ca="1">VALUE((Table223421023456[[#This Row],[Column3]]-62))</f>
        <v>20</v>
      </c>
      <c r="C82" t="s">
        <v>88</v>
      </c>
      <c r="D82">
        <v>11.670000099999999</v>
      </c>
      <c r="E82"/>
      <c r="F82">
        <v>10.032999999999999</v>
      </c>
      <c r="G82" s="29">
        <f>Table223421023456[[#This Row],[Roger]]-Table223421023456[[#This Row],[REF]]</f>
        <v>-1.6370000999999998</v>
      </c>
      <c r="H82" s="29">
        <f>Table223421023456[[#This Row],[X-Y]]-E$20</f>
        <v>-2.1894151199999996</v>
      </c>
      <c r="I82" s="29">
        <f>Table223421023456[[#This Row],[Roger]]-E$20</f>
        <v>9.4805849799999997</v>
      </c>
      <c r="J82" s="29">
        <f>Table223421023456[[#This Row],[Roger]]*E$21+E$22</f>
        <v>10.344327159596407</v>
      </c>
      <c r="K82" s="56">
        <f>Table223421023456[[#This Row],[Yest]]-Table223421023456[[#This Row],[REF]]</f>
        <v>-1.3256729404035923</v>
      </c>
      <c r="L82" s="56">
        <f>ABS(Table223421023456[[#This Row],[RESyx]])</f>
        <v>1.3256729404035923</v>
      </c>
      <c r="M82" s="29">
        <f>Table223421023456[[#This Row],[Roger]]*E$25+E$26</f>
        <v>9.9799519744980056</v>
      </c>
      <c r="N82" s="29">
        <f>Table223421023456[[#This Row],[X-Y]]^2</f>
        <v>2.6797693274000096</v>
      </c>
      <c r="O82" s="57">
        <f>Table223421023456[[#This Row],[yest_rect]]-Table223421023456[[#This Row],[REF]]</f>
        <v>-1.6900481255019937</v>
      </c>
      <c r="P82" s="57">
        <f>Table223421023456[[#This Row],[dif rec]]^2</f>
        <v>2.8562626665128028</v>
      </c>
      <c r="Q82" s="57">
        <f>ABS(Table223421023456[[#This Row],[diff-bias]])</f>
        <v>2.1894151199999996</v>
      </c>
      <c r="R82" s="57">
        <f ca="1">CELL("row",Table223421023456[[#This Row],[Position]])</f>
        <v>82</v>
      </c>
      <c r="S82" s="4">
        <f>Table223421023456[[#This Row],[REF]]-D$13</f>
        <v>0.65999984999999839</v>
      </c>
      <c r="T82" s="4">
        <f>ABS(Table223421023456[[#This Row],[lab-med]])</f>
        <v>0.65999984999999839</v>
      </c>
      <c r="U82" s="4">
        <f>Table223421023456[[#This Row],[Roger]]-F$13</f>
        <v>-1.7484999999999999</v>
      </c>
      <c r="V82" s="4">
        <f>ABS(Table223421023456[[#This Row],[anl-med]])</f>
        <v>1.7484999999999999</v>
      </c>
      <c r="W82" s="4">
        <f>Table223421023456[[#This Row],[lab-med]]*Table223421023456[[#This Row],[anl-med]]</f>
        <v>-1.1540097377249972</v>
      </c>
    </row>
    <row r="83" spans="2:23" x14ac:dyDescent="0.25">
      <c r="B83" s="46">
        <f ca="1">VALUE((Table223421023456[[#This Row],[Column3]]-62))</f>
        <v>21</v>
      </c>
      <c r="C83" t="s">
        <v>89</v>
      </c>
      <c r="D83">
        <v>11.5</v>
      </c>
      <c r="E83"/>
      <c r="F83">
        <v>10.943</v>
      </c>
      <c r="G83" s="29">
        <f>Table223421023456[[#This Row],[Roger]]-Table223421023456[[#This Row],[REF]]</f>
        <v>-0.55700000000000038</v>
      </c>
      <c r="H83" s="29">
        <f>Table223421023456[[#This Row],[X-Y]]-E$20</f>
        <v>-1.1094150200000001</v>
      </c>
      <c r="I83" s="29">
        <f>Table223421023456[[#This Row],[Roger]]-E$20</f>
        <v>10.39058498</v>
      </c>
      <c r="J83" s="29">
        <f>Table223421023456[[#This Row],[Roger]]*E$21+E$22</f>
        <v>10.771794072582825</v>
      </c>
      <c r="K83" s="56">
        <f>Table223421023456[[#This Row],[Yest]]-Table223421023456[[#This Row],[REF]]</f>
        <v>-0.72820592741717505</v>
      </c>
      <c r="L83" s="56">
        <f>ABS(Table223421023456[[#This Row],[RESyx]])</f>
        <v>0.72820592741717505</v>
      </c>
      <c r="M83" s="29">
        <f>Table223421023456[[#This Row],[Roger]]*E$25+E$26</f>
        <v>10.610978568891706</v>
      </c>
      <c r="N83" s="29">
        <f>Table223421023456[[#This Row],[X-Y]]^2</f>
        <v>0.31024900000000044</v>
      </c>
      <c r="O83" s="57">
        <f>Table223421023456[[#This Row],[yest_rect]]-Table223421023456[[#This Row],[REF]]</f>
        <v>-0.88902143110829357</v>
      </c>
      <c r="P83" s="57">
        <f>Table223421023456[[#This Row],[dif rec]]^2</f>
        <v>0.79035910496983841</v>
      </c>
      <c r="Q83" s="57">
        <f>ABS(Table223421023456[[#This Row],[diff-bias]])</f>
        <v>1.1094150200000001</v>
      </c>
      <c r="R83" s="57">
        <f ca="1">CELL("row",Table223421023456[[#This Row],[Position]])</f>
        <v>83</v>
      </c>
      <c r="S83" s="4">
        <f>Table223421023456[[#This Row],[REF]]-D$13</f>
        <v>0.48999974999999907</v>
      </c>
      <c r="T83" s="4">
        <f>ABS(Table223421023456[[#This Row],[lab-med]])</f>
        <v>0.48999974999999907</v>
      </c>
      <c r="U83" s="4">
        <f>Table223421023456[[#This Row],[Roger]]-F$13</f>
        <v>-0.8384999999999998</v>
      </c>
      <c r="V83" s="4">
        <f>ABS(Table223421023456[[#This Row],[anl-med]])</f>
        <v>0.8384999999999998</v>
      </c>
      <c r="W83" s="4">
        <f>Table223421023456[[#This Row],[lab-med]]*Table223421023456[[#This Row],[anl-med]]</f>
        <v>-0.41086479037499912</v>
      </c>
    </row>
    <row r="84" spans="2:23" x14ac:dyDescent="0.25">
      <c r="B84" s="46">
        <f ca="1">VALUE((Table223421023456[[#This Row],[Column3]]-62))</f>
        <v>22</v>
      </c>
      <c r="C84" t="s">
        <v>90</v>
      </c>
      <c r="D84">
        <v>11.3699999</v>
      </c>
      <c r="E84"/>
      <c r="F84">
        <v>14.428000000000001</v>
      </c>
      <c r="G84" s="29">
        <f>Table223421023456[[#This Row],[Roger]]-Table223421023456[[#This Row],[REF]]</f>
        <v>3.058000100000001</v>
      </c>
      <c r="H84" s="29">
        <f>Table223421023456[[#This Row],[X-Y]]-E$20</f>
        <v>2.5055850800000012</v>
      </c>
      <c r="I84" s="29">
        <f>Table223421023456[[#This Row],[Roger]]-E$20</f>
        <v>13.875584980000001</v>
      </c>
      <c r="J84" s="29">
        <f>Table223421023456[[#This Row],[Roger]]*E$21+E$22</f>
        <v>12.408851426162679</v>
      </c>
      <c r="K84" s="56">
        <f>Table223421023456[[#This Row],[Yest]]-Table223421023456[[#This Row],[REF]]</f>
        <v>1.038851526162679</v>
      </c>
      <c r="L84" s="56">
        <f>ABS(Table223421023456[[#This Row],[RESyx]])</f>
        <v>1.038851526162679</v>
      </c>
      <c r="M84" s="29">
        <f>Table223421023456[[#This Row],[Roger]]*E$25+E$26</f>
        <v>13.027602394674179</v>
      </c>
      <c r="N84" s="29">
        <f>Table223421023456[[#This Row],[X-Y]]^2</f>
        <v>9.3513646116000153</v>
      </c>
      <c r="O84" s="57">
        <f>Table223421023456[[#This Row],[yest_rect]]-Table223421023456[[#This Row],[REF]]</f>
        <v>1.6576024946741796</v>
      </c>
      <c r="P84" s="57">
        <f>Table223421023456[[#This Row],[dif rec]]^2</f>
        <v>2.7476460303500638</v>
      </c>
      <c r="Q84" s="57">
        <f>ABS(Table223421023456[[#This Row],[diff-bias]])</f>
        <v>2.5055850800000012</v>
      </c>
      <c r="R84" s="57">
        <f ca="1">CELL("row",Table223421023456[[#This Row],[Position]])</f>
        <v>84</v>
      </c>
      <c r="S84" s="4">
        <f>Table223421023456[[#This Row],[REF]]-D$13</f>
        <v>0.35999964999999889</v>
      </c>
      <c r="T84" s="4">
        <f>ABS(Table223421023456[[#This Row],[lab-med]])</f>
        <v>0.35999964999999889</v>
      </c>
      <c r="U84" s="4">
        <f>Table223421023456[[#This Row],[Roger]]-F$13</f>
        <v>2.6465000000000014</v>
      </c>
      <c r="V84" s="4">
        <f>ABS(Table223421023456[[#This Row],[anl-med]])</f>
        <v>2.6465000000000014</v>
      </c>
      <c r="W84" s="4">
        <f>Table223421023456[[#This Row],[lab-med]]*Table223421023456[[#This Row],[anl-med]]</f>
        <v>0.95273907372499755</v>
      </c>
    </row>
    <row r="85" spans="2:23" x14ac:dyDescent="0.25">
      <c r="B85" s="46">
        <f ca="1">VALUE((Table223421023456[[#This Row],[Column3]]-62))</f>
        <v>23</v>
      </c>
      <c r="C85" t="s">
        <v>91</v>
      </c>
      <c r="D85">
        <v>11.5900002</v>
      </c>
      <c r="E85"/>
      <c r="F85">
        <v>12.936</v>
      </c>
      <c r="G85" s="29">
        <f>Table223421023456[[#This Row],[Roger]]-Table223421023456[[#This Row],[REF]]</f>
        <v>1.3459997999999995</v>
      </c>
      <c r="H85" s="29">
        <f>Table223421023456[[#This Row],[X-Y]]-E$20</f>
        <v>0.79358477999999977</v>
      </c>
      <c r="I85" s="29">
        <f>Table223421023456[[#This Row],[Roger]]-E$20</f>
        <v>12.38358498</v>
      </c>
      <c r="J85" s="29">
        <f>Table223421023456[[#This Row],[Roger]]*E$21+E$22</f>
        <v>11.707993586409124</v>
      </c>
      <c r="K85" s="56">
        <f>Table223421023456[[#This Row],[Yest]]-Table223421023456[[#This Row],[REF]]</f>
        <v>0.1179933864091236</v>
      </c>
      <c r="L85" s="56">
        <f>ABS(Table223421023456[[#This Row],[RESyx]])</f>
        <v>0.1179933864091236</v>
      </c>
      <c r="M85" s="29">
        <f>Table223421023456[[#This Row],[Roger]]*E$25+E$26</f>
        <v>11.992996154195716</v>
      </c>
      <c r="N85" s="29">
        <f>Table223421023456[[#This Row],[X-Y]]^2</f>
        <v>1.8117154616000388</v>
      </c>
      <c r="O85" s="57">
        <f>Table223421023456[[#This Row],[yest_rect]]-Table223421023456[[#This Row],[REF]]</f>
        <v>0.4029959541957151</v>
      </c>
      <c r="P85" s="57">
        <f>Table223421023456[[#This Row],[dif rec]]^2</f>
        <v>0.1624057390981149</v>
      </c>
      <c r="Q85" s="57">
        <f>ABS(Table223421023456[[#This Row],[diff-bias]])</f>
        <v>0.79358477999999977</v>
      </c>
      <c r="R85" s="57">
        <f ca="1">CELL("row",Table223421023456[[#This Row],[Position]])</f>
        <v>85</v>
      </c>
      <c r="S85" s="4">
        <f>Table223421023456[[#This Row],[REF]]-D$13</f>
        <v>0.57999994999999949</v>
      </c>
      <c r="T85" s="4">
        <f>ABS(Table223421023456[[#This Row],[lab-med]])</f>
        <v>0.57999994999999949</v>
      </c>
      <c r="U85" s="4">
        <f>Table223421023456[[#This Row],[Roger]]-F$13</f>
        <v>1.1545000000000005</v>
      </c>
      <c r="V85" s="4">
        <f>ABS(Table223421023456[[#This Row],[anl-med]])</f>
        <v>1.1545000000000005</v>
      </c>
      <c r="W85" s="4">
        <f>Table223421023456[[#This Row],[lab-med]]*Table223421023456[[#This Row],[anl-med]]</f>
        <v>0.6696099422749997</v>
      </c>
    </row>
    <row r="86" spans="2:23" x14ac:dyDescent="0.25">
      <c r="B86" s="46">
        <f ca="1">VALUE((Table223421023456[[#This Row],[Column3]]-62))</f>
        <v>24</v>
      </c>
      <c r="C86" t="s">
        <v>92</v>
      </c>
      <c r="D86">
        <v>9.8800001000000002</v>
      </c>
      <c r="E86"/>
      <c r="F86">
        <v>9.5244</v>
      </c>
      <c r="G86" s="29">
        <f>Table223421023456[[#This Row],[Roger]]-Table223421023456[[#This Row],[REF]]</f>
        <v>-0.3556001000000002</v>
      </c>
      <c r="H86" s="29">
        <f>Table223421023456[[#This Row],[X-Y]]-E$20</f>
        <v>-0.90801511999999995</v>
      </c>
      <c r="I86" s="29">
        <f>Table223421023456[[#This Row],[Roger]]-E$20</f>
        <v>8.9719849800000002</v>
      </c>
      <c r="J86" s="29">
        <f>Table223421023456[[#This Row],[Roger]]*E$21+E$22</f>
        <v>10.105415432184436</v>
      </c>
      <c r="K86" s="56">
        <f>Table223421023456[[#This Row],[Yest]]-Table223421023456[[#This Row],[REF]]</f>
        <v>0.22541533218443632</v>
      </c>
      <c r="L86" s="56">
        <f>ABS(Table223421023456[[#This Row],[RESyx]])</f>
        <v>0.22541533218443632</v>
      </c>
      <c r="M86" s="29">
        <f>Table223421023456[[#This Row],[Roger]]*E$25+E$26</f>
        <v>9.627270517455548</v>
      </c>
      <c r="N86" s="29">
        <f>Table223421023456[[#This Row],[X-Y]]^2</f>
        <v>0.12645143112001014</v>
      </c>
      <c r="O86" s="57">
        <f>Table223421023456[[#This Row],[yest_rect]]-Table223421023456[[#This Row],[REF]]</f>
        <v>-0.25272958254445221</v>
      </c>
      <c r="P86" s="57">
        <f>Table223421023456[[#This Row],[dif rec]]^2</f>
        <v>6.3872241893093082E-2</v>
      </c>
      <c r="Q86" s="57">
        <f>ABS(Table223421023456[[#This Row],[diff-bias]])</f>
        <v>0.90801511999999995</v>
      </c>
      <c r="R86" s="57">
        <f ca="1">CELL("row",Table223421023456[[#This Row],[Position]])</f>
        <v>86</v>
      </c>
      <c r="S86" s="4">
        <f>Table223421023456[[#This Row],[REF]]-D$13</f>
        <v>-1.1300001500000008</v>
      </c>
      <c r="T86" s="4">
        <f>ABS(Table223421023456[[#This Row],[lab-med]])</f>
        <v>1.1300001500000008</v>
      </c>
      <c r="U86" s="4">
        <f>Table223421023456[[#This Row],[Roger]]-F$13</f>
        <v>-2.2570999999999994</v>
      </c>
      <c r="V86" s="4">
        <f>ABS(Table223421023456[[#This Row],[anl-med]])</f>
        <v>2.2570999999999994</v>
      </c>
      <c r="W86" s="4">
        <f>Table223421023456[[#This Row],[lab-med]]*Table223421023456[[#This Row],[anl-med]]</f>
        <v>2.550523338565001</v>
      </c>
    </row>
    <row r="87" spans="2:23" x14ac:dyDescent="0.25">
      <c r="B87" s="46">
        <f ca="1">VALUE((Table223421023456[[#This Row],[Column3]]-62))</f>
        <v>25</v>
      </c>
      <c r="C87" t="s">
        <v>93</v>
      </c>
      <c r="D87">
        <v>11.8400002</v>
      </c>
      <c r="E87"/>
      <c r="F87">
        <v>12.696</v>
      </c>
      <c r="G87" s="29">
        <f>Table223421023456[[#This Row],[Roger]]-Table223421023456[[#This Row],[REF]]</f>
        <v>0.85599979999999931</v>
      </c>
      <c r="H87" s="29">
        <f>Table223421023456[[#This Row],[X-Y]]-E$20</f>
        <v>0.30358477999999955</v>
      </c>
      <c r="I87" s="29">
        <f>Table223421023456[[#This Row],[Roger]]-E$20</f>
        <v>12.14358498</v>
      </c>
      <c r="J87" s="29">
        <f>Table223421023456[[#This Row],[Roger]]*E$21+E$22</f>
        <v>11.59525505990721</v>
      </c>
      <c r="K87" s="56">
        <f>Table223421023456[[#This Row],[Yest]]-Table223421023456[[#This Row],[REF]]</f>
        <v>-0.24474514009279069</v>
      </c>
      <c r="L87" s="56">
        <f>ABS(Table223421023456[[#This Row],[RESyx]])</f>
        <v>0.24474514009279069</v>
      </c>
      <c r="M87" s="29">
        <f>Table223421023456[[#This Row],[Roger]]*E$25+E$26</f>
        <v>11.826571557872102</v>
      </c>
      <c r="N87" s="29">
        <f>Table223421023456[[#This Row],[X-Y]]^2</f>
        <v>0.73273565760003878</v>
      </c>
      <c r="O87" s="57">
        <f>Table223421023456[[#This Row],[yest_rect]]-Table223421023456[[#This Row],[REF]]</f>
        <v>-1.3428642127898627E-2</v>
      </c>
      <c r="P87" s="57">
        <f>Table223421023456[[#This Row],[dif rec]]^2</f>
        <v>1.8032842939917377E-4</v>
      </c>
      <c r="Q87" s="57">
        <f>ABS(Table223421023456[[#This Row],[diff-bias]])</f>
        <v>0.30358477999999955</v>
      </c>
      <c r="R87" s="57">
        <f ca="1">CELL("row",Table223421023456[[#This Row],[Position]])</f>
        <v>87</v>
      </c>
      <c r="S87" s="4">
        <f>Table223421023456[[#This Row],[REF]]-D$13</f>
        <v>0.82999994999999949</v>
      </c>
      <c r="T87" s="4">
        <f>ABS(Table223421023456[[#This Row],[lab-med]])</f>
        <v>0.82999994999999949</v>
      </c>
      <c r="U87" s="4">
        <f>Table223421023456[[#This Row],[Roger]]-F$13</f>
        <v>0.91450000000000031</v>
      </c>
      <c r="V87" s="4">
        <f>ABS(Table223421023456[[#This Row],[anl-med]])</f>
        <v>0.91450000000000031</v>
      </c>
      <c r="W87" s="4">
        <f>Table223421023456[[#This Row],[lab-med]]*Table223421023456[[#This Row],[anl-med]]</f>
        <v>0.75903495427499978</v>
      </c>
    </row>
    <row r="88" spans="2:23" x14ac:dyDescent="0.25">
      <c r="B88" s="46">
        <f ca="1">VALUE((Table223421023456[[#This Row],[Column3]]-62))</f>
        <v>26</v>
      </c>
      <c r="C88" t="s">
        <v>94</v>
      </c>
      <c r="D88">
        <v>10</v>
      </c>
      <c r="E88"/>
      <c r="F88">
        <v>9.9222999999999999</v>
      </c>
      <c r="G88" s="29">
        <f>Table223421023456[[#This Row],[Roger]]-Table223421023456[[#This Row],[REF]]</f>
        <v>-7.7700000000000102E-2</v>
      </c>
      <c r="H88" s="29">
        <f>Table223421023456[[#This Row],[X-Y]]-E$20</f>
        <v>-0.63011501999999986</v>
      </c>
      <c r="I88" s="29">
        <f>Table223421023456[[#This Row],[Roger]]-E$20</f>
        <v>9.3698849800000001</v>
      </c>
      <c r="J88" s="29">
        <f>Table223421023456[[#This Row],[Roger]]*E$21+E$22</f>
        <v>10.292326514247399</v>
      </c>
      <c r="K88" s="56">
        <f>Table223421023456[[#This Row],[Yest]]-Table223421023456[[#This Row],[REF]]</f>
        <v>0.29232651424739942</v>
      </c>
      <c r="L88" s="56">
        <f>ABS(Table223421023456[[#This Row],[RESyx]])</f>
        <v>0.29232651424739942</v>
      </c>
      <c r="M88" s="29">
        <f>Table223421023456[[#This Row],[Roger]]*E$25+E$26</f>
        <v>9.9031886294437399</v>
      </c>
      <c r="N88" s="29">
        <f>Table223421023456[[#This Row],[X-Y]]^2</f>
        <v>6.0372900000000163E-3</v>
      </c>
      <c r="O88" s="57">
        <f>Table223421023456[[#This Row],[yest_rect]]-Table223421023456[[#This Row],[REF]]</f>
        <v>-9.6811370556260101E-2</v>
      </c>
      <c r="P88" s="57">
        <f>Table223421023456[[#This Row],[dif rec]]^2</f>
        <v>9.3724414689815051E-3</v>
      </c>
      <c r="Q88" s="57">
        <f>ABS(Table223421023456[[#This Row],[diff-bias]])</f>
        <v>0.63011501999999986</v>
      </c>
      <c r="R88" s="57">
        <f ca="1">CELL("row",Table223421023456[[#This Row],[Position]])</f>
        <v>88</v>
      </c>
      <c r="S88" s="4">
        <f>Table223421023456[[#This Row],[REF]]-D$13</f>
        <v>-1.0100002500000009</v>
      </c>
      <c r="T88" s="4">
        <f>ABS(Table223421023456[[#This Row],[lab-med]])</f>
        <v>1.0100002500000009</v>
      </c>
      <c r="U88" s="4">
        <f>Table223421023456[[#This Row],[Roger]]-F$13</f>
        <v>-1.8591999999999995</v>
      </c>
      <c r="V88" s="4">
        <f>ABS(Table223421023456[[#This Row],[anl-med]])</f>
        <v>1.8591999999999995</v>
      </c>
      <c r="W88" s="4">
        <f>Table223421023456[[#This Row],[lab-med]]*Table223421023456[[#This Row],[anl-med]]</f>
        <v>1.8777924648000013</v>
      </c>
    </row>
    <row r="89" spans="2:23" x14ac:dyDescent="0.25">
      <c r="B89" s="46">
        <f ca="1">VALUE((Table223421023456[[#This Row],[Column3]]-62))</f>
        <v>27</v>
      </c>
      <c r="C89" t="s">
        <v>95</v>
      </c>
      <c r="D89">
        <v>10.100000400000001</v>
      </c>
      <c r="E89"/>
      <c r="F89">
        <v>10.887</v>
      </c>
      <c r="G89" s="29">
        <f>Table223421023456[[#This Row],[Roger]]-Table223421023456[[#This Row],[REF]]</f>
        <v>0.78699959999999969</v>
      </c>
      <c r="H89" s="29">
        <f>Table223421023456[[#This Row],[X-Y]]-E$20</f>
        <v>0.23458457999999993</v>
      </c>
      <c r="I89" s="29">
        <f>Table223421023456[[#This Row],[Roger]]-E$20</f>
        <v>10.334584980000001</v>
      </c>
      <c r="J89" s="29">
        <f>Table223421023456[[#This Row],[Roger]]*E$21+E$22</f>
        <v>10.745488416399045</v>
      </c>
      <c r="K89" s="56">
        <f>Table223421023456[[#This Row],[Yest]]-Table223421023456[[#This Row],[REF]]</f>
        <v>0.64548801639904418</v>
      </c>
      <c r="L89" s="56">
        <f>ABS(Table223421023456[[#This Row],[RESyx]])</f>
        <v>0.64548801639904418</v>
      </c>
      <c r="M89" s="29">
        <f>Table223421023456[[#This Row],[Roger]]*E$25+E$26</f>
        <v>10.572146163082865</v>
      </c>
      <c r="N89" s="29">
        <f>Table223421023456[[#This Row],[X-Y]]^2</f>
        <v>0.61936837040015946</v>
      </c>
      <c r="O89" s="57">
        <f>Table223421023456[[#This Row],[yest_rect]]-Table223421023456[[#This Row],[REF]]</f>
        <v>0.47214576308286382</v>
      </c>
      <c r="P89" s="57">
        <f>Table223421023456[[#This Row],[dif rec]]^2</f>
        <v>0.22292162159709977</v>
      </c>
      <c r="Q89" s="57">
        <f>ABS(Table223421023456[[#This Row],[diff-bias]])</f>
        <v>0.23458457999999993</v>
      </c>
      <c r="R89" s="57">
        <f ca="1">CELL("row",Table223421023456[[#This Row],[Position]])</f>
        <v>89</v>
      </c>
      <c r="S89" s="4">
        <f>Table223421023456[[#This Row],[REF]]-D$13</f>
        <v>-0.90999985000000017</v>
      </c>
      <c r="T89" s="4">
        <f>ABS(Table223421023456[[#This Row],[lab-med]])</f>
        <v>0.90999985000000017</v>
      </c>
      <c r="U89" s="4">
        <f>Table223421023456[[#This Row],[Roger]]-F$13</f>
        <v>-0.89449999999999896</v>
      </c>
      <c r="V89" s="4">
        <f>ABS(Table223421023456[[#This Row],[anl-med]])</f>
        <v>0.89449999999999896</v>
      </c>
      <c r="W89" s="4">
        <f>Table223421023456[[#This Row],[lab-med]]*Table223421023456[[#This Row],[anl-med]]</f>
        <v>0.81399486582499925</v>
      </c>
    </row>
    <row r="90" spans="2:23" x14ac:dyDescent="0.25">
      <c r="B90" s="46">
        <f ca="1">VALUE((Table223421023456[[#This Row],[Column3]]-62))</f>
        <v>28</v>
      </c>
      <c r="C90" t="s">
        <v>96</v>
      </c>
      <c r="D90">
        <v>11.399999599999999</v>
      </c>
      <c r="E90"/>
      <c r="F90">
        <v>12.988</v>
      </c>
      <c r="G90" s="29">
        <f>Table223421023456[[#This Row],[Roger]]-Table223421023456[[#This Row],[REF]]</f>
        <v>1.5880004000000003</v>
      </c>
      <c r="H90" s="29">
        <f>Table223421023456[[#This Row],[X-Y]]-E$20</f>
        <v>1.0355853800000006</v>
      </c>
      <c r="I90" s="29">
        <f>Table223421023456[[#This Row],[Roger]]-E$20</f>
        <v>12.43558498</v>
      </c>
      <c r="J90" s="29">
        <f>Table223421023456[[#This Row],[Roger]]*E$21+E$22</f>
        <v>11.732420267151204</v>
      </c>
      <c r="K90" s="56">
        <f>Table223421023456[[#This Row],[Yest]]-Table223421023456[[#This Row],[REF]]</f>
        <v>0.33242066715120444</v>
      </c>
      <c r="L90" s="56">
        <f>ABS(Table223421023456[[#This Row],[RESyx]])</f>
        <v>0.33242066715120444</v>
      </c>
      <c r="M90" s="29">
        <f>Table223421023456[[#This Row],[Roger]]*E$25+E$26</f>
        <v>12.029054816732497</v>
      </c>
      <c r="N90" s="29">
        <f>Table223421023456[[#This Row],[X-Y]]^2</f>
        <v>2.5217452704001611</v>
      </c>
      <c r="O90" s="57">
        <f>Table223421023456[[#This Row],[yest_rect]]-Table223421023456[[#This Row],[REF]]</f>
        <v>0.62905521673249787</v>
      </c>
      <c r="P90" s="57">
        <f>Table223421023456[[#This Row],[dif rec]]^2</f>
        <v>0.39571046569836987</v>
      </c>
      <c r="Q90" s="57">
        <f>ABS(Table223421023456[[#This Row],[diff-bias]])</f>
        <v>1.0355853800000006</v>
      </c>
      <c r="R90" s="57">
        <f ca="1">CELL("row",Table223421023456[[#This Row],[Position]])</f>
        <v>90</v>
      </c>
      <c r="S90" s="4">
        <f>Table223421023456[[#This Row],[REF]]-D$13</f>
        <v>0.3899993499999983</v>
      </c>
      <c r="T90" s="4">
        <f>ABS(Table223421023456[[#This Row],[lab-med]])</f>
        <v>0.3899993499999983</v>
      </c>
      <c r="U90" s="4">
        <f>Table223421023456[[#This Row],[Roger]]-F$13</f>
        <v>1.2065000000000001</v>
      </c>
      <c r="V90" s="4">
        <f>ABS(Table223421023456[[#This Row],[anl-med]])</f>
        <v>1.2065000000000001</v>
      </c>
      <c r="W90" s="4">
        <f>Table223421023456[[#This Row],[lab-med]]*Table223421023456[[#This Row],[anl-med]]</f>
        <v>0.47053421577499799</v>
      </c>
    </row>
    <row r="91" spans="2:23" x14ac:dyDescent="0.25">
      <c r="B91" s="46">
        <f ca="1">VALUE((Table223421023456[[#This Row],[Column3]]-62))</f>
        <v>29</v>
      </c>
      <c r="C91" t="s">
        <v>97</v>
      </c>
      <c r="D91">
        <v>10.279999699999999</v>
      </c>
      <c r="E91"/>
      <c r="F91">
        <v>10.747</v>
      </c>
      <c r="G91" s="29">
        <f>Table223421023456[[#This Row],[Roger]]-Table223421023456[[#This Row],[REF]]</f>
        <v>0.46700030000000048</v>
      </c>
      <c r="H91" s="29">
        <f>Table223421023456[[#This Row],[X-Y]]-E$20</f>
        <v>-8.5414719999999278E-2</v>
      </c>
      <c r="I91" s="29">
        <f>Table223421023456[[#This Row],[Roger]]-E$20</f>
        <v>10.19458498</v>
      </c>
      <c r="J91" s="29">
        <f>Table223421023456[[#This Row],[Roger]]*E$21+E$22</f>
        <v>10.679724275939597</v>
      </c>
      <c r="K91" s="56">
        <f>Table223421023456[[#This Row],[Yest]]-Table223421023456[[#This Row],[REF]]</f>
        <v>0.39972457593959732</v>
      </c>
      <c r="L91" s="56">
        <f>ABS(Table223421023456[[#This Row],[RESyx]])</f>
        <v>0.39972457593959732</v>
      </c>
      <c r="M91" s="29">
        <f>Table223421023456[[#This Row],[Roger]]*E$25+E$26</f>
        <v>10.475065148560756</v>
      </c>
      <c r="N91" s="29">
        <f>Table223421023456[[#This Row],[X-Y]]^2</f>
        <v>0.21808928020009044</v>
      </c>
      <c r="O91" s="57">
        <f>Table223421023456[[#This Row],[yest_rect]]-Table223421023456[[#This Row],[REF]]</f>
        <v>0.19506544856075614</v>
      </c>
      <c r="P91" s="57">
        <f>Table223421023456[[#This Row],[dif rec]]^2</f>
        <v>3.8050529222209001E-2</v>
      </c>
      <c r="Q91" s="57">
        <f>ABS(Table223421023456[[#This Row],[diff-bias]])</f>
        <v>8.5414719999999278E-2</v>
      </c>
      <c r="R91" s="57">
        <f ca="1">CELL("row",Table223421023456[[#This Row],[Position]])</f>
        <v>91</v>
      </c>
      <c r="S91" s="4">
        <f>Table223421023456[[#This Row],[REF]]-D$13</f>
        <v>-0.73000055000000152</v>
      </c>
      <c r="T91" s="4">
        <f>ABS(Table223421023456[[#This Row],[lab-med]])</f>
        <v>0.73000055000000152</v>
      </c>
      <c r="U91" s="4">
        <f>Table223421023456[[#This Row],[Roger]]-F$13</f>
        <v>-1.0344999999999995</v>
      </c>
      <c r="V91" s="4">
        <f>ABS(Table223421023456[[#This Row],[anl-med]])</f>
        <v>1.0344999999999995</v>
      </c>
      <c r="W91" s="4">
        <f>Table223421023456[[#This Row],[lab-med]]*Table223421023456[[#This Row],[anl-med]]</f>
        <v>0.75518556897500122</v>
      </c>
    </row>
    <row r="92" spans="2:23" x14ac:dyDescent="0.25">
      <c r="B92" s="46">
        <f ca="1">VALUE((Table223421023456[[#This Row],[Column3]]-62))</f>
        <v>30</v>
      </c>
      <c r="C92" t="s">
        <v>98</v>
      </c>
      <c r="D92">
        <v>12.21</v>
      </c>
      <c r="E92"/>
      <c r="F92">
        <v>14.032</v>
      </c>
      <c r="G92" s="29">
        <f>Table223421023456[[#This Row],[Roger]]-Table223421023456[[#This Row],[REF]]</f>
        <v>1.8219999999999992</v>
      </c>
      <c r="H92" s="29">
        <f>Table223421023456[[#This Row],[X-Y]]-E$20</f>
        <v>1.2695849799999994</v>
      </c>
      <c r="I92" s="29">
        <f>Table223421023456[[#This Row],[Roger]]-E$20</f>
        <v>13.47958498</v>
      </c>
      <c r="J92" s="29">
        <f>Table223421023456[[#This Row],[Roger]]*E$21+E$22</f>
        <v>12.222832857434522</v>
      </c>
      <c r="K92" s="56">
        <f>Table223421023456[[#This Row],[Yest]]-Table223421023456[[#This Row],[REF]]</f>
        <v>1.2832857434521117E-2</v>
      </c>
      <c r="L92" s="56">
        <f>ABS(Table223421023456[[#This Row],[RESyx]])</f>
        <v>1.2832857434521117E-2</v>
      </c>
      <c r="M92" s="29">
        <f>Table223421023456[[#This Row],[Roger]]*E$25+E$26</f>
        <v>12.753001810740217</v>
      </c>
      <c r="N92" s="29">
        <f>Table223421023456[[#This Row],[X-Y]]^2</f>
        <v>3.319683999999997</v>
      </c>
      <c r="O92" s="57">
        <f>Table223421023456[[#This Row],[yest_rect]]-Table223421023456[[#This Row],[REF]]</f>
        <v>0.54300181074021658</v>
      </c>
      <c r="P92" s="57">
        <f>Table223421023456[[#This Row],[dif rec]]^2</f>
        <v>0.29485096646715397</v>
      </c>
      <c r="Q92" s="57">
        <f>ABS(Table223421023456[[#This Row],[diff-bias]])</f>
        <v>1.2695849799999994</v>
      </c>
      <c r="R92" s="57">
        <f ca="1">CELL("row",Table223421023456[[#This Row],[Position]])</f>
        <v>92</v>
      </c>
      <c r="S92" s="4">
        <f>Table223421023456[[#This Row],[REF]]-D$13</f>
        <v>1.1999997499999999</v>
      </c>
      <c r="T92" s="4">
        <f>ABS(Table223421023456[[#This Row],[lab-med]])</f>
        <v>1.1999997499999999</v>
      </c>
      <c r="U92" s="4">
        <f>Table223421023456[[#This Row],[Roger]]-F$13</f>
        <v>2.2505000000000006</v>
      </c>
      <c r="V92" s="4">
        <f>ABS(Table223421023456[[#This Row],[anl-med]])</f>
        <v>2.2505000000000006</v>
      </c>
      <c r="W92" s="4">
        <f>Table223421023456[[#This Row],[lab-med]]*Table223421023456[[#This Row],[anl-med]]</f>
        <v>2.7005994373750006</v>
      </c>
    </row>
    <row r="93" spans="2:23" x14ac:dyDescent="0.25">
      <c r="B93" s="46">
        <f ca="1">VALUE((Table223421023456[[#This Row],[Column3]]-62))</f>
        <v>31</v>
      </c>
      <c r="C93" t="s">
        <v>99</v>
      </c>
      <c r="D93">
        <v>11.9399996</v>
      </c>
      <c r="E93"/>
      <c r="F93">
        <v>12.71</v>
      </c>
      <c r="G93" s="29">
        <f>Table223421023456[[#This Row],[Roger]]-Table223421023456[[#This Row],[REF]]</f>
        <v>0.7700004000000007</v>
      </c>
      <c r="H93" s="29">
        <f>Table223421023456[[#This Row],[X-Y]]-E$20</f>
        <v>0.21758538000000094</v>
      </c>
      <c r="I93" s="29">
        <f>Table223421023456[[#This Row],[Roger]]-E$20</f>
        <v>12.157584980000001</v>
      </c>
      <c r="J93" s="29">
        <f>Table223421023456[[#This Row],[Roger]]*E$21+E$22</f>
        <v>11.601831473953155</v>
      </c>
      <c r="K93" s="56">
        <f>Table223421023456[[#This Row],[Yest]]-Table223421023456[[#This Row],[REF]]</f>
        <v>-0.33816812604684543</v>
      </c>
      <c r="L93" s="56">
        <f>ABS(Table223421023456[[#This Row],[RESyx]])</f>
        <v>0.33816812604684543</v>
      </c>
      <c r="M93" s="29">
        <f>Table223421023456[[#This Row],[Roger]]*E$25+E$26</f>
        <v>11.836279659324314</v>
      </c>
      <c r="N93" s="29">
        <f>Table223421023456[[#This Row],[X-Y]]^2</f>
        <v>0.59290061600016108</v>
      </c>
      <c r="O93" s="57">
        <f>Table223421023456[[#This Row],[yest_rect]]-Table223421023456[[#This Row],[REF]]</f>
        <v>-0.10371994067568657</v>
      </c>
      <c r="P93" s="57">
        <f>Table223421023456[[#This Row],[dif rec]]^2</f>
        <v>1.0757826093767941E-2</v>
      </c>
      <c r="Q93" s="57">
        <f>ABS(Table223421023456[[#This Row],[diff-bias]])</f>
        <v>0.21758538000000094</v>
      </c>
      <c r="R93" s="57">
        <f ca="1">CELL("row",Table223421023456[[#This Row],[Position]])</f>
        <v>93</v>
      </c>
      <c r="S93" s="4">
        <f>Table223421023456[[#This Row],[REF]]-D$13</f>
        <v>0.92999934999999923</v>
      </c>
      <c r="T93" s="4">
        <f>ABS(Table223421023456[[#This Row],[lab-med]])</f>
        <v>0.92999934999999923</v>
      </c>
      <c r="U93" s="4">
        <f>Table223421023456[[#This Row],[Roger]]-F$13</f>
        <v>0.92850000000000144</v>
      </c>
      <c r="V93" s="4">
        <f>ABS(Table223421023456[[#This Row],[anl-med]])</f>
        <v>0.92850000000000144</v>
      </c>
      <c r="W93" s="4">
        <f>Table223421023456[[#This Row],[lab-med]]*Table223421023456[[#This Row],[anl-med]]</f>
        <v>0.86350439647500066</v>
      </c>
    </row>
    <row r="94" spans="2:23" x14ac:dyDescent="0.25">
      <c r="B94" s="46">
        <f ca="1">VALUE((Table223421023456[[#This Row],[Column3]]-62))</f>
        <v>32</v>
      </c>
      <c r="C94" t="s">
        <v>100</v>
      </c>
      <c r="D94">
        <v>10.3699999</v>
      </c>
      <c r="E94"/>
      <c r="F94">
        <v>11.499000000000001</v>
      </c>
      <c r="G94" s="29">
        <f>Table223421023456[[#This Row],[Roger]]-Table223421023456[[#This Row],[REF]]</f>
        <v>1.1290001000000007</v>
      </c>
      <c r="H94" s="29">
        <f>Table223421023456[[#This Row],[X-Y]]-E$20</f>
        <v>0.57658508000000097</v>
      </c>
      <c r="I94" s="29">
        <f>Table223421023456[[#This Row],[Roger]]-E$20</f>
        <v>10.946584980000001</v>
      </c>
      <c r="J94" s="29">
        <f>Table223421023456[[#This Row],[Roger]]*E$21+E$22</f>
        <v>11.032971658978923</v>
      </c>
      <c r="K94" s="56">
        <f>Table223421023456[[#This Row],[Yest]]-Table223421023456[[#This Row],[REF]]</f>
        <v>0.66297175897892302</v>
      </c>
      <c r="L94" s="56">
        <f>ABS(Table223421023456[[#This Row],[RESyx]])</f>
        <v>0.66297175897892302</v>
      </c>
      <c r="M94" s="29">
        <f>Table223421023456[[#This Row],[Roger]]*E$25+E$26</f>
        <v>10.996528883708079</v>
      </c>
      <c r="N94" s="29">
        <f>Table223421023456[[#This Row],[X-Y]]^2</f>
        <v>1.2746412258000117</v>
      </c>
      <c r="O94" s="57">
        <f>Table223421023456[[#This Row],[yest_rect]]-Table223421023456[[#This Row],[REF]]</f>
        <v>0.62652898370807897</v>
      </c>
      <c r="P94" s="57">
        <f>Table223421023456[[#This Row],[dif rec]]^2</f>
        <v>0.3925385674262783</v>
      </c>
      <c r="Q94" s="57">
        <f>ABS(Table223421023456[[#This Row],[diff-bias]])</f>
        <v>0.57658508000000097</v>
      </c>
      <c r="R94" s="57">
        <f ca="1">CELL("row",Table223421023456[[#This Row],[Position]])</f>
        <v>94</v>
      </c>
      <c r="S94" s="4">
        <f>Table223421023456[[#This Row],[REF]]-D$13</f>
        <v>-0.64000035000000111</v>
      </c>
      <c r="T94" s="4">
        <f>ABS(Table223421023456[[#This Row],[lab-med]])</f>
        <v>0.64000035000000111</v>
      </c>
      <c r="U94" s="4">
        <f>Table223421023456[[#This Row],[Roger]]-F$13</f>
        <v>-0.28249999999999886</v>
      </c>
      <c r="V94" s="4">
        <f>ABS(Table223421023456[[#This Row],[anl-med]])</f>
        <v>0.28249999999999886</v>
      </c>
      <c r="W94" s="4">
        <f>Table223421023456[[#This Row],[lab-med]]*Table223421023456[[#This Row],[anl-med]]</f>
        <v>0.18080009887499959</v>
      </c>
    </row>
    <row r="95" spans="2:23" x14ac:dyDescent="0.25">
      <c r="B95" s="46">
        <f ca="1">VALUE((Table223421023456[[#This Row],[Column3]]-62))</f>
        <v>33</v>
      </c>
      <c r="C95" t="s">
        <v>101</v>
      </c>
      <c r="D95">
        <v>10.3800001</v>
      </c>
      <c r="E95"/>
      <c r="F95">
        <v>10.433</v>
      </c>
      <c r="G95" s="29">
        <f>Table223421023456[[#This Row],[Roger]]-Table223421023456[[#This Row],[REF]]</f>
        <v>5.2999899999999656E-2</v>
      </c>
      <c r="H95" s="29">
        <f>Table223421023456[[#This Row],[X-Y]]-E$20</f>
        <v>-0.4994151200000001</v>
      </c>
      <c r="I95" s="29">
        <f>Table223421023456[[#This Row],[Roger]]-E$20</f>
        <v>9.8805849800000001</v>
      </c>
      <c r="J95" s="29">
        <f>Table223421023456[[#This Row],[Roger]]*E$21+E$22</f>
        <v>10.532224703766261</v>
      </c>
      <c r="K95" s="56">
        <f>Table223421023456[[#This Row],[Yest]]-Table223421023456[[#This Row],[REF]]</f>
        <v>0.15222460376626046</v>
      </c>
      <c r="L95" s="56">
        <f>ABS(Table223421023456[[#This Row],[RESyx]])</f>
        <v>0.15222460376626046</v>
      </c>
      <c r="M95" s="29">
        <f>Table223421023456[[#This Row],[Roger]]*E$25+E$26</f>
        <v>10.257326301704028</v>
      </c>
      <c r="N95" s="29">
        <f>Table223421023456[[#This Row],[X-Y]]^2</f>
        <v>2.8089894000099635E-3</v>
      </c>
      <c r="O95" s="57">
        <f>Table223421023456[[#This Row],[yest_rect]]-Table223421023456[[#This Row],[REF]]</f>
        <v>-0.12267379829597225</v>
      </c>
      <c r="P95" s="57">
        <f>Table223421023456[[#This Row],[dif rec]]^2</f>
        <v>1.5048860788360884E-2</v>
      </c>
      <c r="Q95" s="57">
        <f>ABS(Table223421023456[[#This Row],[diff-bias]])</f>
        <v>0.4994151200000001</v>
      </c>
      <c r="R95" s="57">
        <f ca="1">CELL("row",Table223421023456[[#This Row],[Position]])</f>
        <v>95</v>
      </c>
      <c r="S95" s="4">
        <f>Table223421023456[[#This Row],[REF]]-D$13</f>
        <v>-0.63000015000000076</v>
      </c>
      <c r="T95" s="4">
        <f>ABS(Table223421023456[[#This Row],[lab-med]])</f>
        <v>0.63000015000000076</v>
      </c>
      <c r="U95" s="4">
        <f>Table223421023456[[#This Row],[Roger]]-F$13</f>
        <v>-1.3484999999999996</v>
      </c>
      <c r="V95" s="4">
        <f>ABS(Table223421023456[[#This Row],[anl-med]])</f>
        <v>1.3484999999999996</v>
      </c>
      <c r="W95" s="4">
        <f>Table223421023456[[#This Row],[lab-med]]*Table223421023456[[#This Row],[anl-med]]</f>
        <v>0.84955520227500081</v>
      </c>
    </row>
    <row r="96" spans="2:23" x14ac:dyDescent="0.25">
      <c r="B96" s="46">
        <f ca="1">VALUE((Table223421023456[[#This Row],[Column3]]-62))</f>
        <v>34</v>
      </c>
      <c r="C96" t="s">
        <v>102</v>
      </c>
      <c r="D96">
        <v>9.8800001000000002</v>
      </c>
      <c r="E96"/>
      <c r="F96">
        <v>11.843</v>
      </c>
      <c r="G96" s="29">
        <f>Table223421023456[[#This Row],[Roger]]-Table223421023456[[#This Row],[REF]]</f>
        <v>1.9629998999999998</v>
      </c>
      <c r="H96" s="29">
        <f>Table223421023456[[#This Row],[X-Y]]-E$20</f>
        <v>1.41058488</v>
      </c>
      <c r="I96" s="29">
        <f>Table223421023456[[#This Row],[Roger]]-E$20</f>
        <v>11.29058498</v>
      </c>
      <c r="J96" s="29">
        <f>Table223421023456[[#This Row],[Roger]]*E$21+E$22</f>
        <v>11.194563546964996</v>
      </c>
      <c r="K96" s="56">
        <f>Table223421023456[[#This Row],[Yest]]-Table223421023456[[#This Row],[REF]]</f>
        <v>1.3145634469649963</v>
      </c>
      <c r="L96" s="56">
        <f>ABS(Table223421023456[[#This Row],[RESyx]])</f>
        <v>1.3145634469649963</v>
      </c>
      <c r="M96" s="29">
        <f>Table223421023456[[#This Row],[Roger]]*E$25+E$26</f>
        <v>11.235070805105257</v>
      </c>
      <c r="N96" s="29">
        <f>Table223421023456[[#This Row],[X-Y]]^2</f>
        <v>3.8533686074000091</v>
      </c>
      <c r="O96" s="57">
        <f>Table223421023456[[#This Row],[yest_rect]]-Table223421023456[[#This Row],[REF]]</f>
        <v>1.3550707051052573</v>
      </c>
      <c r="P96" s="57">
        <f>Table223421023456[[#This Row],[dif rec]]^2</f>
        <v>1.8362166158344591</v>
      </c>
      <c r="Q96" s="57">
        <f>ABS(Table223421023456[[#This Row],[diff-bias]])</f>
        <v>1.41058488</v>
      </c>
      <c r="R96" s="57">
        <f ca="1">CELL("row",Table223421023456[[#This Row],[Position]])</f>
        <v>96</v>
      </c>
      <c r="S96" s="4">
        <f>Table223421023456[[#This Row],[REF]]-D$13</f>
        <v>-1.1300001500000008</v>
      </c>
      <c r="T96" s="4">
        <f>ABS(Table223421023456[[#This Row],[lab-med]])</f>
        <v>1.1300001500000008</v>
      </c>
      <c r="U96" s="4">
        <f>Table223421023456[[#This Row],[Roger]]-F$13</f>
        <v>6.1500000000000554E-2</v>
      </c>
      <c r="V96" s="4">
        <f>ABS(Table223421023456[[#This Row],[anl-med]])</f>
        <v>6.1500000000000554E-2</v>
      </c>
      <c r="W96" s="4">
        <f>Table223421023456[[#This Row],[lab-med]]*Table223421023456[[#This Row],[anl-med]]</f>
        <v>-6.9495009225000667E-2</v>
      </c>
    </row>
    <row r="97" spans="2:23" x14ac:dyDescent="0.25">
      <c r="B97" s="46">
        <f ca="1">VALUE((Table223421023456[[#This Row],[Column3]]-62))</f>
        <v>35</v>
      </c>
      <c r="C97" t="s">
        <v>103</v>
      </c>
      <c r="D97">
        <v>12.079999900000001</v>
      </c>
      <c r="E97"/>
      <c r="F97">
        <v>11.361000000000001</v>
      </c>
      <c r="G97" s="29">
        <f>Table223421023456[[#This Row],[Roger]]-Table223421023456[[#This Row],[REF]]</f>
        <v>-0.71899990000000003</v>
      </c>
      <c r="H97" s="29">
        <f>Table223421023456[[#This Row],[X-Y]]-E$20</f>
        <v>-1.2714149199999998</v>
      </c>
      <c r="I97" s="29">
        <f>Table223421023456[[#This Row],[Roger]]-E$20</f>
        <v>10.808584980000001</v>
      </c>
      <c r="J97" s="29">
        <f>Table223421023456[[#This Row],[Roger]]*E$21+E$22</f>
        <v>10.968147006240322</v>
      </c>
      <c r="K97" s="56">
        <f>Table223421023456[[#This Row],[Yest]]-Table223421023456[[#This Row],[REF]]</f>
        <v>-1.1118528937596786</v>
      </c>
      <c r="L97" s="56">
        <f>ABS(Table223421023456[[#This Row],[RESyx]])</f>
        <v>1.1118528937596786</v>
      </c>
      <c r="M97" s="29">
        <f>Table223421023456[[#This Row],[Roger]]*E$25+E$26</f>
        <v>10.900834740822003</v>
      </c>
      <c r="N97" s="29">
        <f>Table223421023456[[#This Row],[X-Y]]^2</f>
        <v>0.51696085620001009</v>
      </c>
      <c r="O97" s="57">
        <f>Table223421023456[[#This Row],[yest_rect]]-Table223421023456[[#This Row],[REF]]</f>
        <v>-1.1791651591779981</v>
      </c>
      <c r="P97" s="57">
        <f>Table223421023456[[#This Row],[dif rec]]^2</f>
        <v>1.3904304726192738</v>
      </c>
      <c r="Q97" s="57">
        <f>ABS(Table223421023456[[#This Row],[diff-bias]])</f>
        <v>1.2714149199999998</v>
      </c>
      <c r="R97" s="57">
        <f ca="1">CELL("row",Table223421023456[[#This Row],[Position]])</f>
        <v>97</v>
      </c>
      <c r="S97" s="4">
        <f>Table223421023456[[#This Row],[REF]]-D$13</f>
        <v>1.0699996499999997</v>
      </c>
      <c r="T97" s="4">
        <f>ABS(Table223421023456[[#This Row],[lab-med]])</f>
        <v>1.0699996499999997</v>
      </c>
      <c r="U97" s="4">
        <f>Table223421023456[[#This Row],[Roger]]-F$13</f>
        <v>-0.42049999999999876</v>
      </c>
      <c r="V97" s="4">
        <f>ABS(Table223421023456[[#This Row],[anl-med]])</f>
        <v>0.42049999999999876</v>
      </c>
      <c r="W97" s="4">
        <f>Table223421023456[[#This Row],[lab-med]]*Table223421023456[[#This Row],[anl-med]]</f>
        <v>-0.44993485282499857</v>
      </c>
    </row>
    <row r="98" spans="2:23" x14ac:dyDescent="0.25">
      <c r="B98" s="46">
        <f ca="1">VALUE((Table223421023456[[#This Row],[Column3]]-62))</f>
        <v>36</v>
      </c>
      <c r="C98" t="s">
        <v>104</v>
      </c>
      <c r="D98">
        <v>9.0799999000000007</v>
      </c>
      <c r="E98"/>
      <c r="F98">
        <v>6.8712999999999997</v>
      </c>
      <c r="G98" s="29">
        <f>Table223421023456[[#This Row],[Roger]]-Table223421023456[[#This Row],[REF]]</f>
        <v>-2.2086999000000009</v>
      </c>
      <c r="H98" s="29">
        <f>Table223421023456[[#This Row],[X-Y]]-E$20</f>
        <v>-2.7611149200000007</v>
      </c>
      <c r="I98" s="29">
        <f>Table223421023456[[#This Row],[Roger]]-E$20</f>
        <v>6.31888498</v>
      </c>
      <c r="J98" s="29">
        <f>Table223421023456[[#This Row],[Roger]]*E$21+E$22</f>
        <v>8.8591379960918388</v>
      </c>
      <c r="K98" s="56">
        <f>Table223421023456[[#This Row],[Yest]]-Table223421023456[[#This Row],[REF]]</f>
        <v>-0.22086190390816185</v>
      </c>
      <c r="L98" s="56">
        <f>ABS(Table223421023456[[#This Row],[RESyx]])</f>
        <v>0.22086190390816185</v>
      </c>
      <c r="M98" s="29">
        <f>Table223421023456[[#This Row],[Roger]]*E$25+E$26</f>
        <v>7.7875159486798013</v>
      </c>
      <c r="N98" s="29">
        <f>Table223421023456[[#This Row],[X-Y]]^2</f>
        <v>4.8783552482600143</v>
      </c>
      <c r="O98" s="57">
        <f>Table223421023456[[#This Row],[yest_rect]]-Table223421023456[[#This Row],[REF]]</f>
        <v>-1.2924839513201993</v>
      </c>
      <c r="P98" s="57">
        <f>Table223421023456[[#This Row],[dif rec]]^2</f>
        <v>1.6705147644202754</v>
      </c>
      <c r="Q98" s="57">
        <f>ABS(Table223421023456[[#This Row],[diff-bias]])</f>
        <v>2.7611149200000007</v>
      </c>
      <c r="R98" s="57">
        <f ca="1">CELL("row",Table223421023456[[#This Row],[Position]])</f>
        <v>98</v>
      </c>
      <c r="S98" s="4">
        <f>Table223421023456[[#This Row],[REF]]-D$13</f>
        <v>-1.9300003500000003</v>
      </c>
      <c r="T98" s="4">
        <f>ABS(Table223421023456[[#This Row],[lab-med]])</f>
        <v>1.9300003500000003</v>
      </c>
      <c r="U98" s="4">
        <f>Table223421023456[[#This Row],[Roger]]-F$13</f>
        <v>-4.9101999999999997</v>
      </c>
      <c r="V98" s="4">
        <f>ABS(Table223421023456[[#This Row],[anl-med]])</f>
        <v>4.9101999999999997</v>
      </c>
      <c r="W98" s="4">
        <f>Table223421023456[[#This Row],[lab-med]]*Table223421023456[[#This Row],[anl-med]]</f>
        <v>9.47668771857</v>
      </c>
    </row>
    <row r="99" spans="2:23" x14ac:dyDescent="0.25">
      <c r="B99" s="46">
        <f ca="1">VALUE((Table223421023456[[#This Row],[Column3]]-62))</f>
        <v>37</v>
      </c>
      <c r="C99" t="s">
        <v>105</v>
      </c>
      <c r="D99">
        <v>10.800000199999999</v>
      </c>
      <c r="E99"/>
      <c r="F99">
        <v>9.5594999999999999</v>
      </c>
      <c r="G99" s="29">
        <f>Table223421023456[[#This Row],[Roger]]-Table223421023456[[#This Row],[REF]]</f>
        <v>-1.2405001999999996</v>
      </c>
      <c r="H99" s="29">
        <f>Table223421023456[[#This Row],[X-Y]]-E$20</f>
        <v>-1.7929152199999994</v>
      </c>
      <c r="I99" s="29">
        <f>Table223421023456[[#This Row],[Roger]]-E$20</f>
        <v>9.0070849800000001</v>
      </c>
      <c r="J99" s="29">
        <f>Table223421023456[[#This Row],[Roger]]*E$21+E$22</f>
        <v>10.121903441685342</v>
      </c>
      <c r="K99" s="56">
        <f>Table223421023456[[#This Row],[Yest]]-Table223421023456[[#This Row],[REF]]</f>
        <v>-0.67809675831465732</v>
      </c>
      <c r="L99" s="56">
        <f>ABS(Table223421023456[[#This Row],[RESyx]])</f>
        <v>0.67809675831465732</v>
      </c>
      <c r="M99" s="29">
        <f>Table223421023456[[#This Row],[Roger]]*E$25+E$26</f>
        <v>9.6516101146678768</v>
      </c>
      <c r="N99" s="29">
        <f>Table223421023456[[#This Row],[X-Y]]^2</f>
        <v>1.5388407462000391</v>
      </c>
      <c r="O99" s="57">
        <f>Table223421023456[[#This Row],[yest_rect]]-Table223421023456[[#This Row],[REF]]</f>
        <v>-1.1483900853321227</v>
      </c>
      <c r="P99" s="57">
        <f>Table223421023456[[#This Row],[dif rec]]^2</f>
        <v>1.31879978808912</v>
      </c>
      <c r="Q99" s="57">
        <f>ABS(Table223421023456[[#This Row],[diff-bias]])</f>
        <v>1.7929152199999994</v>
      </c>
      <c r="R99" s="57">
        <f ca="1">CELL("row",Table223421023456[[#This Row],[Position]])</f>
        <v>99</v>
      </c>
      <c r="S99" s="4">
        <f>Table223421023456[[#This Row],[REF]]-D$13</f>
        <v>-0.21000005000000144</v>
      </c>
      <c r="T99" s="4">
        <f>ABS(Table223421023456[[#This Row],[lab-med]])</f>
        <v>0.21000005000000144</v>
      </c>
      <c r="U99" s="4">
        <f>Table223421023456[[#This Row],[Roger]]-F$13</f>
        <v>-2.2219999999999995</v>
      </c>
      <c r="V99" s="4">
        <f>ABS(Table223421023456[[#This Row],[anl-med]])</f>
        <v>2.2219999999999995</v>
      </c>
      <c r="W99" s="4">
        <f>Table223421023456[[#This Row],[lab-med]]*Table223421023456[[#This Row],[anl-med]]</f>
        <v>0.46662011110000312</v>
      </c>
    </row>
    <row r="100" spans="2:23" x14ac:dyDescent="0.25">
      <c r="B100" s="46">
        <f ca="1">VALUE((Table223421023456[[#This Row],[Column3]]-62))</f>
        <v>38</v>
      </c>
      <c r="C100" t="s">
        <v>106</v>
      </c>
      <c r="D100">
        <v>9.3599996999999995</v>
      </c>
      <c r="E100"/>
      <c r="F100">
        <v>10.603999999999999</v>
      </c>
      <c r="G100" s="29">
        <f>Table223421023456[[#This Row],[Roger]]-Table223421023456[[#This Row],[REF]]</f>
        <v>1.2440002999999997</v>
      </c>
      <c r="H100" s="29">
        <f>Table223421023456[[#This Row],[X-Y]]-E$20</f>
        <v>0.69158527999999997</v>
      </c>
      <c r="I100" s="29">
        <f>Table223421023456[[#This Row],[Roger]]-E$20</f>
        <v>10.051584979999999</v>
      </c>
      <c r="J100" s="29">
        <f>Table223421023456[[#This Row],[Roger]]*E$21+E$22</f>
        <v>10.612550903898875</v>
      </c>
      <c r="K100" s="56">
        <f>Table223421023456[[#This Row],[Yest]]-Table223421023456[[#This Row],[REF]]</f>
        <v>1.2525512038988751</v>
      </c>
      <c r="L100" s="56">
        <f>ABS(Table223421023456[[#This Row],[RESyx]])</f>
        <v>1.2525512038988751</v>
      </c>
      <c r="M100" s="29">
        <f>Table223421023456[[#This Row],[Roger]]*E$25+E$26</f>
        <v>10.375903826584603</v>
      </c>
      <c r="N100" s="29">
        <f>Table223421023456[[#This Row],[X-Y]]^2</f>
        <v>1.5475367464000893</v>
      </c>
      <c r="O100" s="57">
        <f>Table223421023456[[#This Row],[yest_rect]]-Table223421023456[[#This Row],[REF]]</f>
        <v>1.0159041265846032</v>
      </c>
      <c r="P100" s="57">
        <f>Table223421023456[[#This Row],[dif rec]]^2</f>
        <v>1.0320611944116254</v>
      </c>
      <c r="Q100" s="57">
        <f>ABS(Table223421023456[[#This Row],[diff-bias]])</f>
        <v>0.69158527999999997</v>
      </c>
      <c r="R100" s="57">
        <f ca="1">CELL("row",Table223421023456[[#This Row],[Position]])</f>
        <v>100</v>
      </c>
      <c r="S100" s="4">
        <f>Table223421023456[[#This Row],[REF]]-D$13</f>
        <v>-1.6500005500000015</v>
      </c>
      <c r="T100" s="4">
        <f>ABS(Table223421023456[[#This Row],[lab-med]])</f>
        <v>1.6500005500000015</v>
      </c>
      <c r="U100" s="4">
        <f>Table223421023456[[#This Row],[Roger]]-F$13</f>
        <v>-1.1775000000000002</v>
      </c>
      <c r="V100" s="4">
        <f>ABS(Table223421023456[[#This Row],[anl-med]])</f>
        <v>1.1775000000000002</v>
      </c>
      <c r="W100" s="4">
        <f>Table223421023456[[#This Row],[lab-med]]*Table223421023456[[#This Row],[anl-med]]</f>
        <v>1.942875647625002</v>
      </c>
    </row>
    <row r="101" spans="2:23" x14ac:dyDescent="0.25">
      <c r="B101" s="46">
        <f ca="1">VALUE((Table223421023456[[#This Row],[Column3]]-62))</f>
        <v>39</v>
      </c>
      <c r="C101" t="s">
        <v>107</v>
      </c>
      <c r="D101">
        <v>12.449999800000001</v>
      </c>
      <c r="E101"/>
      <c r="F101">
        <v>12.199</v>
      </c>
      <c r="G101" s="29">
        <f>Table223421023456[[#This Row],[Roger]]-Table223421023456[[#This Row],[REF]]</f>
        <v>-0.25099980000000066</v>
      </c>
      <c r="H101" s="29">
        <f>Table223421023456[[#This Row],[X-Y]]-E$20</f>
        <v>-0.80341482000000042</v>
      </c>
      <c r="I101" s="29">
        <f>Table223421023456[[#This Row],[Roger]]-E$20</f>
        <v>11.64658498</v>
      </c>
      <c r="J101" s="29">
        <f>Table223421023456[[#This Row],[Roger]]*E$21+E$22</f>
        <v>11.361792361276166</v>
      </c>
      <c r="K101" s="56">
        <f>Table223421023456[[#This Row],[Yest]]-Table223421023456[[#This Row],[REF]]</f>
        <v>-1.0882074387238347</v>
      </c>
      <c r="L101" s="56">
        <f>ABS(Table223421023456[[#This Row],[RESyx]])</f>
        <v>1.0882074387238347</v>
      </c>
      <c r="M101" s="29">
        <f>Table223421023456[[#This Row],[Roger]]*E$25+E$26</f>
        <v>11.481933956318619</v>
      </c>
      <c r="N101" s="29">
        <f>Table223421023456[[#This Row],[X-Y]]^2</f>
        <v>6.3000899600040336E-2</v>
      </c>
      <c r="O101" s="57">
        <f>Table223421023456[[#This Row],[yest_rect]]-Table223421023456[[#This Row],[REF]]</f>
        <v>-0.96806584368138182</v>
      </c>
      <c r="P101" s="57">
        <f>Table223421023456[[#This Row],[dif rec]]^2</f>
        <v>0.93715147770254559</v>
      </c>
      <c r="Q101" s="57">
        <f>ABS(Table223421023456[[#This Row],[diff-bias]])</f>
        <v>0.80341482000000042</v>
      </c>
      <c r="R101" s="57">
        <f ca="1">CELL("row",Table223421023456[[#This Row],[Position]])</f>
        <v>101</v>
      </c>
      <c r="S101" s="4">
        <f>Table223421023456[[#This Row],[REF]]-D$13</f>
        <v>1.4399995499999996</v>
      </c>
      <c r="T101" s="4">
        <f>ABS(Table223421023456[[#This Row],[lab-med]])</f>
        <v>1.4399995499999996</v>
      </c>
      <c r="U101" s="4">
        <f>Table223421023456[[#This Row],[Roger]]-F$13</f>
        <v>0.41750000000000043</v>
      </c>
      <c r="V101" s="4">
        <f>ABS(Table223421023456[[#This Row],[anl-med]])</f>
        <v>0.41750000000000043</v>
      </c>
      <c r="W101" s="4">
        <f>Table223421023456[[#This Row],[lab-med]]*Table223421023456[[#This Row],[anl-med]]</f>
        <v>0.6011998121250004</v>
      </c>
    </row>
    <row r="102" spans="2:23" x14ac:dyDescent="0.25">
      <c r="B102" s="46">
        <f ca="1">VALUE((Table223421023456[[#This Row],[Column3]]-62))</f>
        <v>40</v>
      </c>
      <c r="C102" t="s">
        <v>108</v>
      </c>
      <c r="D102">
        <v>10.920000099999999</v>
      </c>
      <c r="E102"/>
      <c r="F102">
        <v>10.677</v>
      </c>
      <c r="G102" s="29">
        <f>Table223421023456[[#This Row],[Roger]]-Table223421023456[[#This Row],[REF]]</f>
        <v>-0.24300009999999972</v>
      </c>
      <c r="H102" s="29">
        <f>Table223421023456[[#This Row],[X-Y]]-E$20</f>
        <v>-0.79541511999999948</v>
      </c>
      <c r="I102" s="29">
        <f>Table223421023456[[#This Row],[Roger]]-E$20</f>
        <v>10.12458498</v>
      </c>
      <c r="J102" s="29">
        <f>Table223421023456[[#This Row],[Roger]]*E$21+E$22</f>
        <v>10.646842205709872</v>
      </c>
      <c r="K102" s="56">
        <f>Table223421023456[[#This Row],[Yest]]-Table223421023456[[#This Row],[REF]]</f>
        <v>-0.2731578942901276</v>
      </c>
      <c r="L102" s="56">
        <f>ABS(Table223421023456[[#This Row],[RESyx]])</f>
        <v>0.2731578942901276</v>
      </c>
      <c r="M102" s="29">
        <f>Table223421023456[[#This Row],[Roger]]*E$25+E$26</f>
        <v>10.426524641299702</v>
      </c>
      <c r="N102" s="29">
        <f>Table223421023456[[#This Row],[X-Y]]^2</f>
        <v>5.9049048600009861E-2</v>
      </c>
      <c r="O102" s="57">
        <f>Table223421023456[[#This Row],[yest_rect]]-Table223421023456[[#This Row],[REF]]</f>
        <v>-0.49347545870029741</v>
      </c>
      <c r="P102" s="57">
        <f>Table223421023456[[#This Row],[dif rec]]^2</f>
        <v>0.24351802833946892</v>
      </c>
      <c r="Q102" s="57">
        <f>ABS(Table223421023456[[#This Row],[diff-bias]])</f>
        <v>0.79541511999999948</v>
      </c>
      <c r="R102" s="57">
        <f ca="1">CELL("row",Table223421023456[[#This Row],[Position]])</f>
        <v>102</v>
      </c>
      <c r="S102" s="4">
        <f>Table223421023456[[#This Row],[REF]]-D$13</f>
        <v>-9.0000150000001611E-2</v>
      </c>
      <c r="T102" s="4">
        <f>ABS(Table223421023456[[#This Row],[lab-med]])</f>
        <v>9.0000150000001611E-2</v>
      </c>
      <c r="U102" s="4">
        <f>Table223421023456[[#This Row],[Roger]]-F$13</f>
        <v>-1.1044999999999998</v>
      </c>
      <c r="V102" s="4">
        <f>ABS(Table223421023456[[#This Row],[anl-med]])</f>
        <v>1.1044999999999998</v>
      </c>
      <c r="W102" s="4">
        <f>Table223421023456[[#This Row],[lab-med]]*Table223421023456[[#This Row],[anl-med]]</f>
        <v>9.9405165675001766E-2</v>
      </c>
    </row>
    <row r="103" spans="2:23" x14ac:dyDescent="0.25">
      <c r="B103" s="46">
        <f ca="1">VALUE((Table223421023456[[#This Row],[Column3]]-62))</f>
        <v>41</v>
      </c>
      <c r="C103" t="s">
        <v>109</v>
      </c>
      <c r="D103">
        <v>10.949999800000001</v>
      </c>
      <c r="E103"/>
      <c r="F103">
        <v>11.662000000000001</v>
      </c>
      <c r="G103" s="29">
        <f>Table223421023456[[#This Row],[Roger]]-Table223421023456[[#This Row],[REF]]</f>
        <v>0.71200020000000031</v>
      </c>
      <c r="H103" s="29">
        <f>Table223421023456[[#This Row],[X-Y]]-E$20</f>
        <v>0.15958518000000055</v>
      </c>
      <c r="I103" s="29">
        <f>Table223421023456[[#This Row],[Roger]]-E$20</f>
        <v>11.109584980000001</v>
      </c>
      <c r="J103" s="29">
        <f>Table223421023456[[#This Row],[Roger]]*E$21+E$22</f>
        <v>11.109539908228138</v>
      </c>
      <c r="K103" s="56">
        <f>Table223421023456[[#This Row],[Yest]]-Table223421023456[[#This Row],[REF]]</f>
        <v>0.15954010822813736</v>
      </c>
      <c r="L103" s="56">
        <f>ABS(Table223421023456[[#This Row],[RESyx]])</f>
        <v>0.15954010822813736</v>
      </c>
      <c r="M103" s="29">
        <f>Table223421023456[[#This Row],[Roger]]*E$25+E$26</f>
        <v>11.109558922044533</v>
      </c>
      <c r="N103" s="29">
        <f>Table223421023456[[#This Row],[X-Y]]^2</f>
        <v>0.50694428480004039</v>
      </c>
      <c r="O103" s="57">
        <f>Table223421023456[[#This Row],[yest_rect]]-Table223421023456[[#This Row],[REF]]</f>
        <v>0.15955912204453249</v>
      </c>
      <c r="P103" s="57">
        <f>Table223421023456[[#This Row],[dif rec]]^2</f>
        <v>2.5459113427622013E-2</v>
      </c>
      <c r="Q103" s="57">
        <f>ABS(Table223421023456[[#This Row],[diff-bias]])</f>
        <v>0.15958518000000055</v>
      </c>
      <c r="R103" s="57">
        <f ca="1">CELL("row",Table223421023456[[#This Row],[Position]])</f>
        <v>103</v>
      </c>
      <c r="S103" s="4">
        <f>Table223421023456[[#This Row],[REF]]-D$13</f>
        <v>-6.0000450000000427E-2</v>
      </c>
      <c r="T103" s="4">
        <f>ABS(Table223421023456[[#This Row],[lab-med]])</f>
        <v>6.0000450000000427E-2</v>
      </c>
      <c r="U103" s="4">
        <f>Table223421023456[[#This Row],[Roger]]-F$13</f>
        <v>-0.11949999999999861</v>
      </c>
      <c r="V103" s="4">
        <f>ABS(Table223421023456[[#This Row],[anl-med]])</f>
        <v>0.11949999999999861</v>
      </c>
      <c r="W103" s="4">
        <f>Table223421023456[[#This Row],[lab-med]]*Table223421023456[[#This Row],[anl-med]]</f>
        <v>7.1700537749999679E-3</v>
      </c>
    </row>
    <row r="104" spans="2:23" x14ac:dyDescent="0.25">
      <c r="B104" s="46">
        <f ca="1">VALUE((Table223421023456[[#This Row],[Column3]]-62))</f>
        <v>42</v>
      </c>
      <c r="C104" t="s">
        <v>110</v>
      </c>
      <c r="D104">
        <v>10.9899998</v>
      </c>
      <c r="E104"/>
      <c r="F104">
        <v>12.010999999999999</v>
      </c>
      <c r="G104" s="29">
        <f>Table223421023456[[#This Row],[Roger]]-Table223421023456[[#This Row],[REF]]</f>
        <v>1.0210001999999996</v>
      </c>
      <c r="H104" s="29">
        <f>Table223421023456[[#This Row],[X-Y]]-E$20</f>
        <v>0.46858517999999982</v>
      </c>
      <c r="I104" s="29">
        <f>Table223421023456[[#This Row],[Roger]]-E$20</f>
        <v>11.458584979999999</v>
      </c>
      <c r="J104" s="29">
        <f>Table223421023456[[#This Row],[Roger]]*E$21+E$22</f>
        <v>11.273480515516335</v>
      </c>
      <c r="K104" s="56">
        <f>Table223421023456[[#This Row],[Yest]]-Table223421023456[[#This Row],[REF]]</f>
        <v>0.28348071551633502</v>
      </c>
      <c r="L104" s="56">
        <f>ABS(Table223421023456[[#This Row],[RESyx]])</f>
        <v>0.28348071551633502</v>
      </c>
      <c r="M104" s="29">
        <f>Table223421023456[[#This Row],[Roger]]*E$25+E$26</f>
        <v>11.351568022531787</v>
      </c>
      <c r="N104" s="29">
        <f>Table223421023456[[#This Row],[X-Y]]^2</f>
        <v>1.0424414084000391</v>
      </c>
      <c r="O104" s="57">
        <f>Table223421023456[[#This Row],[yest_rect]]-Table223421023456[[#This Row],[REF]]</f>
        <v>0.36156822253178689</v>
      </c>
      <c r="P104" s="57">
        <f>Table223421023456[[#This Row],[dif rec]]^2</f>
        <v>0.13073157954479575</v>
      </c>
      <c r="Q104" s="57">
        <f>ABS(Table223421023456[[#This Row],[diff-bias]])</f>
        <v>0.46858517999999982</v>
      </c>
      <c r="R104" s="57">
        <f ca="1">CELL("row",Table223421023456[[#This Row],[Position]])</f>
        <v>104</v>
      </c>
      <c r="S104" s="4">
        <f>Table223421023456[[#This Row],[REF]]-D$13</f>
        <v>-2.000045000000128E-2</v>
      </c>
      <c r="T104" s="4">
        <f>ABS(Table223421023456[[#This Row],[lab-med]])</f>
        <v>2.000045000000128E-2</v>
      </c>
      <c r="U104" s="4">
        <f>Table223421023456[[#This Row],[Roger]]-F$13</f>
        <v>0.22949999999999982</v>
      </c>
      <c r="V104" s="4">
        <f>ABS(Table223421023456[[#This Row],[anl-med]])</f>
        <v>0.22949999999999982</v>
      </c>
      <c r="W104" s="4">
        <f>Table223421023456[[#This Row],[lab-med]]*Table223421023456[[#This Row],[anl-med]]</f>
        <v>-4.5901032750002898E-3</v>
      </c>
    </row>
    <row r="105" spans="2:23" x14ac:dyDescent="0.25">
      <c r="B105" s="46">
        <f ca="1">VALUE((Table223421023456[[#This Row],[Column3]]-62))</f>
        <v>43</v>
      </c>
      <c r="C105" t="s">
        <v>111</v>
      </c>
      <c r="D105">
        <v>11</v>
      </c>
      <c r="E105"/>
      <c r="F105">
        <v>12.246</v>
      </c>
      <c r="G105" s="29">
        <f>Table223421023456[[#This Row],[Roger]]-Table223421023456[[#This Row],[REF]]</f>
        <v>1.2460000000000004</v>
      </c>
      <c r="H105" s="29">
        <f>Table223421023456[[#This Row],[X-Y]]-E$20</f>
        <v>0.69358498000000068</v>
      </c>
      <c r="I105" s="29">
        <f>Table223421023456[[#This Row],[Roger]]-E$20</f>
        <v>11.693584980000001</v>
      </c>
      <c r="J105" s="29">
        <f>Table223421023456[[#This Row],[Roger]]*E$21+E$22</f>
        <v>11.383870322716124</v>
      </c>
      <c r="K105" s="56">
        <f>Table223421023456[[#This Row],[Yest]]-Table223421023456[[#This Row],[REF]]</f>
        <v>0.38387032271612398</v>
      </c>
      <c r="L105" s="56">
        <f>ABS(Table223421023456[[#This Row],[RESyx]])</f>
        <v>0.38387032271612398</v>
      </c>
      <c r="M105" s="29">
        <f>Table223421023456[[#This Row],[Roger]]*E$25+E$26</f>
        <v>11.514525439765327</v>
      </c>
      <c r="N105" s="29">
        <f>Table223421023456[[#This Row],[X-Y]]^2</f>
        <v>1.5525160000000011</v>
      </c>
      <c r="O105" s="57">
        <f>Table223421023456[[#This Row],[yest_rect]]-Table223421023456[[#This Row],[REF]]</f>
        <v>0.51452543976532716</v>
      </c>
      <c r="P105" s="57">
        <f>Table223421023456[[#This Row],[dif rec]]^2</f>
        <v>0.26473642816570331</v>
      </c>
      <c r="Q105" s="57">
        <f>ABS(Table223421023456[[#This Row],[diff-bias]])</f>
        <v>0.69358498000000068</v>
      </c>
      <c r="R105" s="57">
        <f ca="1">CELL("row",Table223421023456[[#This Row],[Position]])</f>
        <v>105</v>
      </c>
      <c r="S105" s="4">
        <f>Table223421023456[[#This Row],[REF]]-D$13</f>
        <v>-1.0000250000000932E-2</v>
      </c>
      <c r="T105" s="4">
        <f>ABS(Table223421023456[[#This Row],[lab-med]])</f>
        <v>1.0000250000000932E-2</v>
      </c>
      <c r="U105" s="4">
        <f>Table223421023456[[#This Row],[Roger]]-F$13</f>
        <v>0.46450000000000102</v>
      </c>
      <c r="V105" s="4">
        <f>ABS(Table223421023456[[#This Row],[anl-med]])</f>
        <v>0.46450000000000102</v>
      </c>
      <c r="W105" s="4">
        <f>Table223421023456[[#This Row],[lab-med]]*Table223421023456[[#This Row],[anl-med]]</f>
        <v>-4.6451161250004435E-3</v>
      </c>
    </row>
    <row r="106" spans="2:23" x14ac:dyDescent="0.25">
      <c r="B106" s="46">
        <f ca="1">VALUE((Table223421023456[[#This Row],[Column3]]-62))</f>
        <v>44</v>
      </c>
      <c r="C106" t="s">
        <v>112</v>
      </c>
      <c r="D106">
        <v>9.9700003000000006</v>
      </c>
      <c r="E106"/>
      <c r="F106">
        <v>11.038</v>
      </c>
      <c r="G106" s="29">
        <f>Table223421023456[[#This Row],[Roger]]-Table223421023456[[#This Row],[REF]]</f>
        <v>1.0679996999999997</v>
      </c>
      <c r="H106" s="29">
        <f>Table223421023456[[#This Row],[X-Y]]-E$20</f>
        <v>0.51558467999999991</v>
      </c>
      <c r="I106" s="29">
        <f>Table223421023456[[#This Row],[Roger]]-E$20</f>
        <v>10.48558498</v>
      </c>
      <c r="J106" s="29">
        <f>Table223421023456[[#This Row],[Roger]]*E$21+E$22</f>
        <v>10.816419739323166</v>
      </c>
      <c r="K106" s="56">
        <f>Table223421023456[[#This Row],[Yest]]-Table223421023456[[#This Row],[REF]]</f>
        <v>0.84641943932316543</v>
      </c>
      <c r="L106" s="56">
        <f>ABS(Table223421023456[[#This Row],[RESyx]])</f>
        <v>0.84641943932316543</v>
      </c>
      <c r="M106" s="29">
        <f>Table223421023456[[#This Row],[Roger]]*E$25+E$26</f>
        <v>10.676854971603138</v>
      </c>
      <c r="N106" s="29">
        <f>Table223421023456[[#This Row],[X-Y]]^2</f>
        <v>1.1406233592000892</v>
      </c>
      <c r="O106" s="57">
        <f>Table223421023456[[#This Row],[yest_rect]]-Table223421023456[[#This Row],[REF]]</f>
        <v>0.70685467160313742</v>
      </c>
      <c r="P106" s="57">
        <f>Table223421023456[[#This Row],[dif rec]]^2</f>
        <v>0.49964352676717927</v>
      </c>
      <c r="Q106" s="57">
        <f>ABS(Table223421023456[[#This Row],[diff-bias]])</f>
        <v>0.51558467999999991</v>
      </c>
      <c r="R106" s="57">
        <f ca="1">CELL("row",Table223421023456[[#This Row],[Position]])</f>
        <v>106</v>
      </c>
      <c r="S106" s="4">
        <f>Table223421023456[[#This Row],[REF]]-D$13</f>
        <v>-1.0399999500000003</v>
      </c>
      <c r="T106" s="4">
        <f>ABS(Table223421023456[[#This Row],[lab-med]])</f>
        <v>1.0399999500000003</v>
      </c>
      <c r="U106" s="4">
        <f>Table223421023456[[#This Row],[Roger]]-F$13</f>
        <v>-0.74349999999999916</v>
      </c>
      <c r="V106" s="4">
        <f>ABS(Table223421023456[[#This Row],[anl-med]])</f>
        <v>0.74349999999999916</v>
      </c>
      <c r="W106" s="4">
        <f>Table223421023456[[#This Row],[lab-med]]*Table223421023456[[#This Row],[anl-med]]</f>
        <v>0.77323996282499941</v>
      </c>
    </row>
    <row r="107" spans="2:23" x14ac:dyDescent="0.25">
      <c r="B107" s="46">
        <f ca="1">VALUE((Table223421023456[[#This Row],[Column3]]-62))</f>
        <v>45</v>
      </c>
      <c r="C107" t="s">
        <v>113</v>
      </c>
      <c r="D107">
        <v>12.899999599999999</v>
      </c>
      <c r="E107"/>
      <c r="F107">
        <v>12.083</v>
      </c>
      <c r="G107" s="29">
        <f>Table223421023456[[#This Row],[Roger]]-Table223421023456[[#This Row],[REF]]</f>
        <v>-0.81699959999999905</v>
      </c>
      <c r="H107" s="29">
        <f>Table223421023456[[#This Row],[X-Y]]-E$20</f>
        <v>-1.3694146199999988</v>
      </c>
      <c r="I107" s="29">
        <f>Table223421023456[[#This Row],[Roger]]-E$20</f>
        <v>11.53058498</v>
      </c>
      <c r="J107" s="29">
        <f>Table223421023456[[#This Row],[Roger]]*E$21+E$22</f>
        <v>11.307302073466909</v>
      </c>
      <c r="K107" s="56">
        <f>Table223421023456[[#This Row],[Yest]]-Table223421023456[[#This Row],[REF]]</f>
        <v>-1.5926975265330903</v>
      </c>
      <c r="L107" s="56">
        <f>ABS(Table223421023456[[#This Row],[RESyx]])</f>
        <v>1.5926975265330903</v>
      </c>
      <c r="M107" s="29">
        <f>Table223421023456[[#This Row],[Roger]]*E$25+E$26</f>
        <v>11.401495401428871</v>
      </c>
      <c r="N107" s="29">
        <f>Table223421023456[[#This Row],[X-Y]]^2</f>
        <v>0.66748834640015842</v>
      </c>
      <c r="O107" s="57">
        <f>Table223421023456[[#This Row],[yest_rect]]-Table223421023456[[#This Row],[REF]]</f>
        <v>-1.498504198571128</v>
      </c>
      <c r="P107" s="57">
        <f>Table223421023456[[#This Row],[dif rec]]^2</f>
        <v>2.2455148331352985</v>
      </c>
      <c r="Q107" s="57">
        <f>ABS(Table223421023456[[#This Row],[diff-bias]])</f>
        <v>1.3694146199999988</v>
      </c>
      <c r="R107" s="57">
        <f ca="1">CELL("row",Table223421023456[[#This Row],[Position]])</f>
        <v>107</v>
      </c>
      <c r="S107" s="4">
        <f>Table223421023456[[#This Row],[REF]]-D$13</f>
        <v>1.8899993499999983</v>
      </c>
      <c r="T107" s="4">
        <f>ABS(Table223421023456[[#This Row],[lab-med]])</f>
        <v>1.8899993499999983</v>
      </c>
      <c r="U107" s="4">
        <f>Table223421023456[[#This Row],[Roger]]-F$13</f>
        <v>0.30150000000000077</v>
      </c>
      <c r="V107" s="4">
        <f>ABS(Table223421023456[[#This Row],[anl-med]])</f>
        <v>0.30150000000000077</v>
      </c>
      <c r="W107" s="4">
        <f>Table223421023456[[#This Row],[lab-med]]*Table223421023456[[#This Row],[anl-med]]</f>
        <v>0.56983480402500097</v>
      </c>
    </row>
    <row r="108" spans="2:23" x14ac:dyDescent="0.25">
      <c r="B108" s="46">
        <f ca="1">VALUE((Table223421023456[[#This Row],[Column3]]-62))</f>
        <v>46</v>
      </c>
      <c r="C108" t="s">
        <v>114</v>
      </c>
      <c r="D108">
        <v>10.529999699999999</v>
      </c>
      <c r="E108"/>
      <c r="F108">
        <v>11.944000000000001</v>
      </c>
      <c r="G108" s="29">
        <f>Table223421023456[[#This Row],[Roger]]-Table223421023456[[#This Row],[REF]]</f>
        <v>1.4140003000000014</v>
      </c>
      <c r="H108" s="29">
        <f>Table223421023456[[#This Row],[X-Y]]-E$20</f>
        <v>0.86158528000000167</v>
      </c>
      <c r="I108" s="29">
        <f>Table223421023456[[#This Row],[Roger]]-E$20</f>
        <v>11.391584980000001</v>
      </c>
      <c r="J108" s="29">
        <f>Table223421023456[[#This Row],[Roger]]*E$21+E$22</f>
        <v>11.242007676867885</v>
      </c>
      <c r="K108" s="56">
        <f>Table223421023456[[#This Row],[Yest]]-Table223421023456[[#This Row],[REF]]</f>
        <v>0.71200797686788597</v>
      </c>
      <c r="L108" s="56">
        <f>ABS(Table223421023456[[#This Row],[RESyx]])</f>
        <v>0.71200797686788597</v>
      </c>
      <c r="M108" s="29">
        <f>Table223421023456[[#This Row],[Roger]]*E$25+E$26</f>
        <v>11.30510782272478</v>
      </c>
      <c r="N108" s="29">
        <f>Table223421023456[[#This Row],[X-Y]]^2</f>
        <v>1.9993968484000941</v>
      </c>
      <c r="O108" s="57">
        <f>Table223421023456[[#This Row],[yest_rect]]-Table223421023456[[#This Row],[REF]]</f>
        <v>0.77510812272478091</v>
      </c>
      <c r="P108" s="57">
        <f>Table223421023456[[#This Row],[dif rec]]^2</f>
        <v>0.60079260191393402</v>
      </c>
      <c r="Q108" s="57">
        <f>ABS(Table223421023456[[#This Row],[diff-bias]])</f>
        <v>0.86158528000000167</v>
      </c>
      <c r="R108" s="57">
        <f ca="1">CELL("row",Table223421023456[[#This Row],[Position]])</f>
        <v>108</v>
      </c>
      <c r="S108" s="4">
        <f>Table223421023456[[#This Row],[REF]]-D$13</f>
        <v>-0.48000055000000152</v>
      </c>
      <c r="T108" s="4">
        <f>ABS(Table223421023456[[#This Row],[lab-med]])</f>
        <v>0.48000055000000152</v>
      </c>
      <c r="U108" s="4">
        <f>Table223421023456[[#This Row],[Roger]]-F$13</f>
        <v>0.16250000000000142</v>
      </c>
      <c r="V108" s="4">
        <f>ABS(Table223421023456[[#This Row],[anl-med]])</f>
        <v>0.16250000000000142</v>
      </c>
      <c r="W108" s="4">
        <f>Table223421023456[[#This Row],[lab-med]]*Table223421023456[[#This Row],[anl-med]]</f>
        <v>-7.8000089375000928E-2</v>
      </c>
    </row>
    <row r="109" spans="2:23" x14ac:dyDescent="0.25">
      <c r="B109" s="46">
        <f ca="1">VALUE((Table223421023456[[#This Row],[Column3]]-62))</f>
        <v>47</v>
      </c>
      <c r="C109" t="s">
        <v>115</v>
      </c>
      <c r="D109">
        <v>11.0600004</v>
      </c>
      <c r="E109"/>
      <c r="F109">
        <v>11.478</v>
      </c>
      <c r="G109" s="29">
        <f>Table223421023456[[#This Row],[Roger]]-Table223421023456[[#This Row],[REF]]</f>
        <v>0.41799959999999992</v>
      </c>
      <c r="H109" s="29">
        <f>Table223421023456[[#This Row],[X-Y]]-E$20</f>
        <v>-0.13441541999999984</v>
      </c>
      <c r="I109" s="29">
        <f>Table223421023456[[#This Row],[Roger]]-E$20</f>
        <v>10.92558498</v>
      </c>
      <c r="J109" s="29">
        <f>Table223421023456[[#This Row],[Roger]]*E$21+E$22</f>
        <v>11.023107037910005</v>
      </c>
      <c r="K109" s="56">
        <f>Table223421023456[[#This Row],[Yest]]-Table223421023456[[#This Row],[REF]]</f>
        <v>-3.6893362089994497E-2</v>
      </c>
      <c r="L109" s="56">
        <f>ABS(Table223421023456[[#This Row],[RESyx]])</f>
        <v>3.6893362089994497E-2</v>
      </c>
      <c r="M109" s="29">
        <f>Table223421023456[[#This Row],[Roger]]*E$25+E$26</f>
        <v>10.981966731529763</v>
      </c>
      <c r="N109" s="29">
        <f>Table223421023456[[#This Row],[X-Y]]^2</f>
        <v>0.17472366560015992</v>
      </c>
      <c r="O109" s="57">
        <f>Table223421023456[[#This Row],[yest_rect]]-Table223421023456[[#This Row],[REF]]</f>
        <v>-7.8033668470236961E-2</v>
      </c>
      <c r="P109" s="57">
        <f>Table223421023456[[#This Row],[dif rec]]^2</f>
        <v>6.0892534149228541E-3</v>
      </c>
      <c r="Q109" s="57">
        <f>ABS(Table223421023456[[#This Row],[diff-bias]])</f>
        <v>0.13441541999999984</v>
      </c>
      <c r="R109" s="57">
        <f ca="1">CELL("row",Table223421023456[[#This Row],[Position]])</f>
        <v>109</v>
      </c>
      <c r="S109" s="4">
        <f>Table223421023456[[#This Row],[REF]]-D$13</f>
        <v>5.0000149999998911E-2</v>
      </c>
      <c r="T109" s="4">
        <f>ABS(Table223421023456[[#This Row],[lab-med]])</f>
        <v>5.0000149999998911E-2</v>
      </c>
      <c r="U109" s="4">
        <f>Table223421023456[[#This Row],[Roger]]-F$13</f>
        <v>-0.30349999999999966</v>
      </c>
      <c r="V109" s="4">
        <f>ABS(Table223421023456[[#This Row],[anl-med]])</f>
        <v>0.30349999999999966</v>
      </c>
      <c r="W109" s="4">
        <f>Table223421023456[[#This Row],[lab-med]]*Table223421023456[[#This Row],[anl-med]]</f>
        <v>-1.5175045524999653E-2</v>
      </c>
    </row>
    <row r="110" spans="2:23" x14ac:dyDescent="0.25">
      <c r="B110" s="46">
        <f ca="1">VALUE((Table223421023456[[#This Row],[Column3]]-62))</f>
        <v>48</v>
      </c>
      <c r="C110" t="s">
        <v>116</v>
      </c>
      <c r="D110">
        <v>9.1000004000000008</v>
      </c>
      <c r="E110"/>
      <c r="F110">
        <v>10.53</v>
      </c>
      <c r="G110" s="29">
        <f>Table223421023456[[#This Row],[Roger]]-Table223421023456[[#This Row],[REF]]</f>
        <v>1.4299995999999986</v>
      </c>
      <c r="H110" s="29">
        <f>Table223421023456[[#This Row],[X-Y]]-E$20</f>
        <v>0.87758457999999884</v>
      </c>
      <c r="I110" s="29">
        <f>Table223421023456[[#This Row],[Roger]]-E$20</f>
        <v>9.9775849799999996</v>
      </c>
      <c r="J110" s="29">
        <f>Table223421023456[[#This Row],[Roger]]*E$21+E$22</f>
        <v>10.577789858227451</v>
      </c>
      <c r="K110" s="56">
        <f>Table223421023456[[#This Row],[Yest]]-Table223421023456[[#This Row],[REF]]</f>
        <v>1.4777894582274502</v>
      </c>
      <c r="L110" s="56">
        <f>ABS(Table223421023456[[#This Row],[RESyx]])</f>
        <v>1.4777894582274502</v>
      </c>
      <c r="M110" s="29">
        <f>Table223421023456[[#This Row],[Roger]]*E$25+E$26</f>
        <v>10.324589576051489</v>
      </c>
      <c r="N110" s="29">
        <f>Table223421023456[[#This Row],[X-Y]]^2</f>
        <v>2.044898856000156</v>
      </c>
      <c r="O110" s="57">
        <f>Table223421023456[[#This Row],[yest_rect]]-Table223421023456[[#This Row],[REF]]</f>
        <v>1.224589176051488</v>
      </c>
      <c r="P110" s="57">
        <f>Table223421023456[[#This Row],[dif rec]]^2</f>
        <v>1.4996186501024622</v>
      </c>
      <c r="Q110" s="57">
        <f>ABS(Table223421023456[[#This Row],[diff-bias]])</f>
        <v>0.87758457999999884</v>
      </c>
      <c r="R110" s="57">
        <f ca="1">CELL("row",Table223421023456[[#This Row],[Position]])</f>
        <v>110</v>
      </c>
      <c r="S110" s="4">
        <f>Table223421023456[[#This Row],[REF]]-D$13</f>
        <v>-1.9099998500000002</v>
      </c>
      <c r="T110" s="4">
        <f>ABS(Table223421023456[[#This Row],[lab-med]])</f>
        <v>1.9099998500000002</v>
      </c>
      <c r="U110" s="4">
        <f>Table223421023456[[#This Row],[Roger]]-F$13</f>
        <v>-1.2515000000000001</v>
      </c>
      <c r="V110" s="4">
        <f>ABS(Table223421023456[[#This Row],[anl-med]])</f>
        <v>1.2515000000000001</v>
      </c>
      <c r="W110" s="4">
        <f>Table223421023456[[#This Row],[lab-med]]*Table223421023456[[#This Row],[anl-med]]</f>
        <v>2.3903648122750005</v>
      </c>
    </row>
    <row r="111" spans="2:23" x14ac:dyDescent="0.25">
      <c r="B111" s="46">
        <f ca="1">VALUE((Table223421023456[[#This Row],[Column3]]-62))</f>
        <v>49</v>
      </c>
      <c r="C111" t="s">
        <v>117</v>
      </c>
      <c r="D111">
        <v>8.9700003000000006</v>
      </c>
      <c r="E111"/>
      <c r="F111">
        <v>11.926</v>
      </c>
      <c r="G111" s="29">
        <f>Table223421023456[[#This Row],[Roger]]-Table223421023456[[#This Row],[REF]]</f>
        <v>2.9559996999999996</v>
      </c>
      <c r="H111" s="29">
        <f>Table223421023456[[#This Row],[X-Y]]-E$20</f>
        <v>2.4035846799999998</v>
      </c>
      <c r="I111" s="29">
        <f>Table223421023456[[#This Row],[Roger]]-E$20</f>
        <v>11.37358498</v>
      </c>
      <c r="J111" s="29">
        <f>Table223421023456[[#This Row],[Roger]]*E$21+E$22</f>
        <v>11.233552287380242</v>
      </c>
      <c r="K111" s="56">
        <f>Table223421023456[[#This Row],[Yest]]-Table223421023456[[#This Row],[REF]]</f>
        <v>2.2635519873802412</v>
      </c>
      <c r="L111" s="56">
        <f>ABS(Table223421023456[[#This Row],[RESyx]])</f>
        <v>2.2635519873802412</v>
      </c>
      <c r="M111" s="29">
        <f>Table223421023456[[#This Row],[Roger]]*E$25+E$26</f>
        <v>11.292625978000508</v>
      </c>
      <c r="N111" s="29">
        <f>Table223421023456[[#This Row],[X-Y]]^2</f>
        <v>8.7379342264000872</v>
      </c>
      <c r="O111" s="57">
        <f>Table223421023456[[#This Row],[yest_rect]]-Table223421023456[[#This Row],[REF]]</f>
        <v>2.3226256780005077</v>
      </c>
      <c r="P111" s="57">
        <f>Table223421023456[[#This Row],[dif rec]]^2</f>
        <v>5.3945900401073184</v>
      </c>
      <c r="Q111" s="57">
        <f>ABS(Table223421023456[[#This Row],[diff-bias]])</f>
        <v>2.4035846799999998</v>
      </c>
      <c r="R111" s="57">
        <f ca="1">CELL("row",Table223421023456[[#This Row],[Position]])</f>
        <v>111</v>
      </c>
      <c r="S111" s="4">
        <f>Table223421023456[[#This Row],[REF]]-D$13</f>
        <v>-2.0399999500000003</v>
      </c>
      <c r="T111" s="4">
        <f>ABS(Table223421023456[[#This Row],[lab-med]])</f>
        <v>2.0399999500000003</v>
      </c>
      <c r="U111" s="4">
        <f>Table223421023456[[#This Row],[Roger]]-F$13</f>
        <v>0.14450000000000074</v>
      </c>
      <c r="V111" s="4">
        <f>ABS(Table223421023456[[#This Row],[anl-med]])</f>
        <v>0.14450000000000074</v>
      </c>
      <c r="W111" s="4">
        <f>Table223421023456[[#This Row],[lab-med]]*Table223421023456[[#This Row],[anl-med]]</f>
        <v>-0.29477999277500155</v>
      </c>
    </row>
    <row r="112" spans="2:23" x14ac:dyDescent="0.25">
      <c r="B112" s="46">
        <f ca="1">VALUE((Table223421023456[[#This Row],[Column3]]-62))</f>
        <v>50</v>
      </c>
      <c r="C112" t="s">
        <v>118</v>
      </c>
      <c r="D112">
        <v>11.1199999</v>
      </c>
      <c r="E112"/>
      <c r="F112">
        <v>11.099</v>
      </c>
      <c r="G112" s="29">
        <f>Table223421023456[[#This Row],[Roger]]-Table223421023456[[#This Row],[REF]]</f>
        <v>-2.0999899999999627E-2</v>
      </c>
      <c r="H112" s="29">
        <f>Table223421023456[[#This Row],[X-Y]]-E$20</f>
        <v>-0.57341491999999938</v>
      </c>
      <c r="I112" s="29">
        <f>Table223421023456[[#This Row],[Roger]]-E$20</f>
        <v>10.54658498</v>
      </c>
      <c r="J112" s="29">
        <f>Table223421023456[[#This Row],[Roger]]*E$21+E$22</f>
        <v>10.845074114809069</v>
      </c>
      <c r="K112" s="56">
        <f>Table223421023456[[#This Row],[Yest]]-Table223421023456[[#This Row],[REF]]</f>
        <v>-0.27492578519093058</v>
      </c>
      <c r="L112" s="56">
        <f>ABS(Table223421023456[[#This Row],[RESyx]])</f>
        <v>0.27492578519093058</v>
      </c>
      <c r="M112" s="29">
        <f>Table223421023456[[#This Row],[Roger]]*E$25+E$26</f>
        <v>10.719154556502057</v>
      </c>
      <c r="N112" s="29">
        <f>Table223421023456[[#This Row],[X-Y]]^2</f>
        <v>4.4099580000998433E-4</v>
      </c>
      <c r="O112" s="57">
        <f>Table223421023456[[#This Row],[yest_rect]]-Table223421023456[[#This Row],[REF]]</f>
        <v>-0.40084534349794332</v>
      </c>
      <c r="P112" s="57">
        <f>Table223421023456[[#This Row],[dif rec]]^2</f>
        <v>0.16067698940398417</v>
      </c>
      <c r="Q112" s="57">
        <f>ABS(Table223421023456[[#This Row],[diff-bias]])</f>
        <v>0.57341491999999938</v>
      </c>
      <c r="R112" s="57">
        <f ca="1">CELL("row",Table223421023456[[#This Row],[Position]])</f>
        <v>112</v>
      </c>
      <c r="S112" s="4">
        <f>Table223421023456[[#This Row],[REF]]-D$13</f>
        <v>0.10999964999999889</v>
      </c>
      <c r="T112" s="4">
        <f>ABS(Table223421023456[[#This Row],[lab-med]])</f>
        <v>0.10999964999999889</v>
      </c>
      <c r="U112" s="4">
        <f>Table223421023456[[#This Row],[Roger]]-F$13</f>
        <v>-0.68249999999999922</v>
      </c>
      <c r="V112" s="4">
        <f>ABS(Table223421023456[[#This Row],[anl-med]])</f>
        <v>0.68249999999999922</v>
      </c>
      <c r="W112" s="4">
        <f>Table223421023456[[#This Row],[lab-med]]*Table223421023456[[#This Row],[anl-med]]</f>
        <v>-7.5074761124999154E-2</v>
      </c>
    </row>
    <row r="113" spans="2:23" x14ac:dyDescent="0.25">
      <c r="B113" s="46">
        <f ca="1">VALUE((Table223421023456[[#This Row],[Column3]]-62))</f>
        <v>51</v>
      </c>
      <c r="C113" t="s">
        <v>119</v>
      </c>
      <c r="D113">
        <v>9.2299994999999999</v>
      </c>
      <c r="E113"/>
      <c r="F113">
        <v>11.1</v>
      </c>
      <c r="G113" s="29">
        <f>Table223421023456[[#This Row],[Roger]]-Table223421023456[[#This Row],[REF]]</f>
        <v>1.8700004999999997</v>
      </c>
      <c r="H113" s="29">
        <f>Table223421023456[[#This Row],[X-Y]]-E$20</f>
        <v>1.31758548</v>
      </c>
      <c r="I113" s="29">
        <f>Table223421023456[[#This Row],[Roger]]-E$20</f>
        <v>10.54758498</v>
      </c>
      <c r="J113" s="29">
        <f>Table223421023456[[#This Row],[Roger]]*E$21+E$22</f>
        <v>10.845543858669494</v>
      </c>
      <c r="K113" s="56">
        <f>Table223421023456[[#This Row],[Yest]]-Table223421023456[[#This Row],[REF]]</f>
        <v>1.615544358669494</v>
      </c>
      <c r="L113" s="56">
        <f>ABS(Table223421023456[[#This Row],[RESyx]])</f>
        <v>1.615544358669494</v>
      </c>
      <c r="M113" s="29">
        <f>Table223421023456[[#This Row],[Roger]]*E$25+E$26</f>
        <v>10.719847992320071</v>
      </c>
      <c r="N113" s="29">
        <f>Table223421023456[[#This Row],[X-Y]]^2</f>
        <v>3.496901870000249</v>
      </c>
      <c r="O113" s="57">
        <f>Table223421023456[[#This Row],[yest_rect]]-Table223421023456[[#This Row],[REF]]</f>
        <v>1.4898484923200712</v>
      </c>
      <c r="P113" s="57">
        <f>Table223421023456[[#This Row],[dif rec]]^2</f>
        <v>2.2196485300683895</v>
      </c>
      <c r="Q113" s="57">
        <f>ABS(Table223421023456[[#This Row],[diff-bias]])</f>
        <v>1.31758548</v>
      </c>
      <c r="R113" s="57">
        <f ca="1">CELL("row",Table223421023456[[#This Row],[Position]])</f>
        <v>113</v>
      </c>
      <c r="S113" s="4">
        <f>Table223421023456[[#This Row],[REF]]-D$13</f>
        <v>-1.780000750000001</v>
      </c>
      <c r="T113" s="4">
        <f>ABS(Table223421023456[[#This Row],[lab-med]])</f>
        <v>1.780000750000001</v>
      </c>
      <c r="U113" s="4">
        <f>Table223421023456[[#This Row],[Roger]]-F$13</f>
        <v>-0.68149999999999977</v>
      </c>
      <c r="V113" s="4">
        <f>ABS(Table223421023456[[#This Row],[anl-med]])</f>
        <v>0.68149999999999977</v>
      </c>
      <c r="W113" s="4">
        <f>Table223421023456[[#This Row],[lab-med]]*Table223421023456[[#This Row],[anl-med]]</f>
        <v>1.2130705111250002</v>
      </c>
    </row>
    <row r="114" spans="2:23" x14ac:dyDescent="0.25">
      <c r="B114" s="46">
        <f ca="1">VALUE((Table223421023456[[#This Row],[Column3]]-62))</f>
        <v>52</v>
      </c>
      <c r="C114" t="s">
        <v>120</v>
      </c>
      <c r="D114">
        <v>11.2299995</v>
      </c>
      <c r="E114"/>
      <c r="F114">
        <v>12.074999999999999</v>
      </c>
      <c r="G114" s="29">
        <f>Table223421023456[[#This Row],[Roger]]-Table223421023456[[#This Row],[REF]]</f>
        <v>0.84500049999999938</v>
      </c>
      <c r="H114" s="29">
        <f>Table223421023456[[#This Row],[X-Y]]-E$20</f>
        <v>0.29258547999999962</v>
      </c>
      <c r="I114" s="29">
        <f>Table223421023456[[#This Row],[Roger]]-E$20</f>
        <v>11.52258498</v>
      </c>
      <c r="J114" s="29">
        <f>Table223421023456[[#This Row],[Roger]]*E$21+E$22</f>
        <v>11.303544122583512</v>
      </c>
      <c r="K114" s="56">
        <f>Table223421023456[[#This Row],[Yest]]-Table223421023456[[#This Row],[REF]]</f>
        <v>7.3544622583511909E-2</v>
      </c>
      <c r="L114" s="56">
        <f>ABS(Table223421023456[[#This Row],[RESyx]])</f>
        <v>7.3544622583511909E-2</v>
      </c>
      <c r="M114" s="29">
        <f>Table223421023456[[#This Row],[Roger]]*E$25+E$26</f>
        <v>11.395947914884751</v>
      </c>
      <c r="N114" s="29">
        <f>Table223421023456[[#This Row],[X-Y]]^2</f>
        <v>0.7140258450002489</v>
      </c>
      <c r="O114" s="57">
        <f>Table223421023456[[#This Row],[yest_rect]]-Table223421023456[[#This Row],[REF]]</f>
        <v>0.16594841488475076</v>
      </c>
      <c r="P114" s="57">
        <f>Table223421023456[[#This Row],[dif rec]]^2</f>
        <v>2.753887640276137E-2</v>
      </c>
      <c r="Q114" s="57">
        <f>ABS(Table223421023456[[#This Row],[diff-bias]])</f>
        <v>0.29258547999999962</v>
      </c>
      <c r="R114" s="57">
        <f ca="1">CELL("row",Table223421023456[[#This Row],[Position]])</f>
        <v>114</v>
      </c>
      <c r="S114" s="4">
        <f>Table223421023456[[#This Row],[REF]]-D$13</f>
        <v>0.21999924999999898</v>
      </c>
      <c r="T114" s="4">
        <f>ABS(Table223421023456[[#This Row],[lab-med]])</f>
        <v>0.21999924999999898</v>
      </c>
      <c r="U114" s="4">
        <f>Table223421023456[[#This Row],[Roger]]-F$13</f>
        <v>0.29349999999999987</v>
      </c>
      <c r="V114" s="4">
        <f>ABS(Table223421023456[[#This Row],[anl-med]])</f>
        <v>0.29349999999999987</v>
      </c>
      <c r="W114" s="4">
        <f>Table223421023456[[#This Row],[lab-med]]*Table223421023456[[#This Row],[anl-med]]</f>
        <v>6.4569779874999678E-2</v>
      </c>
    </row>
    <row r="115" spans="2:23" x14ac:dyDescent="0.25">
      <c r="B115" s="46">
        <f ca="1">VALUE((Table223421023456[[#This Row],[Column3]]-62))</f>
        <v>53</v>
      </c>
      <c r="C115" t="s">
        <v>121</v>
      </c>
      <c r="D115">
        <v>11.2299995</v>
      </c>
      <c r="E115"/>
      <c r="F115">
        <v>11.266999999999999</v>
      </c>
      <c r="G115" s="29">
        <f>Table223421023456[[#This Row],[Roger]]-Table223421023456[[#This Row],[REF]]</f>
        <v>3.7000499999999548E-2</v>
      </c>
      <c r="H115" s="29">
        <f>Table223421023456[[#This Row],[X-Y]]-E$20</f>
        <v>-0.51541452000000021</v>
      </c>
      <c r="I115" s="29">
        <f>Table223421023456[[#This Row],[Roger]]-E$20</f>
        <v>10.71458498</v>
      </c>
      <c r="J115" s="29">
        <f>Table223421023456[[#This Row],[Roger]]*E$21+E$22</f>
        <v>10.923991083360406</v>
      </c>
      <c r="K115" s="56">
        <f>Table223421023456[[#This Row],[Yest]]-Table223421023456[[#This Row],[REF]]</f>
        <v>-0.30600841663959422</v>
      </c>
      <c r="L115" s="56">
        <f>ABS(Table223421023456[[#This Row],[RESyx]])</f>
        <v>0.30600841663959422</v>
      </c>
      <c r="M115" s="29">
        <f>Table223421023456[[#This Row],[Roger]]*E$25+E$26</f>
        <v>10.835651773928586</v>
      </c>
      <c r="N115" s="29">
        <f>Table223421023456[[#This Row],[X-Y]]^2</f>
        <v>1.3690370002499665E-3</v>
      </c>
      <c r="O115" s="57">
        <f>Table223421023456[[#This Row],[yest_rect]]-Table223421023456[[#This Row],[REF]]</f>
        <v>-0.39434772607141433</v>
      </c>
      <c r="P115" s="57">
        <f>Table223421023456[[#This Row],[dif rec]]^2</f>
        <v>0.15551012905769523</v>
      </c>
      <c r="Q115" s="57">
        <f>ABS(Table223421023456[[#This Row],[diff-bias]])</f>
        <v>0.51541452000000021</v>
      </c>
      <c r="R115" s="57">
        <f ca="1">CELL("row",Table223421023456[[#This Row],[Position]])</f>
        <v>115</v>
      </c>
      <c r="S115" s="4">
        <f>Table223421023456[[#This Row],[REF]]-D$13</f>
        <v>0.21999924999999898</v>
      </c>
      <c r="T115" s="4">
        <f>ABS(Table223421023456[[#This Row],[lab-med]])</f>
        <v>0.21999924999999898</v>
      </c>
      <c r="U115" s="4">
        <f>Table223421023456[[#This Row],[Roger]]-F$13</f>
        <v>-0.51449999999999996</v>
      </c>
      <c r="V115" s="4">
        <f>ABS(Table223421023456[[#This Row],[anl-med]])</f>
        <v>0.51449999999999996</v>
      </c>
      <c r="W115" s="4">
        <f>Table223421023456[[#This Row],[lab-med]]*Table223421023456[[#This Row],[anl-med]]</f>
        <v>-0.11318961412499946</v>
      </c>
    </row>
    <row r="116" spans="2:23" x14ac:dyDescent="0.25">
      <c r="B116" s="46">
        <f ca="1">VALUE((Table223421023456[[#This Row],[Column3]]-62))</f>
        <v>54</v>
      </c>
      <c r="C116" t="s">
        <v>122</v>
      </c>
      <c r="D116">
        <v>11.2399998</v>
      </c>
      <c r="E116"/>
      <c r="F116">
        <v>9.6456</v>
      </c>
      <c r="G116" s="29">
        <f>Table223421023456[[#This Row],[Roger]]-Table223421023456[[#This Row],[REF]]</f>
        <v>-1.5943997999999997</v>
      </c>
      <c r="H116" s="29">
        <f>Table223421023456[[#This Row],[X-Y]]-E$20</f>
        <v>-2.1468148199999995</v>
      </c>
      <c r="I116" s="29">
        <f>Table223421023456[[#This Row],[Roger]]-E$20</f>
        <v>9.0931849800000002</v>
      </c>
      <c r="J116" s="29">
        <f>Table223421023456[[#This Row],[Roger]]*E$21+E$22</f>
        <v>10.162348388067905</v>
      </c>
      <c r="K116" s="56">
        <f>Table223421023456[[#This Row],[Yest]]-Table223421023456[[#This Row],[REF]]</f>
        <v>-1.077651411932095</v>
      </c>
      <c r="L116" s="56">
        <f>ABS(Table223421023456[[#This Row],[RESyx]])</f>
        <v>1.077651411932095</v>
      </c>
      <c r="M116" s="29">
        <f>Table223421023456[[#This Row],[Roger]]*E$25+E$26</f>
        <v>9.7113149385989725</v>
      </c>
      <c r="N116" s="29">
        <f>Table223421023456[[#This Row],[X-Y]]^2</f>
        <v>2.542110722240039</v>
      </c>
      <c r="O116" s="57">
        <f>Table223421023456[[#This Row],[yest_rect]]-Table223421023456[[#This Row],[REF]]</f>
        <v>-1.5286848614010271</v>
      </c>
      <c r="P116" s="57">
        <f>Table223421023456[[#This Row],[dif rec]]^2</f>
        <v>2.3368774054766774</v>
      </c>
      <c r="Q116" s="57">
        <f>ABS(Table223421023456[[#This Row],[diff-bias]])</f>
        <v>2.1468148199999995</v>
      </c>
      <c r="R116" s="57">
        <f ca="1">CELL("row",Table223421023456[[#This Row],[Position]])</f>
        <v>116</v>
      </c>
      <c r="S116" s="4">
        <f>Table223421023456[[#This Row],[REF]]-D$13</f>
        <v>0.22999954999999872</v>
      </c>
      <c r="T116" s="4">
        <f>ABS(Table223421023456[[#This Row],[lab-med]])</f>
        <v>0.22999954999999872</v>
      </c>
      <c r="U116" s="4">
        <f>Table223421023456[[#This Row],[Roger]]-F$13</f>
        <v>-2.1358999999999995</v>
      </c>
      <c r="V116" s="4">
        <f>ABS(Table223421023456[[#This Row],[anl-med]])</f>
        <v>2.1358999999999995</v>
      </c>
      <c r="W116" s="4">
        <f>Table223421023456[[#This Row],[lab-med]]*Table223421023456[[#This Row],[anl-med]]</f>
        <v>-0.49125603884499713</v>
      </c>
    </row>
    <row r="117" spans="2:23" x14ac:dyDescent="0.25">
      <c r="B117" s="46">
        <f ca="1">VALUE((Table223421023456[[#This Row],[Column3]]-62))</f>
        <v>55</v>
      </c>
      <c r="C117" t="s">
        <v>123</v>
      </c>
      <c r="D117">
        <v>12.5600004</v>
      </c>
      <c r="E117"/>
      <c r="F117">
        <v>14.494</v>
      </c>
      <c r="G117" s="29">
        <f>Table223421023456[[#This Row],[Roger]]-Table223421023456[[#This Row],[REF]]</f>
        <v>1.9339995999999999</v>
      </c>
      <c r="H117" s="29">
        <f>Table223421023456[[#This Row],[X-Y]]-E$20</f>
        <v>1.3815845800000002</v>
      </c>
      <c r="I117" s="29">
        <f>Table223421023456[[#This Row],[Roger]]-E$20</f>
        <v>13.94158498</v>
      </c>
      <c r="J117" s="29">
        <f>Table223421023456[[#This Row],[Roger]]*E$21+E$22</f>
        <v>12.439854520950703</v>
      </c>
      <c r="K117" s="56">
        <f>Table223421023456[[#This Row],[Yest]]-Table223421023456[[#This Row],[REF]]</f>
        <v>-0.12014587904929641</v>
      </c>
      <c r="L117" s="56">
        <f>ABS(Table223421023456[[#This Row],[RESyx]])</f>
        <v>0.12014587904929641</v>
      </c>
      <c r="M117" s="29">
        <f>Table223421023456[[#This Row],[Roger]]*E$25+E$26</f>
        <v>13.073369158663173</v>
      </c>
      <c r="N117" s="29">
        <f>Table223421023456[[#This Row],[X-Y]]^2</f>
        <v>3.7403544528001595</v>
      </c>
      <c r="O117" s="57">
        <f>Table223421023456[[#This Row],[yest_rect]]-Table223421023456[[#This Row],[REF]]</f>
        <v>0.513368758663173</v>
      </c>
      <c r="P117" s="57">
        <f>Table223421023456[[#This Row],[dif rec]]^2</f>
        <v>0.26354748237136716</v>
      </c>
      <c r="Q117" s="57">
        <f>ABS(Table223421023456[[#This Row],[diff-bias]])</f>
        <v>1.3815845800000002</v>
      </c>
      <c r="R117" s="57">
        <f ca="1">CELL("row",Table223421023456[[#This Row],[Position]])</f>
        <v>117</v>
      </c>
      <c r="S117" s="4">
        <f>Table223421023456[[#This Row],[REF]]-D$13</f>
        <v>1.5500001499999989</v>
      </c>
      <c r="T117" s="4">
        <f>ABS(Table223421023456[[#This Row],[lab-med]])</f>
        <v>1.5500001499999989</v>
      </c>
      <c r="U117" s="4">
        <f>Table223421023456[[#This Row],[Roger]]-F$13</f>
        <v>2.7125000000000004</v>
      </c>
      <c r="V117" s="4">
        <f>ABS(Table223421023456[[#This Row],[anl-med]])</f>
        <v>2.7125000000000004</v>
      </c>
      <c r="W117" s="4">
        <f>Table223421023456[[#This Row],[lab-med]]*Table223421023456[[#This Row],[anl-med]]</f>
        <v>4.2043754068749974</v>
      </c>
    </row>
    <row r="118" spans="2:23" x14ac:dyDescent="0.25">
      <c r="B118" s="46">
        <f ca="1">VALUE((Table223421023456[[#This Row],[Column3]]-62))</f>
        <v>56</v>
      </c>
      <c r="C118" t="s">
        <v>124</v>
      </c>
      <c r="D118">
        <v>10.0699997</v>
      </c>
      <c r="E118"/>
      <c r="F118">
        <v>9.6295000000000002</v>
      </c>
      <c r="G118" s="29">
        <f>Table223421023456[[#This Row],[Roger]]-Table223421023456[[#This Row],[REF]]</f>
        <v>-0.44049970000000016</v>
      </c>
      <c r="H118" s="29">
        <f>Table223421023456[[#This Row],[X-Y]]-E$20</f>
        <v>-0.99291471999999992</v>
      </c>
      <c r="I118" s="29">
        <f>Table223421023456[[#This Row],[Roger]]-E$20</f>
        <v>9.0770849800000004</v>
      </c>
      <c r="J118" s="29">
        <f>Table223421023456[[#This Row],[Roger]]*E$21+E$22</f>
        <v>10.154785511915067</v>
      </c>
      <c r="K118" s="56">
        <f>Table223421023456[[#This Row],[Yest]]-Table223421023456[[#This Row],[REF]]</f>
        <v>8.4785811915066844E-2</v>
      </c>
      <c r="L118" s="56">
        <f>ABS(Table223421023456[[#This Row],[RESyx]])</f>
        <v>8.4785811915066844E-2</v>
      </c>
      <c r="M118" s="29">
        <f>Table223421023456[[#This Row],[Roger]]*E$25+E$26</f>
        <v>9.7001506219289304</v>
      </c>
      <c r="N118" s="29">
        <f>Table223421023456[[#This Row],[X-Y]]^2</f>
        <v>0.19403998570009015</v>
      </c>
      <c r="O118" s="57">
        <f>Table223421023456[[#This Row],[yest_rect]]-Table223421023456[[#This Row],[REF]]</f>
        <v>-0.36984907807106993</v>
      </c>
      <c r="P118" s="57">
        <f>Table223421023456[[#This Row],[dif rec]]^2</f>
        <v>0.13678834055002037</v>
      </c>
      <c r="Q118" s="57">
        <f>ABS(Table223421023456[[#This Row],[diff-bias]])</f>
        <v>0.99291471999999992</v>
      </c>
      <c r="R118" s="57">
        <f ca="1">CELL("row",Table223421023456[[#This Row],[Position]])</f>
        <v>118</v>
      </c>
      <c r="S118" s="4">
        <f>Table223421023456[[#This Row],[REF]]-D$13</f>
        <v>-0.9400005500000006</v>
      </c>
      <c r="T118" s="4">
        <f>ABS(Table223421023456[[#This Row],[lab-med]])</f>
        <v>0.9400005500000006</v>
      </c>
      <c r="U118" s="4">
        <f>Table223421023456[[#This Row],[Roger]]-F$13</f>
        <v>-2.1519999999999992</v>
      </c>
      <c r="V118" s="4">
        <f>ABS(Table223421023456[[#This Row],[anl-med]])</f>
        <v>2.1519999999999992</v>
      </c>
      <c r="W118" s="4">
        <f>Table223421023456[[#This Row],[lab-med]]*Table223421023456[[#This Row],[anl-med]]</f>
        <v>2.0228811836000005</v>
      </c>
    </row>
    <row r="119" spans="2:23" x14ac:dyDescent="0.25">
      <c r="B119" s="46">
        <f ca="1">VALUE((Table223421023456[[#This Row],[Column3]]-62))</f>
        <v>57</v>
      </c>
      <c r="C119" t="s">
        <v>125</v>
      </c>
      <c r="D119">
        <v>9.9399996000000002</v>
      </c>
      <c r="E119"/>
      <c r="F119">
        <v>9.1734000000000009</v>
      </c>
      <c r="G119" s="29">
        <f>Table223421023456[[#This Row],[Roger]]-Table223421023456[[#This Row],[REF]]</f>
        <v>-0.76659959999999927</v>
      </c>
      <c r="H119" s="29">
        <f>Table223421023456[[#This Row],[X-Y]]-E$20</f>
        <v>-1.319014619999999</v>
      </c>
      <c r="I119" s="29">
        <f>Table223421023456[[#This Row],[Roger]]-E$20</f>
        <v>8.6209849800000011</v>
      </c>
      <c r="J119" s="29">
        <f>Table223421023456[[#This Row],[Roger]]*E$21+E$22</f>
        <v>9.9405353371753904</v>
      </c>
      <c r="K119" s="56">
        <f>Table223421023456[[#This Row],[Yest]]-Table223421023456[[#This Row],[REF]]</f>
        <v>5.3573717539023846E-4</v>
      </c>
      <c r="L119" s="56">
        <f>ABS(Table223421023456[[#This Row],[RESyx]])</f>
        <v>5.3573717539023846E-4</v>
      </c>
      <c r="M119" s="29">
        <f>Table223421023456[[#This Row],[Roger]]*E$25+E$26</f>
        <v>9.3838745453322634</v>
      </c>
      <c r="N119" s="29">
        <f>Table223421023456[[#This Row],[X-Y]]^2</f>
        <v>0.58767494672015885</v>
      </c>
      <c r="O119" s="57">
        <f>Table223421023456[[#This Row],[yest_rect]]-Table223421023456[[#This Row],[REF]]</f>
        <v>-0.55612505466773676</v>
      </c>
      <c r="P119" s="57">
        <f>Table223421023456[[#This Row],[dif rec]]^2</f>
        <v>0.30927507642919322</v>
      </c>
      <c r="Q119" s="57">
        <f>ABS(Table223421023456[[#This Row],[diff-bias]])</f>
        <v>1.319014619999999</v>
      </c>
      <c r="R119" s="57">
        <f ca="1">CELL("row",Table223421023456[[#This Row],[Position]])</f>
        <v>119</v>
      </c>
      <c r="S119" s="4">
        <f>Table223421023456[[#This Row],[REF]]-D$13</f>
        <v>-1.0700006500000008</v>
      </c>
      <c r="T119" s="4">
        <f>ABS(Table223421023456[[#This Row],[lab-med]])</f>
        <v>1.0700006500000008</v>
      </c>
      <c r="U119" s="4">
        <f>Table223421023456[[#This Row],[Roger]]-F$13</f>
        <v>-2.6080999999999985</v>
      </c>
      <c r="V119" s="4">
        <f>ABS(Table223421023456[[#This Row],[anl-med]])</f>
        <v>2.6080999999999985</v>
      </c>
      <c r="W119" s="4">
        <f>Table223421023456[[#This Row],[lab-med]]*Table223421023456[[#This Row],[anl-med]]</f>
        <v>2.7906686952650004</v>
      </c>
    </row>
    <row r="120" spans="2:23" x14ac:dyDescent="0.25">
      <c r="B120" s="46">
        <f ca="1">VALUE((Table223421023456[[#This Row],[Column3]]-62))</f>
        <v>58</v>
      </c>
      <c r="C120" t="s">
        <v>126</v>
      </c>
      <c r="D120">
        <v>10.2399998</v>
      </c>
      <c r="E120"/>
      <c r="F120">
        <v>9.1727000000000007</v>
      </c>
      <c r="G120" s="29">
        <f>Table223421023456[[#This Row],[Roger]]-Table223421023456[[#This Row],[REF]]</f>
        <v>-1.0672997999999989</v>
      </c>
      <c r="H120" s="29">
        <f>Table223421023456[[#This Row],[X-Y]]-E$20</f>
        <v>-1.6197148199999987</v>
      </c>
      <c r="I120" s="29">
        <f>Table223421023456[[#This Row],[Roger]]-E$20</f>
        <v>8.620284980000001</v>
      </c>
      <c r="J120" s="29">
        <f>Table223421023456[[#This Row],[Roger]]*E$21+E$22</f>
        <v>9.9402065164730935</v>
      </c>
      <c r="K120" s="56">
        <f>Table223421023456[[#This Row],[Yest]]-Table223421023456[[#This Row],[REF]]</f>
        <v>-0.29979328352690615</v>
      </c>
      <c r="L120" s="56">
        <f>ABS(Table223421023456[[#This Row],[RESyx]])</f>
        <v>0.29979328352690615</v>
      </c>
      <c r="M120" s="29">
        <f>Table223421023456[[#This Row],[Roger]]*E$25+E$26</f>
        <v>9.3833891402596521</v>
      </c>
      <c r="N120" s="29">
        <f>Table223421023456[[#This Row],[X-Y]]^2</f>
        <v>1.1391288630800376</v>
      </c>
      <c r="O120" s="57">
        <f>Table223421023456[[#This Row],[yest_rect]]-Table223421023456[[#This Row],[REF]]</f>
        <v>-0.85661065974034756</v>
      </c>
      <c r="P120" s="57">
        <f>Table223421023456[[#This Row],[dif rec]]^2</f>
        <v>0.73378182238079348</v>
      </c>
      <c r="Q120" s="57">
        <f>ABS(Table223421023456[[#This Row],[diff-bias]])</f>
        <v>1.6197148199999987</v>
      </c>
      <c r="R120" s="57">
        <f ca="1">CELL("row",Table223421023456[[#This Row],[Position]])</f>
        <v>120</v>
      </c>
      <c r="S120" s="4">
        <f>Table223421023456[[#This Row],[REF]]-D$13</f>
        <v>-0.77000045000000128</v>
      </c>
      <c r="T120" s="4">
        <f>ABS(Table223421023456[[#This Row],[lab-med]])</f>
        <v>0.77000045000000128</v>
      </c>
      <c r="U120" s="4">
        <f>Table223421023456[[#This Row],[Roger]]-F$13</f>
        <v>-2.6087999999999987</v>
      </c>
      <c r="V120" s="4">
        <f>ABS(Table223421023456[[#This Row],[anl-med]])</f>
        <v>2.6087999999999987</v>
      </c>
      <c r="W120" s="4">
        <f>Table223421023456[[#This Row],[lab-med]]*Table223421023456[[#This Row],[anl-med]]</f>
        <v>2.0087771739600022</v>
      </c>
    </row>
    <row r="121" spans="2:23" x14ac:dyDescent="0.25">
      <c r="B121" s="46">
        <f ca="1">VALUE((Table223421023456[[#This Row],[Column3]]-62))</f>
        <v>59</v>
      </c>
      <c r="C121" t="s">
        <v>127</v>
      </c>
      <c r="D121">
        <v>11.420000099999999</v>
      </c>
      <c r="E121"/>
      <c r="F121">
        <v>13.007</v>
      </c>
      <c r="G121" s="29">
        <f>Table223421023456[[#This Row],[Roger]]-Table223421023456[[#This Row],[REF]]</f>
        <v>1.5869999000000004</v>
      </c>
      <c r="H121" s="29">
        <f>Table223421023456[[#This Row],[X-Y]]-E$20</f>
        <v>1.0345848800000006</v>
      </c>
      <c r="I121" s="29">
        <f>Table223421023456[[#This Row],[Roger]]-E$20</f>
        <v>12.45458498</v>
      </c>
      <c r="J121" s="29">
        <f>Table223421023456[[#This Row],[Roger]]*E$21+E$22</f>
        <v>11.741345400499272</v>
      </c>
      <c r="K121" s="56">
        <f>Table223421023456[[#This Row],[Yest]]-Table223421023456[[#This Row],[REF]]</f>
        <v>0.32134530049927257</v>
      </c>
      <c r="L121" s="56">
        <f>ABS(Table223421023456[[#This Row],[RESyx]])</f>
        <v>0.32134530049927257</v>
      </c>
      <c r="M121" s="29">
        <f>Table223421023456[[#This Row],[Roger]]*E$25+E$26</f>
        <v>12.042230097274784</v>
      </c>
      <c r="N121" s="29">
        <f>Table223421023456[[#This Row],[X-Y]]^2</f>
        <v>2.5185686826000113</v>
      </c>
      <c r="O121" s="57">
        <f>Table223421023456[[#This Row],[yest_rect]]-Table223421023456[[#This Row],[REF]]</f>
        <v>0.62222999727478445</v>
      </c>
      <c r="P121" s="57">
        <f>Table223421023456[[#This Row],[dif rec]]^2</f>
        <v>0.38717016950857824</v>
      </c>
      <c r="Q121" s="57">
        <f>ABS(Table223421023456[[#This Row],[diff-bias]])</f>
        <v>1.0345848800000006</v>
      </c>
      <c r="R121" s="57">
        <f ca="1">CELL("row",Table223421023456[[#This Row],[Position]])</f>
        <v>121</v>
      </c>
      <c r="S121" s="4">
        <f>Table223421023456[[#This Row],[REF]]-D$13</f>
        <v>0.40999984999999839</v>
      </c>
      <c r="T121" s="4">
        <f>ABS(Table223421023456[[#This Row],[lab-med]])</f>
        <v>0.40999984999999839</v>
      </c>
      <c r="U121" s="4">
        <f>Table223421023456[[#This Row],[Roger]]-F$13</f>
        <v>1.2255000000000003</v>
      </c>
      <c r="V121" s="4">
        <f>ABS(Table223421023456[[#This Row],[anl-med]])</f>
        <v>1.2255000000000003</v>
      </c>
      <c r="W121" s="4">
        <f>Table223421023456[[#This Row],[lab-med]]*Table223421023456[[#This Row],[anl-med]]</f>
        <v>0.5024548161749981</v>
      </c>
    </row>
    <row r="122" spans="2:23" x14ac:dyDescent="0.25">
      <c r="B122" s="46">
        <f ca="1">VALUE((Table223421023456[[#This Row],[Column3]]-62))</f>
        <v>60</v>
      </c>
      <c r="C122" t="s">
        <v>128</v>
      </c>
      <c r="D122">
        <v>10.5</v>
      </c>
      <c r="E122"/>
      <c r="F122">
        <v>9.4025999999999996</v>
      </c>
      <c r="G122" s="29">
        <f>Table223421023456[[#This Row],[Roger]]-Table223421023456[[#This Row],[REF]]</f>
        <v>-1.0974000000000004</v>
      </c>
      <c r="H122" s="29">
        <f>Table223421023456[[#This Row],[X-Y]]-E$20</f>
        <v>-1.6498150200000001</v>
      </c>
      <c r="I122" s="29">
        <f>Table223421023456[[#This Row],[Roger]]-E$20</f>
        <v>8.8501849799999999</v>
      </c>
      <c r="J122" s="29">
        <f>Table223421023456[[#This Row],[Roger]]*E$21+E$22</f>
        <v>10.048200629984716</v>
      </c>
      <c r="K122" s="56">
        <f>Table223421023456[[#This Row],[Yest]]-Table223421023456[[#This Row],[REF]]</f>
        <v>-0.45179937001528359</v>
      </c>
      <c r="L122" s="56">
        <f>ABS(Table223421023456[[#This Row],[RESyx]])</f>
        <v>0.45179937001528359</v>
      </c>
      <c r="M122" s="29">
        <f>Table223421023456[[#This Row],[Roger]]*E$25+E$26</f>
        <v>9.542810034821315</v>
      </c>
      <c r="N122" s="29">
        <f>Table223421023456[[#This Row],[X-Y]]^2</f>
        <v>1.2042867600000009</v>
      </c>
      <c r="O122" s="57">
        <f>Table223421023456[[#This Row],[yest_rect]]-Table223421023456[[#This Row],[REF]]</f>
        <v>-0.95718996517868504</v>
      </c>
      <c r="P122" s="57">
        <f>Table223421023456[[#This Row],[dif rec]]^2</f>
        <v>0.91621262943877224</v>
      </c>
      <c r="Q122" s="57">
        <f>ABS(Table223421023456[[#This Row],[diff-bias]])</f>
        <v>1.6498150200000001</v>
      </c>
      <c r="R122" s="57">
        <f ca="1">CELL("row",Table223421023456[[#This Row],[Position]])</f>
        <v>122</v>
      </c>
      <c r="S122" s="4">
        <f>Table223421023456[[#This Row],[REF]]-D$13</f>
        <v>-0.51000025000000093</v>
      </c>
      <c r="T122" s="4">
        <f>ABS(Table223421023456[[#This Row],[lab-med]])</f>
        <v>0.51000025000000093</v>
      </c>
      <c r="U122" s="4">
        <f>Table223421023456[[#This Row],[Roger]]-F$13</f>
        <v>-2.3788999999999998</v>
      </c>
      <c r="V122" s="4">
        <f>ABS(Table223421023456[[#This Row],[anl-med]])</f>
        <v>2.3788999999999998</v>
      </c>
      <c r="W122" s="4">
        <f>Table223421023456[[#This Row],[lab-med]]*Table223421023456[[#This Row],[anl-med]]</f>
        <v>1.2132395947250021</v>
      </c>
    </row>
    <row r="123" spans="2:23" x14ac:dyDescent="0.25">
      <c r="B123" s="46">
        <f ca="1">VALUE((Table223421023456[[#This Row],[Column3]]-62))</f>
        <v>61</v>
      </c>
      <c r="C123" t="s">
        <v>129</v>
      </c>
      <c r="D123">
        <v>13.140000300000001</v>
      </c>
      <c r="E123"/>
      <c r="F123">
        <v>14.170999999999999</v>
      </c>
      <c r="G123" s="29">
        <f>Table223421023456[[#This Row],[Roger]]-Table223421023456[[#This Row],[REF]]</f>
        <v>1.0309996999999989</v>
      </c>
      <c r="H123" s="29">
        <f>Table223421023456[[#This Row],[X-Y]]-E$20</f>
        <v>0.4785846799999991</v>
      </c>
      <c r="I123" s="29">
        <f>Table223421023456[[#This Row],[Roger]]-E$20</f>
        <v>13.61858498</v>
      </c>
      <c r="J123" s="29">
        <f>Table223421023456[[#This Row],[Roger]]*E$21+E$22</f>
        <v>12.288127254033547</v>
      </c>
      <c r="K123" s="56">
        <f>Table223421023456[[#This Row],[Yest]]-Table223421023456[[#This Row],[REF]]</f>
        <v>-0.85187304596645319</v>
      </c>
      <c r="L123" s="56">
        <f>ABS(Table223421023456[[#This Row],[RESyx]])</f>
        <v>0.85187304596645319</v>
      </c>
      <c r="M123" s="29">
        <f>Table223421023456[[#This Row],[Roger]]*E$25+E$26</f>
        <v>12.84938938944431</v>
      </c>
      <c r="N123" s="29">
        <f>Table223421023456[[#This Row],[X-Y]]^2</f>
        <v>1.0629603814000876</v>
      </c>
      <c r="O123" s="57">
        <f>Table223421023456[[#This Row],[yest_rect]]-Table223421023456[[#This Row],[REF]]</f>
        <v>-0.29061091055569044</v>
      </c>
      <c r="P123" s="57">
        <f>Table223421023456[[#This Row],[dif rec]]^2</f>
        <v>8.4454701334007509E-2</v>
      </c>
      <c r="Q123" s="57">
        <f>ABS(Table223421023456[[#This Row],[diff-bias]])</f>
        <v>0.4785846799999991</v>
      </c>
      <c r="R123" s="57">
        <f ca="1">CELL("row",Table223421023456[[#This Row],[Position]])</f>
        <v>123</v>
      </c>
      <c r="S123" s="4">
        <f>Table223421023456[[#This Row],[REF]]-D$13</f>
        <v>2.1300000499999996</v>
      </c>
      <c r="T123" s="4">
        <f>ABS(Table223421023456[[#This Row],[lab-med]])</f>
        <v>2.1300000499999996</v>
      </c>
      <c r="U123" s="4">
        <f>Table223421023456[[#This Row],[Roger]]-F$13</f>
        <v>2.3895</v>
      </c>
      <c r="V123" s="4">
        <f>ABS(Table223421023456[[#This Row],[anl-med]])</f>
        <v>2.3895</v>
      </c>
      <c r="W123" s="4">
        <f>Table223421023456[[#This Row],[lab-med]]*Table223421023456[[#This Row],[anl-med]]</f>
        <v>5.0896351194749991</v>
      </c>
    </row>
    <row r="124" spans="2:23" x14ac:dyDescent="0.25">
      <c r="B124" s="46">
        <f ca="1">VALUE((Table223421023456[[#This Row],[Column3]]-62))</f>
        <v>62</v>
      </c>
      <c r="C124" t="s">
        <v>130</v>
      </c>
      <c r="D124">
        <v>11.699999800000001</v>
      </c>
      <c r="E124"/>
      <c r="F124">
        <v>11.164999999999999</v>
      </c>
      <c r="G124" s="29">
        <f>Table223421023456[[#This Row],[Roger]]-Table223421023456[[#This Row],[REF]]</f>
        <v>-0.53499980000000136</v>
      </c>
      <c r="H124" s="29">
        <f>Table223421023456[[#This Row],[X-Y]]-E$20</f>
        <v>-1.0874148200000011</v>
      </c>
      <c r="I124" s="29">
        <f>Table223421023456[[#This Row],[Roger]]-E$20</f>
        <v>10.612584979999999</v>
      </c>
      <c r="J124" s="29">
        <f>Table223421023456[[#This Row],[Roger]]*E$21+E$22</f>
        <v>10.876077209597094</v>
      </c>
      <c r="K124" s="56">
        <f>Table223421023456[[#This Row],[Yest]]-Table223421023456[[#This Row],[REF]]</f>
        <v>-0.82392259040290661</v>
      </c>
      <c r="L124" s="56">
        <f>ABS(Table223421023456[[#This Row],[RESyx]])</f>
        <v>0.82392259040290661</v>
      </c>
      <c r="M124" s="29">
        <f>Table223421023456[[#This Row],[Roger]]*E$25+E$26</f>
        <v>10.764921320491048</v>
      </c>
      <c r="N124" s="29">
        <f>Table223421023456[[#This Row],[X-Y]]^2</f>
        <v>0.28622478600004148</v>
      </c>
      <c r="O124" s="57">
        <f>Table223421023456[[#This Row],[yest_rect]]-Table223421023456[[#This Row],[REF]]</f>
        <v>-0.9350784795089524</v>
      </c>
      <c r="P124" s="57">
        <f>Table223421023456[[#This Row],[dif rec]]^2</f>
        <v>0.87437176284077434</v>
      </c>
      <c r="Q124" s="57">
        <f>ABS(Table223421023456[[#This Row],[diff-bias]])</f>
        <v>1.0874148200000011</v>
      </c>
      <c r="R124" s="57">
        <f ca="1">CELL("row",Table223421023456[[#This Row],[Position]])</f>
        <v>124</v>
      </c>
      <c r="S124" s="4">
        <f>Table223421023456[[#This Row],[REF]]-D$13</f>
        <v>0.68999954999999957</v>
      </c>
      <c r="T124" s="4">
        <f>ABS(Table223421023456[[#This Row],[lab-med]])</f>
        <v>0.68999954999999957</v>
      </c>
      <c r="U124" s="4">
        <f>Table223421023456[[#This Row],[Roger]]-F$13</f>
        <v>-0.61650000000000027</v>
      </c>
      <c r="V124" s="4">
        <f>ABS(Table223421023456[[#This Row],[anl-med]])</f>
        <v>0.61650000000000027</v>
      </c>
      <c r="W124" s="4">
        <f>Table223421023456[[#This Row],[lab-med]]*Table223421023456[[#This Row],[anl-med]]</f>
        <v>-0.42538472257499993</v>
      </c>
    </row>
    <row r="125" spans="2:23" x14ac:dyDescent="0.25">
      <c r="B125" s="46">
        <f ca="1">VALUE((Table223421023456[[#This Row],[Column3]]-62))</f>
        <v>63</v>
      </c>
      <c r="C125" t="s">
        <v>131</v>
      </c>
      <c r="D125">
        <v>10.3800001</v>
      </c>
      <c r="E125"/>
      <c r="F125">
        <v>12.074999999999999</v>
      </c>
      <c r="G125" s="29">
        <f>Table223421023456[[#This Row],[Roger]]-Table223421023456[[#This Row],[REF]]</f>
        <v>1.6949998999999991</v>
      </c>
      <c r="H125" s="29">
        <f>Table223421023456[[#This Row],[X-Y]]-E$20</f>
        <v>1.1425848799999994</v>
      </c>
      <c r="I125" s="29">
        <f>Table223421023456[[#This Row],[Roger]]-E$20</f>
        <v>11.52258498</v>
      </c>
      <c r="J125" s="29">
        <f>Table223421023456[[#This Row],[Roger]]*E$21+E$22</f>
        <v>11.303544122583512</v>
      </c>
      <c r="K125" s="56">
        <f>Table223421023456[[#This Row],[Yest]]-Table223421023456[[#This Row],[REF]]</f>
        <v>0.92354402258351165</v>
      </c>
      <c r="L125" s="56">
        <f>ABS(Table223421023456[[#This Row],[RESyx]])</f>
        <v>0.92354402258351165</v>
      </c>
      <c r="M125" s="29">
        <f>Table223421023456[[#This Row],[Roger]]*E$25+E$26</f>
        <v>11.395947914884751</v>
      </c>
      <c r="N125" s="29">
        <f>Table223421023456[[#This Row],[X-Y]]^2</f>
        <v>2.8730246610000072</v>
      </c>
      <c r="O125" s="57">
        <f>Table223421023456[[#This Row],[yest_rect]]-Table223421023456[[#This Row],[REF]]</f>
        <v>1.0159478148847505</v>
      </c>
      <c r="P125" s="57">
        <f>Table223421023456[[#This Row],[dif rec]]^2</f>
        <v>1.0321499625690993</v>
      </c>
      <c r="Q125" s="57">
        <f>ABS(Table223421023456[[#This Row],[diff-bias]])</f>
        <v>1.1425848799999994</v>
      </c>
      <c r="R125" s="57">
        <f ca="1">CELL("row",Table223421023456[[#This Row],[Position]])</f>
        <v>125</v>
      </c>
      <c r="S125" s="4">
        <f>Table223421023456[[#This Row],[REF]]-D$13</f>
        <v>-0.63000015000000076</v>
      </c>
      <c r="T125" s="4">
        <f>ABS(Table223421023456[[#This Row],[lab-med]])</f>
        <v>0.63000015000000076</v>
      </c>
      <c r="U125" s="4">
        <f>Table223421023456[[#This Row],[Roger]]-F$13</f>
        <v>0.29349999999999987</v>
      </c>
      <c r="V125" s="4">
        <f>ABS(Table223421023456[[#This Row],[anl-med]])</f>
        <v>0.29349999999999987</v>
      </c>
      <c r="W125" s="4">
        <f>Table223421023456[[#This Row],[lab-med]]*Table223421023456[[#This Row],[anl-med]]</f>
        <v>-0.18490504402500013</v>
      </c>
    </row>
    <row r="126" spans="2:23" x14ac:dyDescent="0.25">
      <c r="B126" s="46">
        <f ca="1">VALUE((Table223421023456[[#This Row],[Column3]]-62))</f>
        <v>64</v>
      </c>
      <c r="C126" t="s">
        <v>132</v>
      </c>
      <c r="D126">
        <v>13.350000400000001</v>
      </c>
      <c r="E126"/>
      <c r="F126">
        <v>12.359</v>
      </c>
      <c r="G126" s="29">
        <f>Table223421023456[[#This Row],[Roger]]-Table223421023456[[#This Row],[REF]]</f>
        <v>-0.99100040000000078</v>
      </c>
      <c r="H126" s="29">
        <f>Table223421023456[[#This Row],[X-Y]]-E$20</f>
        <v>-1.5434154200000005</v>
      </c>
      <c r="I126" s="29">
        <f>Table223421023456[[#This Row],[Roger]]-E$20</f>
        <v>11.80658498</v>
      </c>
      <c r="J126" s="29">
        <f>Table223421023456[[#This Row],[Roger]]*E$21+E$22</f>
        <v>11.436951378944109</v>
      </c>
      <c r="K126" s="56">
        <f>Table223421023456[[#This Row],[Yest]]-Table223421023456[[#This Row],[REF]]</f>
        <v>-1.9130490210558921</v>
      </c>
      <c r="L126" s="56">
        <f>ABS(Table223421023456[[#This Row],[RESyx]])</f>
        <v>1.9130490210558921</v>
      </c>
      <c r="M126" s="29">
        <f>Table223421023456[[#This Row],[Roger]]*E$25+E$26</f>
        <v>11.592883687201027</v>
      </c>
      <c r="N126" s="29">
        <f>Table223421023456[[#This Row],[X-Y]]^2</f>
        <v>0.9820817928001615</v>
      </c>
      <c r="O126" s="57">
        <f>Table223421023456[[#This Row],[yest_rect]]-Table223421023456[[#This Row],[REF]]</f>
        <v>-1.7571167127989735</v>
      </c>
      <c r="P126" s="57">
        <f>Table223421023456[[#This Row],[dif rec]]^2</f>
        <v>3.0874591423974702</v>
      </c>
      <c r="Q126" s="57">
        <f>ABS(Table223421023456[[#This Row],[diff-bias]])</f>
        <v>1.5434154200000005</v>
      </c>
      <c r="R126" s="57">
        <f ca="1">CELL("row",Table223421023456[[#This Row],[Position]])</f>
        <v>126</v>
      </c>
      <c r="S126" s="4">
        <f>Table223421023456[[#This Row],[REF]]-D$13</f>
        <v>2.3400001499999998</v>
      </c>
      <c r="T126" s="4">
        <f>ABS(Table223421023456[[#This Row],[lab-med]])</f>
        <v>2.3400001499999998</v>
      </c>
      <c r="U126" s="4">
        <f>Table223421023456[[#This Row],[Roger]]-F$13</f>
        <v>0.57750000000000057</v>
      </c>
      <c r="V126" s="4">
        <f>ABS(Table223421023456[[#This Row],[anl-med]])</f>
        <v>0.57750000000000057</v>
      </c>
      <c r="W126" s="4">
        <f>Table223421023456[[#This Row],[lab-med]]*Table223421023456[[#This Row],[anl-med]]</f>
        <v>1.3513500866250012</v>
      </c>
    </row>
    <row r="127" spans="2:23" x14ac:dyDescent="0.25">
      <c r="B127" s="46">
        <f ca="1">VALUE((Table223421023456[[#This Row],[Column3]]-62))</f>
        <v>65</v>
      </c>
      <c r="C127" t="s">
        <v>133</v>
      </c>
      <c r="D127">
        <v>12.6599998</v>
      </c>
      <c r="E127"/>
      <c r="F127">
        <v>13.492000000000001</v>
      </c>
      <c r="G127" s="29">
        <f>Table223421023456[[#This Row],[Roger]]-Table223421023456[[#This Row],[REF]]</f>
        <v>0.8320002000000013</v>
      </c>
      <c r="H127" s="29">
        <f>Table223421023456[[#This Row],[X-Y]]-E$20</f>
        <v>0.27958518000000154</v>
      </c>
      <c r="I127" s="29">
        <f>Table223421023456[[#This Row],[Roger]]-E$20</f>
        <v>12.939584980000001</v>
      </c>
      <c r="J127" s="29">
        <f>Table223421023456[[#This Row],[Roger]]*E$21+E$22</f>
        <v>11.96917117280522</v>
      </c>
      <c r="K127" s="56">
        <f>Table223421023456[[#This Row],[Yest]]-Table223421023456[[#This Row],[REF]]</f>
        <v>-0.69082862719477944</v>
      </c>
      <c r="L127" s="56">
        <f>ABS(Table223421023456[[#This Row],[RESyx]])</f>
        <v>0.69082862719477944</v>
      </c>
      <c r="M127" s="29">
        <f>Table223421023456[[#This Row],[Roger]]*E$25+E$26</f>
        <v>12.378546469012088</v>
      </c>
      <c r="N127" s="29">
        <f>Table223421023456[[#This Row],[X-Y]]^2</f>
        <v>0.69222433280004214</v>
      </c>
      <c r="O127" s="57">
        <f>Table223421023456[[#This Row],[yest_rect]]-Table223421023456[[#This Row],[REF]]</f>
        <v>-0.2814533309879117</v>
      </c>
      <c r="P127" s="57">
        <f>Table223421023456[[#This Row],[dif rec]]^2</f>
        <v>7.9215977524190975E-2</v>
      </c>
      <c r="Q127" s="57">
        <f>ABS(Table223421023456[[#This Row],[diff-bias]])</f>
        <v>0.27958518000000154</v>
      </c>
      <c r="R127" s="57">
        <f ca="1">CELL("row",Table223421023456[[#This Row],[Position]])</f>
        <v>127</v>
      </c>
      <c r="S127" s="4">
        <f>Table223421023456[[#This Row],[REF]]-D$13</f>
        <v>1.6499995499999986</v>
      </c>
      <c r="T127" s="4">
        <f>ABS(Table223421023456[[#This Row],[lab-med]])</f>
        <v>1.6499995499999986</v>
      </c>
      <c r="U127" s="4">
        <f>Table223421023456[[#This Row],[Roger]]-F$13</f>
        <v>1.7105000000000015</v>
      </c>
      <c r="V127" s="4">
        <f>ABS(Table223421023456[[#This Row],[anl-med]])</f>
        <v>1.7105000000000015</v>
      </c>
      <c r="W127" s="4">
        <f>Table223421023456[[#This Row],[lab-med]]*Table223421023456[[#This Row],[anl-med]]</f>
        <v>2.822324230275</v>
      </c>
    </row>
    <row r="128" spans="2:23" x14ac:dyDescent="0.25">
      <c r="B128" s="46">
        <f ca="1">VALUE((Table223421023456[[#This Row],[Column3]]-62))</f>
        <v>66</v>
      </c>
      <c r="C128" t="s">
        <v>134</v>
      </c>
      <c r="D128">
        <v>11.9899998</v>
      </c>
      <c r="E128"/>
      <c r="F128">
        <v>13.025</v>
      </c>
      <c r="G128" s="29">
        <f>Table223421023456[[#This Row],[Roger]]-Table223421023456[[#This Row],[REF]]</f>
        <v>1.0350002000000007</v>
      </c>
      <c r="H128" s="29">
        <f>Table223421023456[[#This Row],[X-Y]]-E$20</f>
        <v>0.48258518000000095</v>
      </c>
      <c r="I128" s="29">
        <f>Table223421023456[[#This Row],[Roger]]-E$20</f>
        <v>12.472584980000001</v>
      </c>
      <c r="J128" s="29">
        <f>Table223421023456[[#This Row],[Roger]]*E$21+E$22</f>
        <v>11.749800789986915</v>
      </c>
      <c r="K128" s="56">
        <f>Table223421023456[[#This Row],[Yest]]-Table223421023456[[#This Row],[REF]]</f>
        <v>-0.24019901001308419</v>
      </c>
      <c r="L128" s="56">
        <f>ABS(Table223421023456[[#This Row],[RESyx]])</f>
        <v>0.24019901001308419</v>
      </c>
      <c r="M128" s="29">
        <f>Table223421023456[[#This Row],[Roger]]*E$25+E$26</f>
        <v>12.054711941999056</v>
      </c>
      <c r="N128" s="29">
        <f>Table223421023456[[#This Row],[X-Y]]^2</f>
        <v>1.0712254140000415</v>
      </c>
      <c r="O128" s="57">
        <f>Table223421023456[[#This Row],[yest_rect]]-Table223421023456[[#This Row],[REF]]</f>
        <v>6.4712141999056172E-2</v>
      </c>
      <c r="P128" s="57">
        <f>Table223421023456[[#This Row],[dif rec]]^2</f>
        <v>4.1876613221060099E-3</v>
      </c>
      <c r="Q128" s="57">
        <f>ABS(Table223421023456[[#This Row],[diff-bias]])</f>
        <v>0.48258518000000095</v>
      </c>
      <c r="R128" s="57">
        <f ca="1">CELL("row",Table223421023456[[#This Row],[Position]])</f>
        <v>128</v>
      </c>
      <c r="S128" s="4">
        <f>Table223421023456[[#This Row],[REF]]-D$13</f>
        <v>0.97999954999999872</v>
      </c>
      <c r="T128" s="4">
        <f>ABS(Table223421023456[[#This Row],[lab-med]])</f>
        <v>0.97999954999999872</v>
      </c>
      <c r="U128" s="4">
        <f>Table223421023456[[#This Row],[Roger]]-F$13</f>
        <v>1.2435000000000009</v>
      </c>
      <c r="V128" s="4">
        <f>ABS(Table223421023456[[#This Row],[anl-med]])</f>
        <v>1.2435000000000009</v>
      </c>
      <c r="W128" s="4">
        <f>Table223421023456[[#This Row],[lab-med]]*Table223421023456[[#This Row],[anl-med]]</f>
        <v>1.2186294404249993</v>
      </c>
    </row>
    <row r="129" spans="2:23" x14ac:dyDescent="0.25">
      <c r="B129" s="46">
        <f ca="1">VALUE((Table223421023456[[#This Row],[Column3]]-62))</f>
        <v>67</v>
      </c>
      <c r="C129" t="s">
        <v>135</v>
      </c>
      <c r="D129">
        <v>12</v>
      </c>
      <c r="E129"/>
      <c r="F129">
        <v>13.596</v>
      </c>
      <c r="G129" s="29">
        <f>Table223421023456[[#This Row],[Roger]]-Table223421023456[[#This Row],[REF]]</f>
        <v>1.5960000000000001</v>
      </c>
      <c r="H129" s="29">
        <f>Table223421023456[[#This Row],[X-Y]]-E$20</f>
        <v>1.0435849800000003</v>
      </c>
      <c r="I129" s="29">
        <f>Table223421023456[[#This Row],[Roger]]-E$20</f>
        <v>13.04358498</v>
      </c>
      <c r="J129" s="29">
        <f>Table223421023456[[#This Row],[Roger]]*E$21+E$22</f>
        <v>12.018024534289381</v>
      </c>
      <c r="K129" s="56">
        <f>Table223421023456[[#This Row],[Yest]]-Table223421023456[[#This Row],[REF]]</f>
        <v>1.8024534289381222E-2</v>
      </c>
      <c r="L129" s="56">
        <f>ABS(Table223421023456[[#This Row],[RESyx]])</f>
        <v>1.8024534289381222E-2</v>
      </c>
      <c r="M129" s="29">
        <f>Table223421023456[[#This Row],[Roger]]*E$25+E$26</f>
        <v>12.450663794085653</v>
      </c>
      <c r="N129" s="29">
        <f>Table223421023456[[#This Row],[X-Y]]^2</f>
        <v>2.5472160000000001</v>
      </c>
      <c r="O129" s="57">
        <f>Table223421023456[[#This Row],[yest_rect]]-Table223421023456[[#This Row],[REF]]</f>
        <v>0.45066379408565282</v>
      </c>
      <c r="P129" s="57">
        <f>Table223421023456[[#This Row],[dif rec]]^2</f>
        <v>0.20309785529967569</v>
      </c>
      <c r="Q129" s="57">
        <f>ABS(Table223421023456[[#This Row],[diff-bias]])</f>
        <v>1.0435849800000003</v>
      </c>
      <c r="R129" s="57">
        <f ca="1">CELL("row",Table223421023456[[#This Row],[Position]])</f>
        <v>129</v>
      </c>
      <c r="S129" s="4">
        <f>Table223421023456[[#This Row],[REF]]-D$13</f>
        <v>0.98999974999999907</v>
      </c>
      <c r="T129" s="4">
        <f>ABS(Table223421023456[[#This Row],[lab-med]])</f>
        <v>0.98999974999999907</v>
      </c>
      <c r="U129" s="4">
        <f>Table223421023456[[#This Row],[Roger]]-F$13</f>
        <v>1.8145000000000007</v>
      </c>
      <c r="V129" s="4">
        <f>ABS(Table223421023456[[#This Row],[anl-med]])</f>
        <v>1.8145000000000007</v>
      </c>
      <c r="W129" s="4">
        <f>Table223421023456[[#This Row],[lab-med]]*Table223421023456[[#This Row],[anl-med]]</f>
        <v>1.796354546374999</v>
      </c>
    </row>
    <row r="130" spans="2:23" x14ac:dyDescent="0.25">
      <c r="B130" s="46">
        <f ca="1">VALUE((Table223421023456[[#This Row],[Column3]]-62))</f>
        <v>68</v>
      </c>
      <c r="C130" t="s">
        <v>136</v>
      </c>
      <c r="D130">
        <v>12</v>
      </c>
      <c r="E130"/>
      <c r="F130">
        <v>11.929</v>
      </c>
      <c r="G130" s="29">
        <f>Table223421023456[[#This Row],[Roger]]-Table223421023456[[#This Row],[REF]]</f>
        <v>-7.099999999999973E-2</v>
      </c>
      <c r="H130" s="29">
        <f>Table223421023456[[#This Row],[X-Y]]-E$20</f>
        <v>-0.62341501999999949</v>
      </c>
      <c r="I130" s="29">
        <f>Table223421023456[[#This Row],[Roger]]-E$20</f>
        <v>11.376584980000001</v>
      </c>
      <c r="J130" s="29">
        <f>Table223421023456[[#This Row],[Roger]]*E$21+E$22</f>
        <v>11.234961518961516</v>
      </c>
      <c r="K130" s="56">
        <f>Table223421023456[[#This Row],[Yest]]-Table223421023456[[#This Row],[REF]]</f>
        <v>-0.76503848103848426</v>
      </c>
      <c r="L130" s="56">
        <f>ABS(Table223421023456[[#This Row],[RESyx]])</f>
        <v>0.76503848103848426</v>
      </c>
      <c r="M130" s="29">
        <f>Table223421023456[[#This Row],[Roger]]*E$25+E$26</f>
        <v>11.294706285454554</v>
      </c>
      <c r="N130" s="29">
        <f>Table223421023456[[#This Row],[X-Y]]^2</f>
        <v>5.0409999999999613E-3</v>
      </c>
      <c r="O130" s="57">
        <f>Table223421023456[[#This Row],[yest_rect]]-Table223421023456[[#This Row],[REF]]</f>
        <v>-0.70529371454544609</v>
      </c>
      <c r="P130" s="57">
        <f>Table223421023456[[#This Row],[dif rec]]^2</f>
        <v>0.4974392237773132</v>
      </c>
      <c r="Q130" s="57">
        <f>ABS(Table223421023456[[#This Row],[diff-bias]])</f>
        <v>0.62341501999999949</v>
      </c>
      <c r="R130" s="57">
        <f ca="1">CELL("row",Table223421023456[[#This Row],[Position]])</f>
        <v>130</v>
      </c>
      <c r="S130" s="4">
        <f>Table223421023456[[#This Row],[REF]]-D$13</f>
        <v>0.98999974999999907</v>
      </c>
      <c r="T130" s="4">
        <f>ABS(Table223421023456[[#This Row],[lab-med]])</f>
        <v>0.98999974999999907</v>
      </c>
      <c r="U130" s="4">
        <f>Table223421023456[[#This Row],[Roger]]-F$13</f>
        <v>0.14750000000000085</v>
      </c>
      <c r="V130" s="4">
        <f>ABS(Table223421023456[[#This Row],[anl-med]])</f>
        <v>0.14750000000000085</v>
      </c>
      <c r="W130" s="4">
        <f>Table223421023456[[#This Row],[lab-med]]*Table223421023456[[#This Row],[anl-med]]</f>
        <v>0.14602496312500071</v>
      </c>
    </row>
    <row r="131" spans="2:23" x14ac:dyDescent="0.25">
      <c r="B131" s="46">
        <f ca="1">VALUE((Table223421023456[[#This Row],[Column3]]-62))</f>
        <v>69</v>
      </c>
      <c r="C131" t="s">
        <v>137</v>
      </c>
      <c r="D131">
        <v>13.1599998</v>
      </c>
      <c r="E131"/>
      <c r="F131">
        <v>13.8</v>
      </c>
      <c r="G131" s="29">
        <f>Table223421023456[[#This Row],[Roger]]-Table223421023456[[#This Row],[REF]]</f>
        <v>0.64000020000000113</v>
      </c>
      <c r="H131" s="29">
        <f>Table223421023456[[#This Row],[X-Y]]-E$20</f>
        <v>8.7585180000001372E-2</v>
      </c>
      <c r="I131" s="29">
        <f>Table223421023456[[#This Row],[Roger]]-E$20</f>
        <v>13.247584980000001</v>
      </c>
      <c r="J131" s="29">
        <f>Table223421023456[[#This Row],[Roger]]*E$21+E$22</f>
        <v>12.113852281816008</v>
      </c>
      <c r="K131" s="56">
        <f>Table223421023456[[#This Row],[Yest]]-Table223421023456[[#This Row],[REF]]</f>
        <v>-1.0461475181839912</v>
      </c>
      <c r="L131" s="56">
        <f>ABS(Table223421023456[[#This Row],[RESyx]])</f>
        <v>1.0461475181839912</v>
      </c>
      <c r="M131" s="29">
        <f>Table223421023456[[#This Row],[Roger]]*E$25+E$26</f>
        <v>12.592124700960724</v>
      </c>
      <c r="N131" s="29">
        <f>Table223421023456[[#This Row],[X-Y]]^2</f>
        <v>0.40960025600004146</v>
      </c>
      <c r="O131" s="57">
        <f>Table223421023456[[#This Row],[yest_rect]]-Table223421023456[[#This Row],[REF]]</f>
        <v>-0.56787509903927536</v>
      </c>
      <c r="P131" s="57">
        <f>Table223421023456[[#This Row],[dif rec]]^2</f>
        <v>0.32248212810886678</v>
      </c>
      <c r="Q131" s="57">
        <f>ABS(Table223421023456[[#This Row],[diff-bias]])</f>
        <v>8.7585180000001372E-2</v>
      </c>
      <c r="R131" s="57">
        <f ca="1">CELL("row",Table223421023456[[#This Row],[Position]])</f>
        <v>131</v>
      </c>
      <c r="S131" s="4">
        <f>Table223421023456[[#This Row],[REF]]-D$13</f>
        <v>2.1499995499999986</v>
      </c>
      <c r="T131" s="4">
        <f>ABS(Table223421023456[[#This Row],[lab-med]])</f>
        <v>2.1499995499999986</v>
      </c>
      <c r="U131" s="4">
        <f>Table223421023456[[#This Row],[Roger]]-F$13</f>
        <v>2.0185000000000013</v>
      </c>
      <c r="V131" s="4">
        <f>ABS(Table223421023456[[#This Row],[anl-med]])</f>
        <v>2.0185000000000013</v>
      </c>
      <c r="W131" s="4">
        <f>Table223421023456[[#This Row],[lab-med]]*Table223421023456[[#This Row],[anl-med]]</f>
        <v>4.3397740916750003</v>
      </c>
    </row>
    <row r="132" spans="2:23" x14ac:dyDescent="0.25">
      <c r="B132" s="46">
        <f ca="1">VALUE((Table223421023456[[#This Row],[Column3]]-62))</f>
        <v>70</v>
      </c>
      <c r="C132" t="s">
        <v>138</v>
      </c>
      <c r="D132">
        <v>12.170000099999999</v>
      </c>
      <c r="E132"/>
      <c r="F132">
        <v>11.558999999999999</v>
      </c>
      <c r="G132" s="29">
        <f>Table223421023456[[#This Row],[Roger]]-Table223421023456[[#This Row],[REF]]</f>
        <v>-0.61100010000000005</v>
      </c>
      <c r="H132" s="29">
        <f>Table223421023456[[#This Row],[X-Y]]-E$20</f>
        <v>-1.1634151199999998</v>
      </c>
      <c r="I132" s="29">
        <f>Table223421023456[[#This Row],[Roger]]-E$20</f>
        <v>11.00658498</v>
      </c>
      <c r="J132" s="29">
        <f>Table223421023456[[#This Row],[Roger]]*E$21+E$22</f>
        <v>11.0611562906044</v>
      </c>
      <c r="K132" s="56">
        <f>Table223421023456[[#This Row],[Yest]]-Table223421023456[[#This Row],[REF]]</f>
        <v>-1.1088438093955997</v>
      </c>
      <c r="L132" s="56">
        <f>ABS(Table223421023456[[#This Row],[RESyx]])</f>
        <v>1.1088438093955997</v>
      </c>
      <c r="M132" s="29">
        <f>Table223421023456[[#This Row],[Roger]]*E$25+E$26</f>
        <v>11.038135032788981</v>
      </c>
      <c r="N132" s="29">
        <f>Table223421023456[[#This Row],[X-Y]]^2</f>
        <v>0.37332112220001007</v>
      </c>
      <c r="O132" s="57">
        <f>Table223421023456[[#This Row],[yest_rect]]-Table223421023456[[#This Row],[REF]]</f>
        <v>-1.1318650672110184</v>
      </c>
      <c r="P132" s="57">
        <f>Table223421023456[[#This Row],[dif rec]]^2</f>
        <v>1.2811185303726034</v>
      </c>
      <c r="Q132" s="57">
        <f>ABS(Table223421023456[[#This Row],[diff-bias]])</f>
        <v>1.1634151199999998</v>
      </c>
      <c r="R132" s="57">
        <f ca="1">CELL("row",Table223421023456[[#This Row],[Position]])</f>
        <v>132</v>
      </c>
      <c r="S132" s="4">
        <f>Table223421023456[[#This Row],[REF]]-D$13</f>
        <v>1.1599998499999984</v>
      </c>
      <c r="T132" s="4">
        <f>ABS(Table223421023456[[#This Row],[lab-med]])</f>
        <v>1.1599998499999984</v>
      </c>
      <c r="U132" s="4">
        <f>Table223421023456[[#This Row],[Roger]]-F$13</f>
        <v>-0.22250000000000014</v>
      </c>
      <c r="V132" s="4">
        <f>ABS(Table223421023456[[#This Row],[anl-med]])</f>
        <v>0.22250000000000014</v>
      </c>
      <c r="W132" s="4">
        <f>Table223421023456[[#This Row],[lab-med]]*Table223421023456[[#This Row],[anl-med]]</f>
        <v>-0.25809996662499979</v>
      </c>
    </row>
    <row r="133" spans="2:23" x14ac:dyDescent="0.25">
      <c r="B133" s="46">
        <f ca="1">VALUE((Table223421023456[[#This Row],[Column3]]-62))</f>
        <v>71</v>
      </c>
      <c r="C133" t="s">
        <v>139</v>
      </c>
      <c r="D133">
        <v>10.970000300000001</v>
      </c>
      <c r="E133"/>
      <c r="F133">
        <v>12.736000000000001</v>
      </c>
      <c r="G133" s="29">
        <f>Table223421023456[[#This Row],[Roger]]-Table223421023456[[#This Row],[REF]]</f>
        <v>1.7659997000000001</v>
      </c>
      <c r="H133" s="29">
        <f>Table223421023456[[#This Row],[X-Y]]-E$20</f>
        <v>1.2135846800000003</v>
      </c>
      <c r="I133" s="29">
        <f>Table223421023456[[#This Row],[Roger]]-E$20</f>
        <v>12.183584980000001</v>
      </c>
      <c r="J133" s="29">
        <f>Table223421023456[[#This Row],[Roger]]*E$21+E$22</f>
        <v>11.614044814324195</v>
      </c>
      <c r="K133" s="56">
        <f>Table223421023456[[#This Row],[Yest]]-Table223421023456[[#This Row],[REF]]</f>
        <v>0.64404451432419485</v>
      </c>
      <c r="L133" s="56">
        <f>ABS(Table223421023456[[#This Row],[RESyx]])</f>
        <v>0.64404451432419485</v>
      </c>
      <c r="M133" s="29">
        <f>Table223421023456[[#This Row],[Roger]]*E$25+E$26</f>
        <v>11.854308990592704</v>
      </c>
      <c r="N133" s="29">
        <f>Table223421023456[[#This Row],[X-Y]]^2</f>
        <v>3.1187549404000903</v>
      </c>
      <c r="O133" s="57">
        <f>Table223421023456[[#This Row],[yest_rect]]-Table223421023456[[#This Row],[REF]]</f>
        <v>0.88430869059270378</v>
      </c>
      <c r="P133" s="57">
        <f>Table223421023456[[#This Row],[dif rec]]^2</f>
        <v>0.78200186025778229</v>
      </c>
      <c r="Q133" s="57">
        <f>ABS(Table223421023456[[#This Row],[diff-bias]])</f>
        <v>1.2135846800000003</v>
      </c>
      <c r="R133" s="57">
        <f ca="1">CELL("row",Table223421023456[[#This Row],[Position]])</f>
        <v>133</v>
      </c>
      <c r="S133" s="4">
        <f>Table223421023456[[#This Row],[REF]]-D$13</f>
        <v>-3.9999950000000339E-2</v>
      </c>
      <c r="T133" s="4">
        <f>ABS(Table223421023456[[#This Row],[lab-med]])</f>
        <v>3.9999950000000339E-2</v>
      </c>
      <c r="U133" s="4">
        <f>Table223421023456[[#This Row],[Roger]]-F$13</f>
        <v>0.95450000000000124</v>
      </c>
      <c r="V133" s="4">
        <f>ABS(Table223421023456[[#This Row],[anl-med]])</f>
        <v>0.95450000000000124</v>
      </c>
      <c r="W133" s="4">
        <f>Table223421023456[[#This Row],[lab-med]]*Table223421023456[[#This Row],[anl-med]]</f>
        <v>-3.8179952275000373E-2</v>
      </c>
    </row>
    <row r="134" spans="2:23" x14ac:dyDescent="0.25">
      <c r="B134" s="46">
        <f ca="1">VALUE((Table223421023456[[#This Row],[Column3]]-62))</f>
        <v>72</v>
      </c>
      <c r="C134" t="s">
        <v>140</v>
      </c>
      <c r="D134">
        <v>12.2600002</v>
      </c>
      <c r="E134"/>
      <c r="F134">
        <v>14.246</v>
      </c>
      <c r="G134" s="29">
        <f>Table223421023456[[#This Row],[Roger]]-Table223421023456[[#This Row],[REF]]</f>
        <v>1.9859998000000001</v>
      </c>
      <c r="H134" s="29">
        <f>Table223421023456[[#This Row],[X-Y]]-E$20</f>
        <v>1.4335847800000003</v>
      </c>
      <c r="I134" s="29">
        <f>Table223421023456[[#This Row],[Roger]]-E$20</f>
        <v>13.693584980000001</v>
      </c>
      <c r="J134" s="29">
        <f>Table223421023456[[#This Row],[Roger]]*E$21+E$22</f>
        <v>12.323358043565396</v>
      </c>
      <c r="K134" s="56">
        <f>Table223421023456[[#This Row],[Yest]]-Table223421023456[[#This Row],[REF]]</f>
        <v>6.33578435653952E-2</v>
      </c>
      <c r="L134" s="56">
        <f>ABS(Table223421023456[[#This Row],[RESyx]])</f>
        <v>6.33578435653952E-2</v>
      </c>
      <c r="M134" s="29">
        <f>Table223421023456[[#This Row],[Roger]]*E$25+E$26</f>
        <v>12.90139707579544</v>
      </c>
      <c r="N134" s="29">
        <f>Table223421023456[[#This Row],[X-Y]]^2</f>
        <v>3.9441952056000402</v>
      </c>
      <c r="O134" s="57">
        <f>Table223421023456[[#This Row],[yest_rect]]-Table223421023456[[#This Row],[REF]]</f>
        <v>0.64139687579544002</v>
      </c>
      <c r="P134" s="57">
        <f>Table223421023456[[#This Row],[dif rec]]^2</f>
        <v>0.41138995228015113</v>
      </c>
      <c r="Q134" s="57">
        <f>ABS(Table223421023456[[#This Row],[diff-bias]])</f>
        <v>1.4335847800000003</v>
      </c>
      <c r="R134" s="57">
        <f ca="1">CELL("row",Table223421023456[[#This Row],[Position]])</f>
        <v>134</v>
      </c>
      <c r="S134" s="4">
        <f>Table223421023456[[#This Row],[REF]]-D$13</f>
        <v>1.2499999499999994</v>
      </c>
      <c r="T134" s="4">
        <f>ABS(Table223421023456[[#This Row],[lab-med]])</f>
        <v>1.2499999499999994</v>
      </c>
      <c r="U134" s="4">
        <f>Table223421023456[[#This Row],[Roger]]-F$13</f>
        <v>2.464500000000001</v>
      </c>
      <c r="V134" s="4">
        <f>ABS(Table223421023456[[#This Row],[anl-med]])</f>
        <v>2.464500000000001</v>
      </c>
      <c r="W134" s="4">
        <f>Table223421023456[[#This Row],[lab-med]]*Table223421023456[[#This Row],[anl-med]]</f>
        <v>3.080624876775</v>
      </c>
    </row>
    <row r="135" spans="2:23" x14ac:dyDescent="0.25">
      <c r="B135" s="46">
        <f ca="1">VALUE((Table223421023456[[#This Row],[Column3]]-62))</f>
        <v>73</v>
      </c>
      <c r="C135" t="s">
        <v>141</v>
      </c>
      <c r="D135">
        <v>13.029999699999999</v>
      </c>
      <c r="E135"/>
      <c r="F135">
        <v>13.307</v>
      </c>
      <c r="G135" s="29">
        <f>Table223421023456[[#This Row],[Roger]]-Table223421023456[[#This Row],[REF]]</f>
        <v>0.27700030000000098</v>
      </c>
      <c r="H135" s="29">
        <f>Table223421023456[[#This Row],[X-Y]]-E$20</f>
        <v>-0.27541471999999878</v>
      </c>
      <c r="I135" s="29">
        <f>Table223421023456[[#This Row],[Roger]]-E$20</f>
        <v>12.754584980000001</v>
      </c>
      <c r="J135" s="29">
        <f>Table223421023456[[#This Row],[Roger]]*E$21+E$22</f>
        <v>11.882268558626663</v>
      </c>
      <c r="K135" s="56">
        <f>Table223421023456[[#This Row],[Yest]]-Table223421023456[[#This Row],[REF]]</f>
        <v>-1.1477311413733364</v>
      </c>
      <c r="L135" s="56">
        <f>ABS(Table223421023456[[#This Row],[RESyx]])</f>
        <v>1.1477311413733364</v>
      </c>
      <c r="M135" s="29">
        <f>Table223421023456[[#This Row],[Roger]]*E$25+E$26</f>
        <v>12.250260842679301</v>
      </c>
      <c r="N135" s="29">
        <f>Table223421023456[[#This Row],[X-Y]]^2</f>
        <v>7.6729166200090543E-2</v>
      </c>
      <c r="O135" s="57">
        <f>Table223421023456[[#This Row],[yest_rect]]-Table223421023456[[#This Row],[REF]]</f>
        <v>-0.77973885732069803</v>
      </c>
      <c r="P135" s="57">
        <f>Table223421023456[[#This Row],[dif rec]]^2</f>
        <v>0.6079926856157879</v>
      </c>
      <c r="Q135" s="57">
        <f>ABS(Table223421023456[[#This Row],[diff-bias]])</f>
        <v>0.27541471999999878</v>
      </c>
      <c r="R135" s="57">
        <f ca="1">CELL("row",Table223421023456[[#This Row],[Position]])</f>
        <v>135</v>
      </c>
      <c r="S135" s="4">
        <f>Table223421023456[[#This Row],[REF]]-D$13</f>
        <v>2.0199994499999985</v>
      </c>
      <c r="T135" s="4">
        <f>ABS(Table223421023456[[#This Row],[lab-med]])</f>
        <v>2.0199994499999985</v>
      </c>
      <c r="U135" s="4">
        <f>Table223421023456[[#This Row],[Roger]]-F$13</f>
        <v>1.525500000000001</v>
      </c>
      <c r="V135" s="4">
        <f>ABS(Table223421023456[[#This Row],[anl-med]])</f>
        <v>1.525500000000001</v>
      </c>
      <c r="W135" s="4">
        <f>Table223421023456[[#This Row],[lab-med]]*Table223421023456[[#This Row],[anl-med]]</f>
        <v>3.0815091609749996</v>
      </c>
    </row>
    <row r="136" spans="2:23" x14ac:dyDescent="0.25">
      <c r="B136" s="46">
        <f ca="1">VALUE((Table223421023456[[#This Row],[Column3]]-62))</f>
        <v>74</v>
      </c>
      <c r="C136" t="s">
        <v>142</v>
      </c>
      <c r="D136">
        <v>12.359999699999999</v>
      </c>
      <c r="E136"/>
      <c r="F136">
        <v>13.359</v>
      </c>
      <c r="G136" s="29">
        <f>Table223421023456[[#This Row],[Roger]]-Table223421023456[[#This Row],[REF]]</f>
        <v>0.99900030000000051</v>
      </c>
      <c r="H136" s="29">
        <f>Table223421023456[[#This Row],[X-Y]]-E$20</f>
        <v>0.44658528000000075</v>
      </c>
      <c r="I136" s="29">
        <f>Table223421023456[[#This Row],[Roger]]-E$20</f>
        <v>12.80658498</v>
      </c>
      <c r="J136" s="29">
        <f>Table223421023456[[#This Row],[Roger]]*E$21+E$22</f>
        <v>11.906695239368744</v>
      </c>
      <c r="K136" s="56">
        <f>Table223421023456[[#This Row],[Yest]]-Table223421023456[[#This Row],[REF]]</f>
        <v>-0.45330446063125507</v>
      </c>
      <c r="L136" s="56">
        <f>ABS(Table223421023456[[#This Row],[RESyx]])</f>
        <v>0.45330446063125507</v>
      </c>
      <c r="M136" s="29">
        <f>Table223421023456[[#This Row],[Roger]]*E$25+E$26</f>
        <v>12.286319505216085</v>
      </c>
      <c r="N136" s="29">
        <f>Table223421023456[[#This Row],[X-Y]]^2</f>
        <v>0.99800159940009103</v>
      </c>
      <c r="O136" s="57">
        <f>Table223421023456[[#This Row],[yest_rect]]-Table223421023456[[#This Row],[REF]]</f>
        <v>-7.3680194783914743E-2</v>
      </c>
      <c r="P136" s="57">
        <f>Table223421023456[[#This Row],[dif rec]]^2</f>
        <v>5.4287711033956174E-3</v>
      </c>
      <c r="Q136" s="57">
        <f>ABS(Table223421023456[[#This Row],[diff-bias]])</f>
        <v>0.44658528000000075</v>
      </c>
      <c r="R136" s="57">
        <f ca="1">CELL("row",Table223421023456[[#This Row],[Position]])</f>
        <v>136</v>
      </c>
      <c r="S136" s="4">
        <f>Table223421023456[[#This Row],[REF]]-D$13</f>
        <v>1.3499994499999985</v>
      </c>
      <c r="T136" s="4">
        <f>ABS(Table223421023456[[#This Row],[lab-med]])</f>
        <v>1.3499994499999985</v>
      </c>
      <c r="U136" s="4">
        <f>Table223421023456[[#This Row],[Roger]]-F$13</f>
        <v>1.5775000000000006</v>
      </c>
      <c r="V136" s="4">
        <f>ABS(Table223421023456[[#This Row],[anl-med]])</f>
        <v>1.5775000000000006</v>
      </c>
      <c r="W136" s="4">
        <f>Table223421023456[[#This Row],[lab-med]]*Table223421023456[[#This Row],[anl-med]]</f>
        <v>2.1296241323749983</v>
      </c>
    </row>
    <row r="137" spans="2:23" x14ac:dyDescent="0.25">
      <c r="B137" s="46">
        <f ca="1">VALUE((Table223421023456[[#This Row],[Column3]]-62))</f>
        <v>75</v>
      </c>
      <c r="C137" t="s">
        <v>143</v>
      </c>
      <c r="D137">
        <v>12.399999599999999</v>
      </c>
      <c r="E137"/>
      <c r="F137">
        <v>14.613</v>
      </c>
      <c r="G137" s="29">
        <f>Table223421023456[[#This Row],[Roger]]-Table223421023456[[#This Row],[REF]]</f>
        <v>2.2130004000000003</v>
      </c>
      <c r="H137" s="29">
        <f>Table223421023456[[#This Row],[X-Y]]-E$20</f>
        <v>1.6605853800000006</v>
      </c>
      <c r="I137" s="29">
        <f>Table223421023456[[#This Row],[Roger]]-E$20</f>
        <v>14.06058498</v>
      </c>
      <c r="J137" s="29">
        <f>Table223421023456[[#This Row],[Roger]]*E$21+E$22</f>
        <v>12.495754040341236</v>
      </c>
      <c r="K137" s="56">
        <f>Table223421023456[[#This Row],[Yest]]-Table223421023456[[#This Row],[REF]]</f>
        <v>9.5754440341236702E-2</v>
      </c>
      <c r="L137" s="56">
        <f>ABS(Table223421023456[[#This Row],[RESyx]])</f>
        <v>9.5754440341236702E-2</v>
      </c>
      <c r="M137" s="29">
        <f>Table223421023456[[#This Row],[Roger]]*E$25+E$26</f>
        <v>13.155888021006964</v>
      </c>
      <c r="N137" s="29">
        <f>Table223421023456[[#This Row],[X-Y]]^2</f>
        <v>4.897370770400161</v>
      </c>
      <c r="O137" s="57">
        <f>Table223421023456[[#This Row],[yest_rect]]-Table223421023456[[#This Row],[REF]]</f>
        <v>0.75588842100696496</v>
      </c>
      <c r="P137" s="57">
        <f>Table223421023456[[#This Row],[dif rec]]^2</f>
        <v>0.57136730501240274</v>
      </c>
      <c r="Q137" s="57">
        <f>ABS(Table223421023456[[#This Row],[diff-bias]])</f>
        <v>1.6605853800000006</v>
      </c>
      <c r="R137" s="57">
        <f ca="1">CELL("row",Table223421023456[[#This Row],[Position]])</f>
        <v>137</v>
      </c>
      <c r="S137" s="4">
        <f>Table223421023456[[#This Row],[REF]]-D$13</f>
        <v>1.3899993499999983</v>
      </c>
      <c r="T137" s="4">
        <f>ABS(Table223421023456[[#This Row],[lab-med]])</f>
        <v>1.3899993499999983</v>
      </c>
      <c r="U137" s="4">
        <f>Table223421023456[[#This Row],[Roger]]-F$13</f>
        <v>2.8315000000000001</v>
      </c>
      <c r="V137" s="4">
        <f>ABS(Table223421023456[[#This Row],[anl-med]])</f>
        <v>2.8315000000000001</v>
      </c>
      <c r="W137" s="4">
        <f>Table223421023456[[#This Row],[lab-med]]*Table223421023456[[#This Row],[anl-med]]</f>
        <v>3.9357831595249952</v>
      </c>
    </row>
    <row r="138" spans="2:23" x14ac:dyDescent="0.25">
      <c r="B138" s="46">
        <f ca="1">VALUE((Table223421023456[[#This Row],[Column3]]-62))</f>
        <v>76</v>
      </c>
      <c r="C138" t="s">
        <v>144</v>
      </c>
      <c r="D138">
        <v>12.5</v>
      </c>
      <c r="E138"/>
      <c r="F138">
        <v>11.773</v>
      </c>
      <c r="G138" s="29">
        <f>Table223421023456[[#This Row],[Roger]]-Table223421023456[[#This Row],[REF]]</f>
        <v>-0.72700000000000031</v>
      </c>
      <c r="H138" s="29">
        <f>Table223421023456[[#This Row],[X-Y]]-E$20</f>
        <v>-1.2794150200000001</v>
      </c>
      <c r="I138" s="29">
        <f>Table223421023456[[#This Row],[Roger]]-E$20</f>
        <v>11.22058498</v>
      </c>
      <c r="J138" s="29">
        <f>Table223421023456[[#This Row],[Roger]]*E$21+E$22</f>
        <v>11.161681476735271</v>
      </c>
      <c r="K138" s="56">
        <f>Table223421023456[[#This Row],[Yest]]-Table223421023456[[#This Row],[REF]]</f>
        <v>-1.3383185232647286</v>
      </c>
      <c r="L138" s="56">
        <f>ABS(Table223421023456[[#This Row],[RESyx]])</f>
        <v>1.3383185232647286</v>
      </c>
      <c r="M138" s="29">
        <f>Table223421023456[[#This Row],[Roger]]*E$25+E$26</f>
        <v>11.186530297844204</v>
      </c>
      <c r="N138" s="29">
        <f>Table223421023456[[#This Row],[X-Y]]^2</f>
        <v>0.52852900000000047</v>
      </c>
      <c r="O138" s="57">
        <f>Table223421023456[[#This Row],[yest_rect]]-Table223421023456[[#This Row],[REF]]</f>
        <v>-1.3134697021557962</v>
      </c>
      <c r="P138" s="57">
        <f>Table223421023456[[#This Row],[dif rec]]^2</f>
        <v>1.7252026584812359</v>
      </c>
      <c r="Q138" s="57">
        <f>ABS(Table223421023456[[#This Row],[diff-bias]])</f>
        <v>1.2794150200000001</v>
      </c>
      <c r="R138" s="57">
        <f ca="1">CELL("row",Table223421023456[[#This Row],[Position]])</f>
        <v>138</v>
      </c>
      <c r="S138" s="4">
        <f>Table223421023456[[#This Row],[REF]]-D$13</f>
        <v>1.4899997499999991</v>
      </c>
      <c r="T138" s="4">
        <f>ABS(Table223421023456[[#This Row],[lab-med]])</f>
        <v>1.4899997499999991</v>
      </c>
      <c r="U138" s="4">
        <f>Table223421023456[[#This Row],[Roger]]-F$13</f>
        <v>-8.49999999999973E-3</v>
      </c>
      <c r="V138" s="4">
        <f>ABS(Table223421023456[[#This Row],[anl-med]])</f>
        <v>8.49999999999973E-3</v>
      </c>
      <c r="W138" s="4">
        <f>Table223421023456[[#This Row],[lab-med]]*Table223421023456[[#This Row],[anl-med]]</f>
        <v>-1.2664997874999589E-2</v>
      </c>
    </row>
    <row r="139" spans="2:23" x14ac:dyDescent="0.25">
      <c r="B139" s="46">
        <f ca="1">VALUE((Table223421023456[[#This Row],[Column3]]-62))</f>
        <v>77</v>
      </c>
      <c r="C139" t="s">
        <v>145</v>
      </c>
      <c r="D139">
        <v>12.600000400000001</v>
      </c>
      <c r="E139"/>
      <c r="F139">
        <v>12.052</v>
      </c>
      <c r="G139" s="29">
        <f>Table223421023456[[#This Row],[Roger]]-Table223421023456[[#This Row],[REF]]</f>
        <v>-0.54800040000000116</v>
      </c>
      <c r="H139" s="29">
        <f>Table223421023456[[#This Row],[X-Y]]-E$20</f>
        <v>-1.1004154200000009</v>
      </c>
      <c r="I139" s="29">
        <f>Table223421023456[[#This Row],[Roger]]-E$20</f>
        <v>11.49958498</v>
      </c>
      <c r="J139" s="29">
        <f>Table223421023456[[#This Row],[Roger]]*E$21+E$22</f>
        <v>11.292740013793745</v>
      </c>
      <c r="K139" s="56">
        <f>Table223421023456[[#This Row],[Yest]]-Table223421023456[[#This Row],[REF]]</f>
        <v>-1.3072603862062557</v>
      </c>
      <c r="L139" s="56">
        <f>ABS(Table223421023456[[#This Row],[RESyx]])</f>
        <v>1.3072603862062557</v>
      </c>
      <c r="M139" s="29">
        <f>Table223421023456[[#This Row],[Roger]]*E$25+E$26</f>
        <v>11.379998891070406</v>
      </c>
      <c r="N139" s="29">
        <f>Table223421023456[[#This Row],[X-Y]]^2</f>
        <v>0.3003044384001613</v>
      </c>
      <c r="O139" s="57">
        <f>Table223421023456[[#This Row],[yest_rect]]-Table223421023456[[#This Row],[REF]]</f>
        <v>-1.2200015089295952</v>
      </c>
      <c r="P139" s="57">
        <f>Table223421023456[[#This Row],[dif rec]]^2</f>
        <v>1.4884036817904893</v>
      </c>
      <c r="Q139" s="57">
        <f>ABS(Table223421023456[[#This Row],[diff-bias]])</f>
        <v>1.1004154200000009</v>
      </c>
      <c r="R139" s="57">
        <f ca="1">CELL("row",Table223421023456[[#This Row],[Position]])</f>
        <v>139</v>
      </c>
      <c r="S139" s="4">
        <f>Table223421023456[[#This Row],[REF]]-D$13</f>
        <v>1.5900001499999998</v>
      </c>
      <c r="T139" s="4">
        <f>ABS(Table223421023456[[#This Row],[lab-med]])</f>
        <v>1.5900001499999998</v>
      </c>
      <c r="U139" s="4">
        <f>Table223421023456[[#This Row],[Roger]]-F$13</f>
        <v>0.27050000000000018</v>
      </c>
      <c r="V139" s="4">
        <f>ABS(Table223421023456[[#This Row],[anl-med]])</f>
        <v>0.27050000000000018</v>
      </c>
      <c r="W139" s="4">
        <f>Table223421023456[[#This Row],[lab-med]]*Table223421023456[[#This Row],[anl-med]]</f>
        <v>0.43009504057500025</v>
      </c>
    </row>
    <row r="140" spans="2:23" x14ac:dyDescent="0.25">
      <c r="B140" s="46">
        <f ca="1">VALUE((Table223421023456[[#This Row],[Column3]]-62))</f>
        <v>78</v>
      </c>
      <c r="C140" t="s">
        <v>146</v>
      </c>
      <c r="D140">
        <v>12.670000099999999</v>
      </c>
      <c r="E140"/>
      <c r="F140">
        <v>13.778</v>
      </c>
      <c r="G140" s="29">
        <f>Table223421023456[[#This Row],[Roger]]-Table223421023456[[#This Row],[REF]]</f>
        <v>1.1079999000000011</v>
      </c>
      <c r="H140" s="29">
        <f>Table223421023456[[#This Row],[X-Y]]-E$20</f>
        <v>0.55558488000000139</v>
      </c>
      <c r="I140" s="29">
        <f>Table223421023456[[#This Row],[Roger]]-E$20</f>
        <v>13.225584980000001</v>
      </c>
      <c r="J140" s="29">
        <f>Table223421023456[[#This Row],[Roger]]*E$21+E$22</f>
        <v>12.103517916886666</v>
      </c>
      <c r="K140" s="56">
        <f>Table223421023456[[#This Row],[Yest]]-Table223421023456[[#This Row],[REF]]</f>
        <v>-0.56648218311333309</v>
      </c>
      <c r="L140" s="56">
        <f>ABS(Table223421023456[[#This Row],[RESyx]])</f>
        <v>0.56648218311333309</v>
      </c>
      <c r="M140" s="29">
        <f>Table223421023456[[#This Row],[Roger]]*E$25+E$26</f>
        <v>12.576869112964394</v>
      </c>
      <c r="N140" s="29">
        <f>Table223421023456[[#This Row],[X-Y]]^2</f>
        <v>1.2276637784000126</v>
      </c>
      <c r="O140" s="57">
        <f>Table223421023456[[#This Row],[yest_rect]]-Table223421023456[[#This Row],[REF]]</f>
        <v>-9.3130987035605628E-2</v>
      </c>
      <c r="P140" s="57">
        <f>Table223421023456[[#This Row],[dif rec]]^2</f>
        <v>8.673380746226143E-3</v>
      </c>
      <c r="Q140" s="57">
        <f>ABS(Table223421023456[[#This Row],[diff-bias]])</f>
        <v>0.55558488000000139</v>
      </c>
      <c r="R140" s="57">
        <f ca="1">CELL("row",Table223421023456[[#This Row],[Position]])</f>
        <v>140</v>
      </c>
      <c r="S140" s="4">
        <f>Table223421023456[[#This Row],[REF]]-D$13</f>
        <v>1.6599998499999984</v>
      </c>
      <c r="T140" s="4">
        <f>ABS(Table223421023456[[#This Row],[lab-med]])</f>
        <v>1.6599998499999984</v>
      </c>
      <c r="U140" s="4">
        <f>Table223421023456[[#This Row],[Roger]]-F$13</f>
        <v>1.9965000000000011</v>
      </c>
      <c r="V140" s="4">
        <f>ABS(Table223421023456[[#This Row],[anl-med]])</f>
        <v>1.9965000000000011</v>
      </c>
      <c r="W140" s="4">
        <f>Table223421023456[[#This Row],[lab-med]]*Table223421023456[[#This Row],[anl-med]]</f>
        <v>3.3141897005249987</v>
      </c>
    </row>
    <row r="141" spans="2:23" x14ac:dyDescent="0.25">
      <c r="B141" s="46">
        <f ca="1">VALUE((Table223421023456[[#This Row],[Column3]]-62))</f>
        <v>79</v>
      </c>
      <c r="C141" t="s">
        <v>147</v>
      </c>
      <c r="D141">
        <v>12.699999800000001</v>
      </c>
      <c r="E141"/>
      <c r="F141">
        <v>12.62</v>
      </c>
      <c r="G141" s="29">
        <f>Table223421023456[[#This Row],[Roger]]-Table223421023456[[#This Row],[REF]]</f>
        <v>-7.9999800000001287E-2</v>
      </c>
      <c r="H141" s="29">
        <f>Table223421023456[[#This Row],[X-Y]]-E$20</f>
        <v>-0.63241482000000104</v>
      </c>
      <c r="I141" s="29">
        <f>Table223421023456[[#This Row],[Roger]]-E$20</f>
        <v>12.067584979999999</v>
      </c>
      <c r="J141" s="29">
        <f>Table223421023456[[#This Row],[Roger]]*E$21+E$22</f>
        <v>11.559554526514937</v>
      </c>
      <c r="K141" s="56">
        <f>Table223421023456[[#This Row],[Yest]]-Table223421023456[[#This Row],[REF]]</f>
        <v>-1.1404452734850636</v>
      </c>
      <c r="L141" s="56">
        <f>ABS(Table223421023456[[#This Row],[RESyx]])</f>
        <v>1.1404452734850636</v>
      </c>
      <c r="M141" s="29">
        <f>Table223421023456[[#This Row],[Roger]]*E$25+E$26</f>
        <v>11.773870435702957</v>
      </c>
      <c r="N141" s="29">
        <f>Table223421023456[[#This Row],[X-Y]]^2</f>
        <v>6.3999680000402055E-3</v>
      </c>
      <c r="O141" s="57">
        <f>Table223421023456[[#This Row],[yest_rect]]-Table223421023456[[#This Row],[REF]]</f>
        <v>-0.92612936429704362</v>
      </c>
      <c r="P141" s="57">
        <f>Table223421023456[[#This Row],[dif rec]]^2</f>
        <v>0.85771559941324615</v>
      </c>
      <c r="Q141" s="57">
        <f>ABS(Table223421023456[[#This Row],[diff-bias]])</f>
        <v>0.63241482000000104</v>
      </c>
      <c r="R141" s="57">
        <f ca="1">CELL("row",Table223421023456[[#This Row],[Position]])</f>
        <v>141</v>
      </c>
      <c r="S141" s="4">
        <f>Table223421023456[[#This Row],[REF]]-D$13</f>
        <v>1.6899995499999996</v>
      </c>
      <c r="T141" s="4">
        <f>ABS(Table223421023456[[#This Row],[lab-med]])</f>
        <v>1.6899995499999996</v>
      </c>
      <c r="U141" s="4">
        <f>Table223421023456[[#This Row],[Roger]]-F$13</f>
        <v>0.8384999999999998</v>
      </c>
      <c r="V141" s="4">
        <f>ABS(Table223421023456[[#This Row],[anl-med]])</f>
        <v>0.8384999999999998</v>
      </c>
      <c r="W141" s="4">
        <f>Table223421023456[[#This Row],[lab-med]]*Table223421023456[[#This Row],[anl-med]]</f>
        <v>1.4170646226749992</v>
      </c>
    </row>
    <row r="142" spans="2:23" x14ac:dyDescent="0.25">
      <c r="B142" s="46">
        <f ca="1">VALUE((Table223421023456[[#This Row],[Column3]]-62))</f>
        <v>80</v>
      </c>
      <c r="C142" t="s">
        <v>148</v>
      </c>
      <c r="D142">
        <v>14.4300003</v>
      </c>
      <c r="E142"/>
      <c r="F142">
        <v>16.427</v>
      </c>
      <c r="G142" s="29">
        <f>Table223421023456[[#This Row],[Roger]]-Table223421023456[[#This Row],[REF]]</f>
        <v>1.9969996999999999</v>
      </c>
      <c r="H142" s="29">
        <f>Table223421023456[[#This Row],[X-Y]]-E$20</f>
        <v>1.4445846800000002</v>
      </c>
      <c r="I142" s="29">
        <f>Table223421023456[[#This Row],[Roger]]-E$20</f>
        <v>15.87458498</v>
      </c>
      <c r="J142" s="29">
        <f>Table223421023456[[#This Row],[Roger]]*E$21+E$22</f>
        <v>13.347869403151524</v>
      </c>
      <c r="K142" s="56">
        <f>Table223421023456[[#This Row],[Yest]]-Table223421023456[[#This Row],[REF]]</f>
        <v>-1.0821308968484757</v>
      </c>
      <c r="L142" s="56">
        <f>ABS(Table223421023456[[#This Row],[RESyx]])</f>
        <v>1.0821308968484757</v>
      </c>
      <c r="M142" s="29">
        <f>Table223421023456[[#This Row],[Roger]]*E$25+E$26</f>
        <v>14.413780594886278</v>
      </c>
      <c r="N142" s="29">
        <f>Table223421023456[[#This Row],[X-Y]]^2</f>
        <v>3.9880078018000895</v>
      </c>
      <c r="O142" s="57">
        <f>Table223421023456[[#This Row],[yest_rect]]-Table223421023456[[#This Row],[REF]]</f>
        <v>-1.6219705113721616E-2</v>
      </c>
      <c r="P142" s="57">
        <f>Table223421023456[[#This Row],[dif rec]]^2</f>
        <v>2.6307883397608717E-4</v>
      </c>
      <c r="Q142" s="57">
        <f>ABS(Table223421023456[[#This Row],[diff-bias]])</f>
        <v>1.4445846800000002</v>
      </c>
      <c r="R142" s="57">
        <f ca="1">CELL("row",Table223421023456[[#This Row],[Position]])</f>
        <v>142</v>
      </c>
      <c r="S142" s="4">
        <f>Table223421023456[[#This Row],[REF]]-D$13</f>
        <v>3.4200000499999987</v>
      </c>
      <c r="T142" s="4">
        <f>ABS(Table223421023456[[#This Row],[lab-med]])</f>
        <v>3.4200000499999987</v>
      </c>
      <c r="U142" s="4">
        <f>Table223421023456[[#This Row],[Roger]]-F$13</f>
        <v>4.6455000000000002</v>
      </c>
      <c r="V142" s="4">
        <f>ABS(Table223421023456[[#This Row],[anl-med]])</f>
        <v>4.6455000000000002</v>
      </c>
      <c r="W142" s="4">
        <f>Table223421023456[[#This Row],[lab-med]]*Table223421023456[[#This Row],[anl-med]]</f>
        <v>15.887610232274994</v>
      </c>
    </row>
  </sheetData>
  <mergeCells count="1">
    <mergeCell ref="C3:K3"/>
  </mergeCells>
  <conditionalFormatting sqref="F63:F142">
    <cfRule type="expression" dxfId="203" priority="2" stopIfTrue="1">
      <formula>ABS(F63-#REF!)/#REF!&gt;3</formula>
    </cfRule>
  </conditionalFormatting>
  <conditionalFormatting sqref="D68:D72">
    <cfRule type="expression" dxfId="202" priority="1" stopIfTrue="1">
      <formula>ABS(D68-#REF!)/#REF!&gt;3</formula>
    </cfRule>
  </conditionalFormatting>
  <pageMargins left="0.75" right="0.75" top="1" bottom="1" header="0.5" footer="0.5"/>
  <pageSetup paperSize="9" scale="65" orientation="portrait" r:id="rId1"/>
  <headerFooter alignWithMargins="0">
    <oddHeader>&amp;A</oddHeader>
    <oddFooter>&amp;F</oddFooter>
  </headerFooter>
  <rowBreaks count="1" manualBreakCount="1">
    <brk id="58" max="16383" man="1"/>
  </rowBreaks>
  <drawing r:id="rId2"/>
  <legacyDrawing r:id="rId3"/>
  <tableParts count="1">
    <tablePart r:id="rId4"/>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8C975-E250-41F7-9A98-3244897D9538}">
  <sheetPr>
    <pageSetUpPr fitToPage="1"/>
  </sheetPr>
  <dimension ref="B1:AB142"/>
  <sheetViews>
    <sheetView zoomScale="80" zoomScaleNormal="80" workbookViewId="0">
      <selection activeCell="E23" sqref="E23"/>
    </sheetView>
  </sheetViews>
  <sheetFormatPr defaultColWidth="8.88671875" defaultRowHeight="13.2" x14ac:dyDescent="0.25"/>
  <cols>
    <col min="1" max="1" width="3.109375" style="2" customWidth="1"/>
    <col min="2" max="2" width="9.44140625" style="2" customWidth="1"/>
    <col min="3" max="3" width="20.88671875" style="2" customWidth="1"/>
    <col min="4" max="4" width="15.44140625" style="61" customWidth="1"/>
    <col min="5" max="5" width="10.88671875" style="61" customWidth="1"/>
    <col min="6" max="6" width="13.5546875" style="61" customWidth="1"/>
    <col min="7" max="7" width="10.33203125" style="2" customWidth="1"/>
    <col min="8" max="8" width="13.33203125" style="2" customWidth="1"/>
    <col min="9" max="9" width="10.5546875" style="2" customWidth="1"/>
    <col min="10" max="10" width="15" style="2" customWidth="1"/>
    <col min="11" max="11" width="12.109375" style="3" customWidth="1"/>
    <col min="12" max="12" width="9.109375" style="3" customWidth="1"/>
    <col min="13" max="13" width="7.6640625" style="2" customWidth="1"/>
    <col min="14" max="14" width="7" style="2" customWidth="1"/>
    <col min="15" max="15" width="11.109375" style="2" customWidth="1"/>
    <col min="16" max="16" width="10.109375" style="2" customWidth="1"/>
    <col min="17" max="17" width="6.33203125" style="2" customWidth="1"/>
    <col min="18" max="20" width="8.88671875" style="2"/>
    <col min="21" max="21" width="9.33203125" style="2" customWidth="1"/>
    <col min="22" max="23" width="8.88671875" style="2"/>
    <col min="24" max="24" width="9.109375" style="2" customWidth="1"/>
    <col min="25" max="16384" width="8.88671875" style="2"/>
  </cols>
  <sheetData>
    <row r="1" spans="2:28" ht="15.6" customHeight="1" x14ac:dyDescent="0.25">
      <c r="B1" s="1"/>
      <c r="C1" s="1"/>
      <c r="D1" s="2"/>
      <c r="E1" s="1"/>
      <c r="F1" s="2"/>
      <c r="M1" s="3"/>
      <c r="N1" s="3"/>
      <c r="O1" s="3"/>
      <c r="P1" s="3"/>
      <c r="Q1" s="3"/>
      <c r="R1" s="3"/>
      <c r="S1" s="3"/>
      <c r="T1" s="3"/>
      <c r="U1" s="3"/>
      <c r="V1" s="3"/>
      <c r="W1" s="1" t="s">
        <v>53</v>
      </c>
    </row>
    <row r="2" spans="2:28" ht="6.6" customHeight="1" x14ac:dyDescent="0.3">
      <c r="D2" s="4"/>
      <c r="E2" s="4"/>
      <c r="F2" s="4"/>
      <c r="G2" s="5"/>
      <c r="H2" s="4"/>
      <c r="I2" s="4"/>
      <c r="J2" s="4"/>
      <c r="K2" s="6"/>
      <c r="L2" s="6"/>
      <c r="M2" s="6"/>
      <c r="N2" s="6"/>
      <c r="O2" s="6"/>
      <c r="P2" s="6"/>
      <c r="Q2" s="6"/>
      <c r="R2" s="6"/>
      <c r="S2" s="6"/>
      <c r="T2" s="6"/>
      <c r="U2" s="6"/>
      <c r="V2" s="6"/>
      <c r="W2" s="3"/>
    </row>
    <row r="3" spans="2:28" ht="20.399999999999999" x14ac:dyDescent="0.35">
      <c r="C3" s="98" t="s">
        <v>170</v>
      </c>
      <c r="D3" s="98"/>
      <c r="E3" s="98"/>
      <c r="F3" s="98"/>
      <c r="G3" s="98"/>
      <c r="H3" s="98"/>
      <c r="I3" s="98"/>
      <c r="J3" s="98"/>
      <c r="K3" s="98"/>
      <c r="L3" s="6"/>
      <c r="M3" s="6"/>
      <c r="N3" s="6"/>
      <c r="O3" s="6"/>
      <c r="P3" s="6"/>
      <c r="Q3" s="6"/>
      <c r="R3" s="6"/>
      <c r="S3" s="6"/>
      <c r="T3" s="6"/>
      <c r="U3" s="6"/>
      <c r="V3" s="6"/>
      <c r="W3" s="3"/>
    </row>
    <row r="4" spans="2:28" ht="7.2" customHeight="1" x14ac:dyDescent="0.25">
      <c r="D4" s="4"/>
      <c r="E4" s="4"/>
      <c r="F4" s="4"/>
      <c r="G4" s="4"/>
      <c r="H4" s="4"/>
      <c r="I4" s="4"/>
      <c r="J4" s="4"/>
      <c r="K4" s="6"/>
      <c r="L4" s="6"/>
      <c r="M4" s="6"/>
      <c r="N4" s="6"/>
      <c r="O4" s="6"/>
      <c r="P4" s="6"/>
      <c r="Q4" s="6"/>
      <c r="R4" s="6"/>
      <c r="S4" s="6"/>
      <c r="T4" s="6"/>
      <c r="U4" s="6"/>
      <c r="V4" s="6"/>
      <c r="W4" s="36"/>
      <c r="X4" s="30"/>
      <c r="Y4" s="30"/>
      <c r="Z4" s="30"/>
      <c r="AA4" s="30"/>
      <c r="AB4" s="30"/>
    </row>
    <row r="5" spans="2:28" ht="7.95" customHeight="1" thickBot="1" x14ac:dyDescent="0.3">
      <c r="D5" s="4"/>
      <c r="E5" s="4"/>
      <c r="F5" s="4"/>
      <c r="G5" s="4"/>
      <c r="H5" s="4"/>
      <c r="I5" s="4"/>
      <c r="J5" s="4"/>
      <c r="K5" s="6"/>
      <c r="L5" s="6"/>
      <c r="M5" s="6"/>
      <c r="N5" s="6"/>
      <c r="O5" s="6"/>
      <c r="P5" s="6"/>
      <c r="Q5" s="6"/>
      <c r="R5" s="6"/>
      <c r="S5" s="6"/>
      <c r="T5" s="6"/>
      <c r="U5" s="6"/>
      <c r="V5" s="6"/>
      <c r="W5" s="36"/>
      <c r="X5" s="30"/>
      <c r="Y5" s="30"/>
      <c r="Z5" s="30"/>
      <c r="AA5" s="30"/>
      <c r="AB5" s="30"/>
    </row>
    <row r="6" spans="2:28" ht="17.399999999999999" x14ac:dyDescent="0.3">
      <c r="B6" s="47"/>
      <c r="C6" s="48" t="str">
        <f>CONCATENATE(D62," = f (",F62," )")</f>
        <v>REF = f (Lucas D )</v>
      </c>
      <c r="D6" s="49"/>
      <c r="E6" s="48"/>
      <c r="F6" s="48"/>
      <c r="G6" s="8"/>
      <c r="H6" s="65" t="s">
        <v>38</v>
      </c>
      <c r="I6" s="7"/>
      <c r="J6" s="8"/>
      <c r="M6" s="3"/>
      <c r="N6" s="3"/>
      <c r="O6" s="3"/>
      <c r="P6" s="3"/>
      <c r="Q6" s="3"/>
      <c r="R6" s="3"/>
      <c r="S6" s="3"/>
      <c r="T6" s="3"/>
      <c r="U6" s="3"/>
      <c r="V6" s="3"/>
      <c r="W6" s="36"/>
      <c r="X6" s="30"/>
      <c r="Y6" s="30"/>
      <c r="Z6" s="30"/>
      <c r="AA6" s="30"/>
      <c r="AB6" s="30"/>
    </row>
    <row r="7" spans="2:28" ht="17.399999999999999" x14ac:dyDescent="0.3">
      <c r="B7" s="50"/>
      <c r="C7" s="36"/>
      <c r="D7" s="45" t="str">
        <f>D62</f>
        <v>REF</v>
      </c>
      <c r="E7" s="45"/>
      <c r="F7" s="45" t="str">
        <f>F62</f>
        <v>Lucas D</v>
      </c>
      <c r="G7" s="10"/>
      <c r="H7" s="66" t="s">
        <v>22</v>
      </c>
      <c r="I7" s="9">
        <v>500</v>
      </c>
      <c r="J7" s="10"/>
      <c r="M7" s="3"/>
      <c r="N7" s="3"/>
      <c r="O7" s="3"/>
      <c r="P7" s="3"/>
      <c r="Q7" s="3"/>
      <c r="R7" s="3"/>
      <c r="S7" s="3"/>
      <c r="T7" s="3"/>
      <c r="U7" s="3"/>
      <c r="V7" s="3"/>
      <c r="W7" s="36"/>
      <c r="X7" s="30" t="s">
        <v>30</v>
      </c>
      <c r="Y7" s="30"/>
      <c r="Z7" s="30"/>
      <c r="AA7" s="30"/>
      <c r="AB7" s="30"/>
    </row>
    <row r="8" spans="2:28" ht="17.399999999999999" x14ac:dyDescent="0.3">
      <c r="B8" s="50"/>
      <c r="C8" s="51" t="s">
        <v>22</v>
      </c>
      <c r="D8" s="23"/>
      <c r="E8" s="45">
        <f>COUNT(Table2234210234567[REF])</f>
        <v>80</v>
      </c>
      <c r="F8" s="23"/>
      <c r="G8" s="10"/>
      <c r="H8" s="66" t="s">
        <v>39</v>
      </c>
      <c r="I8" s="9">
        <v>1.2</v>
      </c>
      <c r="J8" s="10"/>
      <c r="M8" s="3"/>
      <c r="N8" s="3"/>
      <c r="O8" s="3"/>
      <c r="P8" s="3"/>
      <c r="Q8" s="3"/>
      <c r="R8" s="3"/>
      <c r="S8" s="3"/>
      <c r="T8" s="3"/>
      <c r="U8" s="3"/>
      <c r="V8" s="3"/>
      <c r="W8" s="36"/>
      <c r="X8" s="37">
        <f>62+E8</f>
        <v>142</v>
      </c>
      <c r="Y8" s="30"/>
      <c r="Z8" s="38"/>
      <c r="AA8" s="30"/>
      <c r="AB8" s="30"/>
    </row>
    <row r="9" spans="2:28" ht="16.2" thickBot="1" x14ac:dyDescent="0.35">
      <c r="B9" s="50"/>
      <c r="C9" s="51" t="s">
        <v>6</v>
      </c>
      <c r="D9" s="24">
        <f>AVERAGE(Table2234210234567[REF])</f>
        <v>11.109499980000002</v>
      </c>
      <c r="E9" s="24"/>
      <c r="F9" s="24">
        <f>AVERAGE(Table2234210234567[Lucas D])</f>
        <v>4.8946015376289349</v>
      </c>
      <c r="G9" s="69"/>
      <c r="H9" s="67" t="s">
        <v>43</v>
      </c>
      <c r="I9" s="13"/>
      <c r="J9" s="14">
        <v>12</v>
      </c>
      <c r="M9" s="3"/>
      <c r="N9" s="3"/>
      <c r="O9" s="3"/>
      <c r="P9" s="3"/>
      <c r="Q9" s="3"/>
      <c r="R9" s="3"/>
      <c r="S9" s="3"/>
      <c r="T9" s="3"/>
      <c r="U9" s="3"/>
      <c r="V9" s="3"/>
      <c r="W9" s="56"/>
      <c r="X9" s="30"/>
      <c r="Y9" s="30"/>
      <c r="Z9" s="30"/>
      <c r="AA9" s="30"/>
      <c r="AB9" s="30"/>
    </row>
    <row r="10" spans="2:28" ht="16.2" thickBot="1" x14ac:dyDescent="0.35">
      <c r="B10" s="50"/>
      <c r="C10" s="51" t="s">
        <v>7</v>
      </c>
      <c r="D10" s="24">
        <f>MIN(Table2234210234567[REF])</f>
        <v>8.9700003000000006</v>
      </c>
      <c r="E10" s="24">
        <f>ROUNDDOWN(MIN(D10,F10),0)</f>
        <v>2</v>
      </c>
      <c r="F10" s="24">
        <f>MIN(Table2234210234567[Lucas D])</f>
        <v>2.1823726766819398</v>
      </c>
      <c r="G10" s="70"/>
      <c r="H10" s="68" t="s">
        <v>40</v>
      </c>
      <c r="I10" s="15">
        <v>0.05</v>
      </c>
      <c r="J10" s="16"/>
      <c r="M10" s="3"/>
      <c r="N10" s="3"/>
      <c r="O10" s="3"/>
      <c r="P10" s="3"/>
      <c r="Q10" s="3"/>
      <c r="R10" s="3"/>
      <c r="S10" s="3"/>
      <c r="T10" s="3"/>
      <c r="U10" s="3"/>
      <c r="V10" s="3"/>
      <c r="W10" s="56">
        <f>E10+E20</f>
        <v>-4.2148984423710676</v>
      </c>
      <c r="X10" s="30"/>
      <c r="Y10" s="30"/>
      <c r="Z10" s="30"/>
      <c r="AA10" s="30"/>
      <c r="AB10" s="30"/>
    </row>
    <row r="11" spans="2:28" ht="15.6" x14ac:dyDescent="0.3">
      <c r="B11" s="50"/>
      <c r="C11" s="51" t="s">
        <v>8</v>
      </c>
      <c r="D11" s="24">
        <f>MAX(Table2234210234567[REF])</f>
        <v>14.4300003</v>
      </c>
      <c r="E11" s="24">
        <f>ROUNDUP(MAX(D11,F11),0)+1</f>
        <v>16</v>
      </c>
      <c r="F11" s="24">
        <f>MAX(Table2234210234567[Lucas D])</f>
        <v>8.2866521952096601</v>
      </c>
      <c r="G11" s="70"/>
      <c r="H11" s="28" t="s">
        <v>41</v>
      </c>
      <c r="I11" s="29">
        <f>TINV(I10,E8)</f>
        <v>1.9900634212544475</v>
      </c>
      <c r="J11" s="29"/>
      <c r="K11" s="36"/>
      <c r="M11" s="3"/>
      <c r="N11" s="3"/>
      <c r="O11" s="3"/>
      <c r="P11" s="3"/>
      <c r="Q11" s="3"/>
      <c r="R11" s="3"/>
      <c r="S11" s="3"/>
      <c r="T11" s="3"/>
      <c r="U11" s="3"/>
      <c r="V11" s="3"/>
      <c r="W11" s="56">
        <f>E11+E20</f>
        <v>9.7851015576289324</v>
      </c>
      <c r="X11" s="30"/>
      <c r="Y11" s="30"/>
      <c r="Z11" s="30"/>
      <c r="AA11" s="30"/>
      <c r="AB11" s="30"/>
    </row>
    <row r="12" spans="2:28" ht="15.6" x14ac:dyDescent="0.3">
      <c r="B12" s="50"/>
      <c r="C12" s="51" t="s">
        <v>9</v>
      </c>
      <c r="D12" s="25">
        <f>STDEV(Table2234210234567[REF])</f>
        <v>1.1729049824811564</v>
      </c>
      <c r="E12" s="25"/>
      <c r="F12" s="24">
        <f>STDEV(Table2234210234567[Lucas D])</f>
        <v>1.197087844593395</v>
      </c>
      <c r="G12" s="69"/>
      <c r="H12" s="28" t="s">
        <v>42</v>
      </c>
      <c r="I12" s="29">
        <f>FINV(I10,E8-1,I7-1-J9)</f>
        <v>1.305795130911809</v>
      </c>
      <c r="J12" s="30"/>
      <c r="K12" s="36"/>
      <c r="M12" s="3"/>
      <c r="N12" s="3"/>
      <c r="O12" s="3"/>
      <c r="P12" s="3"/>
      <c r="Q12" s="3"/>
      <c r="R12" s="3"/>
      <c r="S12" s="3"/>
      <c r="T12" s="3"/>
      <c r="U12" s="3"/>
      <c r="V12" s="3"/>
      <c r="W12" s="36"/>
      <c r="X12" s="30"/>
      <c r="Y12" s="30"/>
      <c r="Z12" s="30"/>
      <c r="AA12" s="30"/>
      <c r="AB12" s="30"/>
    </row>
    <row r="13" spans="2:28" ht="15.6" x14ac:dyDescent="0.3">
      <c r="B13" s="50"/>
      <c r="C13" s="51" t="s">
        <v>56</v>
      </c>
      <c r="D13" s="24">
        <f>MEDIAN(Table2234210234567[REF])</f>
        <v>11.010000250000001</v>
      </c>
      <c r="E13" s="25"/>
      <c r="F13" s="24">
        <f>MEDIAN(Table2234210234567[Lucas D])</f>
        <v>4.6861070540423402</v>
      </c>
      <c r="G13" s="69"/>
      <c r="H13" s="28"/>
      <c r="I13" s="29"/>
      <c r="J13" s="30"/>
      <c r="K13" s="36"/>
      <c r="M13" s="3"/>
      <c r="N13" s="3"/>
      <c r="O13" s="3"/>
      <c r="P13" s="3"/>
      <c r="Q13" s="3"/>
      <c r="R13" s="3"/>
      <c r="S13" s="3"/>
      <c r="T13" s="3"/>
      <c r="U13" s="3"/>
      <c r="V13" s="3"/>
      <c r="W13" s="36"/>
      <c r="X13" s="30"/>
      <c r="Y13" s="30"/>
      <c r="Z13" s="30"/>
      <c r="AA13" s="30"/>
      <c r="AB13" s="30"/>
    </row>
    <row r="14" spans="2:28" ht="15.6" x14ac:dyDescent="0.3">
      <c r="B14" s="50"/>
      <c r="C14" s="51" t="s">
        <v>57</v>
      </c>
      <c r="D14" s="25">
        <f>1.4826*(MEDIAN(Table2234210234567[abs(lab)]))</f>
        <v>1.4677736293499986</v>
      </c>
      <c r="E14" s="25"/>
      <c r="F14" s="24">
        <f>1.4826*MEDIAN(Table2234210234567[abs(anl)])</f>
        <v>1.2449203824624921</v>
      </c>
      <c r="G14" s="75"/>
      <c r="H14" s="28"/>
      <c r="I14" s="29"/>
      <c r="J14" s="30"/>
      <c r="K14" s="36"/>
      <c r="M14" s="3"/>
      <c r="N14" s="3"/>
      <c r="O14" s="3"/>
      <c r="P14" s="3"/>
      <c r="Q14" s="3"/>
      <c r="R14" s="3"/>
      <c r="S14" s="3"/>
      <c r="T14" s="3"/>
      <c r="U14" s="3"/>
      <c r="V14" s="3"/>
      <c r="W14" s="36"/>
      <c r="X14" s="30"/>
      <c r="Y14" s="30"/>
      <c r="Z14" s="30"/>
      <c r="AA14" s="30"/>
      <c r="AB14" s="30"/>
    </row>
    <row r="15" spans="2:28" ht="15.6" x14ac:dyDescent="0.3">
      <c r="B15" s="50"/>
      <c r="C15" s="51"/>
      <c r="D15" s="25"/>
      <c r="E15" s="25"/>
      <c r="F15" s="24" t="s">
        <v>63</v>
      </c>
      <c r="G15" s="69"/>
      <c r="H15" s="28"/>
      <c r="I15" s="29"/>
      <c r="J15" s="30"/>
      <c r="K15" s="36"/>
      <c r="M15" s="3"/>
      <c r="N15" s="3"/>
      <c r="O15" s="3"/>
      <c r="P15" s="3"/>
      <c r="Q15" s="3"/>
      <c r="R15" s="3"/>
      <c r="S15" s="3"/>
      <c r="T15" s="3"/>
      <c r="U15" s="3"/>
      <c r="V15" s="3"/>
      <c r="W15" s="36"/>
      <c r="X15" s="30"/>
      <c r="Y15" s="30"/>
      <c r="Z15" s="30"/>
      <c r="AA15" s="30"/>
      <c r="AB15" s="30"/>
    </row>
    <row r="16" spans="2:28" ht="17.399999999999999" x14ac:dyDescent="0.3">
      <c r="B16" s="50"/>
      <c r="C16" s="51" t="s">
        <v>10</v>
      </c>
      <c r="D16" s="25"/>
      <c r="E16" s="26">
        <f>SQRT(AVERAGE(Table2234210234567[dif^2]))</f>
        <v>6.2394951799438516</v>
      </c>
      <c r="F16" s="72">
        <f>SQRT(F18^2+E20^2)</f>
        <v>6.2382142262131266</v>
      </c>
      <c r="G16" s="10"/>
      <c r="H16" s="31"/>
      <c r="I16" s="30"/>
      <c r="J16" s="31"/>
      <c r="K16" s="44"/>
      <c r="M16" s="3"/>
      <c r="N16" s="3"/>
      <c r="O16" s="3"/>
      <c r="P16" s="3"/>
      <c r="Q16" s="3"/>
      <c r="R16" s="3"/>
      <c r="S16" s="3"/>
      <c r="T16" s="3"/>
      <c r="U16" s="3"/>
      <c r="V16" s="3"/>
      <c r="W16" s="36"/>
      <c r="X16" s="30"/>
      <c r="Y16" s="30"/>
      <c r="Z16" s="30"/>
      <c r="AA16" s="30"/>
      <c r="AB16" s="30"/>
    </row>
    <row r="17" spans="2:28" ht="21" x14ac:dyDescent="0.4">
      <c r="B17" s="50"/>
      <c r="C17" s="51" t="s">
        <v>55</v>
      </c>
      <c r="D17" s="3"/>
      <c r="E17" s="26"/>
      <c r="F17" s="26">
        <f>MEDIAN(Table2234210234567[abs_errors])</f>
        <v>0.36344606661728251</v>
      </c>
      <c r="G17" s="10"/>
      <c r="H17" s="32"/>
      <c r="I17" s="33"/>
      <c r="J17" s="34"/>
      <c r="K17" s="54"/>
      <c r="M17" s="3"/>
      <c r="N17" s="3"/>
      <c r="O17" s="3"/>
      <c r="P17" s="3"/>
      <c r="Q17" s="3"/>
      <c r="R17" s="3"/>
      <c r="S17" s="3"/>
      <c r="T17" s="3"/>
      <c r="U17" s="3"/>
      <c r="V17" s="3"/>
      <c r="W17" s="36"/>
      <c r="X17" s="30"/>
      <c r="Y17" s="30"/>
      <c r="Z17" s="30"/>
      <c r="AA17" s="30"/>
      <c r="AB17" s="30"/>
    </row>
    <row r="18" spans="2:28" ht="21" x14ac:dyDescent="0.4">
      <c r="B18" s="50"/>
      <c r="C18" s="51" t="s">
        <v>11</v>
      </c>
      <c r="D18" s="25"/>
      <c r="E18" s="26">
        <f>STDEV(Table2234210234567[X-Y])</f>
        <v>0.55696960493052505</v>
      </c>
      <c r="F18" s="26">
        <f>1.4826*MEDIAN(Table2234210234567[abs_errors])</f>
        <v>0.53884513836678305</v>
      </c>
      <c r="G18" s="10"/>
      <c r="H18" s="32" t="s">
        <v>44</v>
      </c>
      <c r="I18" s="33">
        <f>I8*I12</f>
        <v>1.5669541570941707</v>
      </c>
      <c r="J18" s="34" t="str">
        <f>IF(E18&gt;I18,"S"," ns ")</f>
        <v xml:space="preserve"> ns </v>
      </c>
      <c r="K18" s="36"/>
      <c r="M18" s="3"/>
      <c r="N18" s="3"/>
      <c r="O18" s="3"/>
      <c r="P18" s="3"/>
      <c r="Q18" s="3"/>
      <c r="R18" s="3"/>
      <c r="S18" s="3"/>
      <c r="T18" s="3"/>
      <c r="U18" s="3"/>
      <c r="V18" s="3"/>
      <c r="W18" s="36"/>
      <c r="X18" s="30" t="s">
        <v>28</v>
      </c>
      <c r="Y18" s="30" t="s">
        <v>27</v>
      </c>
      <c r="Z18" s="30"/>
      <c r="AA18" s="30"/>
      <c r="AB18" s="30"/>
    </row>
    <row r="19" spans="2:28" ht="17.399999999999999" x14ac:dyDescent="0.3">
      <c r="B19" s="50"/>
      <c r="C19" s="51" t="s">
        <v>12</v>
      </c>
      <c r="D19" s="25"/>
      <c r="E19" s="26">
        <f>STEYX(Table2234210234567[REF],Table2234210234567[Lucas D])</f>
        <v>0.53881817059564718</v>
      </c>
      <c r="F19" s="26">
        <f>1.4826*MEDIAN(Table2234210234567[Abs_erroryx])</f>
        <v>0.50387747842561381</v>
      </c>
      <c r="G19" s="10"/>
      <c r="H19" s="32"/>
      <c r="I19" s="33"/>
      <c r="J19" s="30"/>
      <c r="K19" s="36"/>
      <c r="M19" s="3"/>
      <c r="N19" s="3"/>
      <c r="O19" s="3"/>
      <c r="P19" s="3"/>
      <c r="Q19" s="3"/>
      <c r="R19" s="3"/>
      <c r="S19" s="3"/>
      <c r="T19" s="3"/>
      <c r="U19" s="3"/>
      <c r="V19" s="3"/>
      <c r="W19" s="36" t="s">
        <v>24</v>
      </c>
      <c r="X19" s="35">
        <f>E$26+E$25*E10</f>
        <v>8.2733734742331873</v>
      </c>
      <c r="Y19" s="30">
        <f>E10</f>
        <v>2</v>
      </c>
      <c r="Z19" s="30"/>
      <c r="AA19" s="30"/>
      <c r="AB19" s="30"/>
    </row>
    <row r="20" spans="2:28" ht="21" x14ac:dyDescent="0.4">
      <c r="B20" s="50"/>
      <c r="C20" s="51" t="s">
        <v>16</v>
      </c>
      <c r="D20" s="25"/>
      <c r="E20" s="72">
        <f>F9-D9</f>
        <v>-6.2148984423710676</v>
      </c>
      <c r="F20" s="26">
        <f>F13-D13</f>
        <v>-6.3238931959576608</v>
      </c>
      <c r="G20" s="10"/>
      <c r="H20" s="32" t="s">
        <v>46</v>
      </c>
      <c r="I20" s="33">
        <f>ABS(E20/(SQRT(SUM(Table2234210234567[dif^2])/(E8*(E8-1)))))</f>
        <v>8.8531562324506776</v>
      </c>
      <c r="J20" s="34" t="str">
        <f>IF(I20&gt;I11,"S","ns")</f>
        <v>S</v>
      </c>
      <c r="K20" s="36"/>
      <c r="M20" s="3"/>
      <c r="N20" s="3"/>
      <c r="O20" s="3"/>
      <c r="P20" s="3"/>
      <c r="Q20" s="3"/>
      <c r="R20" s="3"/>
      <c r="S20" s="3"/>
      <c r="T20" s="3"/>
      <c r="U20" s="3"/>
      <c r="V20" s="3"/>
      <c r="W20" s="36" t="s">
        <v>25</v>
      </c>
      <c r="X20" s="35">
        <f>E$26+E$25*E11</f>
        <v>21.990553737068169</v>
      </c>
      <c r="Y20" s="30">
        <f>E11</f>
        <v>16</v>
      </c>
      <c r="Z20" s="30"/>
      <c r="AA20" s="30"/>
      <c r="AB20" s="30"/>
    </row>
    <row r="21" spans="2:28" ht="21" x14ac:dyDescent="0.4">
      <c r="B21" s="50"/>
      <c r="C21" s="51" t="s">
        <v>13</v>
      </c>
      <c r="D21" s="25"/>
      <c r="E21" s="26">
        <f>SLOPE(Table2234210234567[REF],Table2234210234567[Lucas D])</f>
        <v>0.87176434099925482</v>
      </c>
      <c r="F21" s="26"/>
      <c r="G21" s="10"/>
      <c r="H21" s="32" t="s">
        <v>45</v>
      </c>
      <c r="I21" s="33">
        <f>ABS(E21-1)*SQRT((E8-1)*F12^2/E19^2)</f>
        <v>2.5322474444749585</v>
      </c>
      <c r="J21" s="34" t="str">
        <f>IF(I21&gt;I11,"S"," ns  ")</f>
        <v>S</v>
      </c>
      <c r="K21" s="55"/>
      <c r="M21" s="3"/>
      <c r="N21" s="3"/>
      <c r="O21" s="3"/>
      <c r="P21" s="3"/>
      <c r="Q21" s="3"/>
      <c r="R21" s="3"/>
      <c r="S21" s="3"/>
      <c r="T21" s="3"/>
      <c r="U21" s="3"/>
      <c r="V21" s="3"/>
      <c r="W21" s="36" t="s">
        <v>26</v>
      </c>
      <c r="X21" s="30">
        <f>E$26+E$25*F9</f>
        <v>11.109499980000002</v>
      </c>
      <c r="Y21" s="29">
        <f>F9</f>
        <v>4.8946015376289349</v>
      </c>
      <c r="Z21" s="30"/>
      <c r="AA21" s="30"/>
      <c r="AB21" s="30"/>
    </row>
    <row r="22" spans="2:28" ht="17.399999999999999" x14ac:dyDescent="0.3">
      <c r="B22" s="50"/>
      <c r="C22" s="51" t="s">
        <v>14</v>
      </c>
      <c r="D22" s="25"/>
      <c r="E22" s="26">
        <f>INTERCEPT(Table2234210234567[REF],Table2234210234567[Lucas D])</f>
        <v>6.8425608960949749</v>
      </c>
      <c r="F22" s="26"/>
      <c r="G22" s="10"/>
      <c r="H22" s="30"/>
      <c r="I22" s="30"/>
      <c r="J22" s="30"/>
      <c r="K22" s="36"/>
      <c r="M22" s="3"/>
      <c r="N22" s="3"/>
      <c r="O22" s="3"/>
      <c r="P22" s="3"/>
      <c r="Q22" s="3"/>
      <c r="R22" s="3"/>
      <c r="S22" s="3"/>
      <c r="T22" s="3"/>
      <c r="U22" s="3"/>
      <c r="V22" s="3"/>
      <c r="W22" s="36"/>
      <c r="X22" s="30"/>
      <c r="Y22" s="30"/>
      <c r="Z22" s="30"/>
      <c r="AA22" s="30"/>
      <c r="AB22" s="30"/>
    </row>
    <row r="23" spans="2:28" ht="22.8" x14ac:dyDescent="0.4">
      <c r="B23" s="50"/>
      <c r="C23" s="51" t="s">
        <v>15</v>
      </c>
      <c r="D23" s="25"/>
      <c r="E23" s="80">
        <f>RSQ(Table2234210234567[REF],Table2234210234567[Lucas D])</f>
        <v>0.79163425885066574</v>
      </c>
      <c r="F23" s="26">
        <f>(D12^2-F19^2)/D12^2</f>
        <v>0.81544567284629732</v>
      </c>
      <c r="G23" s="10"/>
      <c r="H23" s="32"/>
      <c r="I23" s="33"/>
      <c r="J23" s="30"/>
      <c r="K23" s="36"/>
      <c r="M23" s="3"/>
      <c r="N23" s="3"/>
      <c r="O23" s="3"/>
      <c r="P23" s="3"/>
      <c r="Q23" s="3"/>
      <c r="R23" s="3"/>
      <c r="S23" s="3"/>
      <c r="T23" s="3"/>
      <c r="U23" s="3"/>
      <c r="V23" s="3"/>
      <c r="W23" s="36"/>
      <c r="X23" s="30"/>
      <c r="Y23" s="30"/>
      <c r="Z23" s="30"/>
      <c r="AA23" s="30"/>
      <c r="AB23" s="30"/>
    </row>
    <row r="24" spans="2:28" ht="17.399999999999999" x14ac:dyDescent="0.3">
      <c r="B24" s="50"/>
      <c r="C24" s="51" t="s">
        <v>29</v>
      </c>
      <c r="D24" s="23"/>
      <c r="E24" s="26">
        <f>1/SQRT(1-E23)</f>
        <v>2.1907198451770027</v>
      </c>
      <c r="F24" s="26">
        <f>1/SQRT(1-F23)</f>
        <v>2.3277582997873747</v>
      </c>
      <c r="G24" s="10"/>
      <c r="H24" s="76" t="s">
        <v>64</v>
      </c>
      <c r="I24" s="77">
        <f>D12/E19</f>
        <v>2.1768103721976293</v>
      </c>
      <c r="J24" s="30"/>
      <c r="K24" s="36"/>
      <c r="M24" s="3"/>
      <c r="N24" s="3"/>
      <c r="O24" s="3"/>
      <c r="P24" s="3"/>
      <c r="Q24" s="3"/>
      <c r="R24" s="3"/>
      <c r="S24" s="3"/>
      <c r="T24" s="3"/>
      <c r="U24" s="3"/>
      <c r="V24" s="3"/>
      <c r="W24" s="36"/>
      <c r="X24" s="30"/>
      <c r="Y24" s="30"/>
      <c r="Z24" s="30"/>
      <c r="AA24" s="30"/>
      <c r="AB24" s="30"/>
    </row>
    <row r="25" spans="2:28" ht="17.399999999999999" x14ac:dyDescent="0.3">
      <c r="B25" s="50"/>
      <c r="C25" s="51" t="s">
        <v>17</v>
      </c>
      <c r="D25" s="23"/>
      <c r="E25" s="26">
        <f>(D12/F12)</f>
        <v>0.97979859020249882</v>
      </c>
      <c r="F25" s="45"/>
      <c r="G25" s="10"/>
      <c r="H25" s="32" t="s">
        <v>47</v>
      </c>
      <c r="I25" s="62">
        <f>QUARTILE(Table2234210234567[abs_errors],3)</f>
        <v>0.62163842982443662</v>
      </c>
      <c r="J25" s="30"/>
      <c r="K25" s="36"/>
      <c r="M25" s="3"/>
      <c r="N25" s="3"/>
      <c r="O25" s="3"/>
      <c r="P25" s="3"/>
      <c r="Q25" s="3"/>
      <c r="R25" s="3"/>
      <c r="S25" s="3"/>
      <c r="T25" s="3"/>
      <c r="U25" s="3"/>
      <c r="V25" s="3"/>
      <c r="W25" s="36" t="s">
        <v>19</v>
      </c>
      <c r="X25" s="30">
        <f>COVAR(Table2234210234567[REF],Table2234210234567[Lucas D])</f>
        <v>1.2336394432380762</v>
      </c>
      <c r="Y25" s="30"/>
      <c r="Z25" s="30"/>
      <c r="AA25" s="30"/>
      <c r="AB25" s="30"/>
    </row>
    <row r="26" spans="2:28" ht="17.399999999999999" x14ac:dyDescent="0.3">
      <c r="B26" s="50"/>
      <c r="C26" s="51" t="s">
        <v>18</v>
      </c>
      <c r="D26" s="23"/>
      <c r="E26" s="26">
        <f>D9-E25*F9</f>
        <v>6.3137762938281892</v>
      </c>
      <c r="F26" s="45"/>
      <c r="G26" s="10"/>
      <c r="M26" s="3"/>
      <c r="N26" s="3"/>
      <c r="O26" s="3"/>
      <c r="P26" s="3"/>
      <c r="Q26" s="3"/>
      <c r="R26" s="3"/>
      <c r="S26" s="3"/>
      <c r="T26" s="3"/>
      <c r="U26" s="3"/>
      <c r="V26" s="3"/>
      <c r="W26" s="36" t="s">
        <v>20</v>
      </c>
      <c r="X26" s="30">
        <f>SIGN(X25)</f>
        <v>1</v>
      </c>
      <c r="Y26" s="30"/>
      <c r="Z26" s="30"/>
      <c r="AA26" s="30"/>
      <c r="AB26" s="30"/>
    </row>
    <row r="27" spans="2:28" ht="18" thickBot="1" x14ac:dyDescent="0.35">
      <c r="B27" s="52"/>
      <c r="C27" s="53" t="s">
        <v>21</v>
      </c>
      <c r="D27" s="27"/>
      <c r="E27" s="73">
        <f>SQRT(AVERAGE(Table2234210234567[dif_rec^2]))</f>
        <v>0.54734191215761074</v>
      </c>
      <c r="F27" s="74"/>
      <c r="G27" s="71"/>
      <c r="M27" s="3"/>
      <c r="N27" s="3"/>
      <c r="O27" s="3"/>
      <c r="P27" s="3"/>
      <c r="Q27" s="3"/>
      <c r="R27" s="3"/>
      <c r="S27" s="3"/>
      <c r="T27" s="3"/>
      <c r="U27" s="3"/>
      <c r="V27" s="3"/>
      <c r="W27" s="36"/>
      <c r="X27" s="30"/>
      <c r="Y27" s="30"/>
      <c r="Z27" s="30"/>
      <c r="AA27" s="30"/>
      <c r="AB27" s="30"/>
    </row>
    <row r="28" spans="2:28" ht="15.6" x14ac:dyDescent="0.3">
      <c r="B28" s="3"/>
      <c r="C28" s="11"/>
      <c r="D28" s="12"/>
      <c r="E28" s="18"/>
      <c r="F28" s="12"/>
      <c r="M28" s="3"/>
      <c r="N28" s="3"/>
      <c r="O28" s="3"/>
      <c r="P28" s="3"/>
      <c r="Q28" s="3"/>
      <c r="R28" s="3"/>
      <c r="S28" s="3"/>
      <c r="T28" s="3"/>
      <c r="U28" s="3"/>
      <c r="V28" s="3"/>
      <c r="W28" s="36"/>
      <c r="X28" s="30"/>
      <c r="Y28" s="30"/>
      <c r="Z28" s="30"/>
      <c r="AA28" s="30"/>
      <c r="AB28" s="30"/>
    </row>
    <row r="29" spans="2:28" ht="17.399999999999999" x14ac:dyDescent="0.3">
      <c r="C29" s="19"/>
      <c r="D29" s="3"/>
      <c r="E29" s="17"/>
      <c r="F29" s="3"/>
      <c r="M29" s="3"/>
      <c r="N29" s="3"/>
      <c r="O29" s="3"/>
      <c r="P29" s="3"/>
      <c r="Q29" s="3"/>
      <c r="R29" s="3"/>
      <c r="S29" s="3"/>
      <c r="T29" s="3"/>
      <c r="U29" s="3"/>
      <c r="V29" s="3"/>
      <c r="W29" s="44" t="s">
        <v>54</v>
      </c>
      <c r="X29" s="37">
        <f>MIN(Table2234210234567[X-Y])</f>
        <v>-8.1098546089846906</v>
      </c>
      <c r="Y29" s="30">
        <f>X29</f>
        <v>-8.1098546089846906</v>
      </c>
      <c r="Z29" s="30"/>
      <c r="AA29" s="30"/>
      <c r="AB29" s="30"/>
    </row>
    <row r="30" spans="2:28" ht="17.399999999999999" x14ac:dyDescent="0.3">
      <c r="C30" s="19"/>
      <c r="D30" s="3"/>
      <c r="E30" s="17"/>
      <c r="F30" s="3"/>
      <c r="M30" s="3"/>
      <c r="N30" s="3"/>
      <c r="O30" s="3"/>
      <c r="P30" s="3"/>
      <c r="Q30" s="3"/>
      <c r="R30" s="3"/>
      <c r="S30" s="3"/>
      <c r="T30" s="3"/>
      <c r="U30" s="3"/>
      <c r="V30" s="3"/>
      <c r="W30" s="39" t="s">
        <v>37</v>
      </c>
      <c r="X30" s="63">
        <f>MAX(Table2234210234567[X-Y])</f>
        <v>-4.7904099945491998</v>
      </c>
      <c r="Y30" s="30">
        <f>X30</f>
        <v>-4.7904099945491998</v>
      </c>
      <c r="Z30" s="30"/>
      <c r="AA30" s="30"/>
      <c r="AB30" s="30"/>
    </row>
    <row r="31" spans="2:28" ht="15.6" x14ac:dyDescent="0.3">
      <c r="C31" s="19"/>
      <c r="D31" s="3"/>
      <c r="E31" s="17"/>
      <c r="F31" s="3"/>
      <c r="M31" s="3"/>
      <c r="N31" s="3"/>
      <c r="O31" s="3"/>
      <c r="P31" s="3"/>
      <c r="Q31" s="3"/>
      <c r="R31" s="3"/>
      <c r="S31" s="3"/>
      <c r="T31" s="3"/>
      <c r="U31" s="3"/>
      <c r="V31" s="3"/>
      <c r="W31" s="36"/>
      <c r="X31" s="30"/>
      <c r="Y31" s="30"/>
      <c r="Z31" s="40"/>
      <c r="AA31" s="30"/>
      <c r="AB31" s="30"/>
    </row>
    <row r="32" spans="2:28" x14ac:dyDescent="0.25">
      <c r="C32" s="19"/>
      <c r="D32" s="3"/>
      <c r="E32" s="17"/>
      <c r="F32" s="3"/>
      <c r="M32" s="3"/>
      <c r="N32" s="3"/>
      <c r="O32" s="3"/>
      <c r="P32" s="3"/>
      <c r="Q32" s="3"/>
      <c r="R32" s="3"/>
      <c r="S32" s="3"/>
      <c r="T32" s="3"/>
      <c r="U32" s="3"/>
      <c r="V32" s="3"/>
      <c r="W32" s="36"/>
      <c r="X32" s="30"/>
      <c r="Y32" s="30"/>
      <c r="Z32" s="30"/>
      <c r="AA32" s="30"/>
      <c r="AB32" s="30"/>
    </row>
    <row r="33" spans="3:28" x14ac:dyDescent="0.25">
      <c r="C33" s="19"/>
      <c r="D33" s="3"/>
      <c r="E33" s="17"/>
      <c r="F33" s="3"/>
      <c r="M33" s="3"/>
      <c r="N33" s="3"/>
      <c r="O33" s="3"/>
      <c r="P33" s="3"/>
      <c r="Q33" s="3"/>
      <c r="R33" s="3"/>
      <c r="S33" s="3"/>
      <c r="T33" s="3"/>
      <c r="U33" s="3"/>
      <c r="V33" s="3"/>
      <c r="W33" s="36"/>
      <c r="X33" s="30"/>
      <c r="Y33" s="30"/>
      <c r="Z33" s="30"/>
      <c r="AA33" s="30"/>
      <c r="AB33" s="30"/>
    </row>
    <row r="34" spans="3:28" x14ac:dyDescent="0.25">
      <c r="C34" s="19"/>
      <c r="D34" s="3"/>
      <c r="E34" s="17"/>
      <c r="F34" s="3"/>
      <c r="M34" s="3"/>
      <c r="N34" s="3"/>
      <c r="O34" s="3"/>
      <c r="P34" s="3"/>
      <c r="Q34" s="3"/>
      <c r="R34" s="3"/>
      <c r="S34" s="3"/>
      <c r="T34" s="3"/>
      <c r="U34" s="3"/>
      <c r="V34" s="3"/>
      <c r="W34" s="36"/>
      <c r="X34" s="30"/>
      <c r="Y34" s="30"/>
      <c r="Z34" s="30"/>
      <c r="AA34" s="30"/>
      <c r="AB34" s="30"/>
    </row>
    <row r="35" spans="3:28" x14ac:dyDescent="0.25">
      <c r="C35" s="19"/>
      <c r="D35" s="3"/>
      <c r="E35" s="17"/>
      <c r="F35" s="3"/>
      <c r="M35" s="3"/>
      <c r="N35" s="3"/>
      <c r="O35" s="3"/>
      <c r="P35" s="3"/>
      <c r="Q35" s="3"/>
      <c r="R35" s="3"/>
      <c r="S35" s="3"/>
      <c r="T35" s="3"/>
      <c r="U35" s="3"/>
      <c r="V35" s="3"/>
      <c r="W35" s="36"/>
      <c r="X35" s="30"/>
      <c r="Y35" s="30"/>
      <c r="Z35" s="30"/>
      <c r="AA35" s="30"/>
      <c r="AB35" s="30"/>
    </row>
    <row r="36" spans="3:28" x14ac:dyDescent="0.25">
      <c r="C36" s="19"/>
      <c r="D36" s="3"/>
      <c r="E36" s="17"/>
      <c r="F36" s="3"/>
      <c r="M36" s="3"/>
      <c r="N36" s="3"/>
      <c r="O36" s="3"/>
      <c r="P36" s="3"/>
      <c r="Q36" s="3"/>
      <c r="R36" s="3"/>
      <c r="S36" s="3"/>
      <c r="T36" s="3"/>
      <c r="U36" s="3"/>
      <c r="V36" s="3"/>
      <c r="W36" s="36"/>
      <c r="X36" s="30"/>
      <c r="Y36" s="30"/>
      <c r="Z36" s="30"/>
      <c r="AA36" s="30"/>
      <c r="AB36" s="30"/>
    </row>
    <row r="37" spans="3:28" x14ac:dyDescent="0.25">
      <c r="C37" s="19"/>
      <c r="D37" s="3"/>
      <c r="E37" s="17"/>
      <c r="F37" s="3"/>
      <c r="M37" s="3"/>
      <c r="N37" s="3"/>
      <c r="O37" s="3"/>
      <c r="P37" s="3"/>
      <c r="Q37" s="3"/>
      <c r="R37" s="3"/>
      <c r="S37" s="3"/>
      <c r="T37" s="3"/>
      <c r="U37" s="3"/>
      <c r="V37" s="3"/>
      <c r="W37" s="36"/>
      <c r="X37" s="30"/>
      <c r="Y37" s="30"/>
      <c r="Z37" s="30"/>
      <c r="AA37" s="30"/>
      <c r="AB37" s="30"/>
    </row>
    <row r="38" spans="3:28" x14ac:dyDescent="0.25">
      <c r="C38" s="19"/>
      <c r="D38" s="3"/>
      <c r="E38" s="17"/>
      <c r="F38" s="3"/>
      <c r="M38" s="3"/>
      <c r="N38" s="3"/>
      <c r="O38" s="3"/>
      <c r="P38" s="3"/>
      <c r="Q38" s="3"/>
      <c r="R38" s="3"/>
      <c r="S38" s="3"/>
      <c r="T38" s="3"/>
      <c r="U38" s="3"/>
      <c r="V38" s="3"/>
      <c r="W38" s="36"/>
      <c r="X38" s="30" t="s">
        <v>30</v>
      </c>
      <c r="Y38" s="30"/>
      <c r="Z38" s="30"/>
      <c r="AA38" s="30"/>
      <c r="AB38" s="30"/>
    </row>
    <row r="39" spans="3:28" ht="17.399999999999999" x14ac:dyDescent="0.3">
      <c r="C39" s="19"/>
      <c r="D39" s="3"/>
      <c r="E39" s="17"/>
      <c r="F39" s="3"/>
      <c r="M39" s="3"/>
      <c r="N39" s="3"/>
      <c r="O39" s="3"/>
      <c r="P39" s="3"/>
      <c r="Q39" s="3"/>
      <c r="R39" s="3"/>
      <c r="S39" s="3"/>
      <c r="T39" s="3"/>
      <c r="U39" s="3"/>
      <c r="V39" s="3"/>
      <c r="W39" s="36"/>
      <c r="X39" s="37">
        <f>X8</f>
        <v>142</v>
      </c>
      <c r="Y39" s="41" t="s">
        <v>34</v>
      </c>
      <c r="Z39" s="30"/>
      <c r="AA39" s="30"/>
      <c r="AB39" s="30"/>
    </row>
    <row r="40" spans="3:28" x14ac:dyDescent="0.25">
      <c r="C40" s="19"/>
      <c r="D40" s="3"/>
      <c r="E40" s="17"/>
      <c r="F40" s="3"/>
      <c r="M40" s="3"/>
      <c r="N40" s="3"/>
      <c r="O40" s="3"/>
      <c r="P40" s="3"/>
      <c r="Q40" s="3"/>
      <c r="R40" s="3"/>
      <c r="S40" s="3"/>
      <c r="T40" s="3"/>
      <c r="U40" s="3"/>
      <c r="V40" s="3"/>
      <c r="W40" s="36"/>
      <c r="X40" s="30"/>
      <c r="Y40" s="30" t="s">
        <v>35</v>
      </c>
      <c r="Z40" s="30"/>
      <c r="AA40" s="30"/>
      <c r="AB40" s="30"/>
    </row>
    <row r="41" spans="3:28" x14ac:dyDescent="0.25">
      <c r="C41" s="19"/>
      <c r="D41" s="3"/>
      <c r="E41" s="17"/>
      <c r="F41" s="3"/>
      <c r="M41" s="3"/>
      <c r="N41" s="3"/>
      <c r="O41" s="3"/>
      <c r="P41" s="3"/>
      <c r="Q41" s="3"/>
      <c r="R41" s="3"/>
      <c r="S41" s="3"/>
      <c r="T41" s="3"/>
      <c r="U41" s="3"/>
      <c r="V41" s="3"/>
      <c r="W41" s="36"/>
      <c r="X41" s="30"/>
      <c r="Y41" s="30" t="s">
        <v>36</v>
      </c>
      <c r="Z41" s="30"/>
      <c r="AA41" s="30"/>
      <c r="AB41" s="30"/>
    </row>
    <row r="42" spans="3:28" x14ac:dyDescent="0.25">
      <c r="C42" s="19"/>
      <c r="D42" s="3"/>
      <c r="E42" s="17"/>
      <c r="F42" s="3"/>
      <c r="M42" s="3"/>
      <c r="N42" s="3"/>
      <c r="O42" s="3"/>
      <c r="P42" s="3"/>
      <c r="Q42" s="3"/>
      <c r="R42" s="3"/>
      <c r="S42" s="3"/>
      <c r="T42" s="3"/>
      <c r="U42" s="3"/>
      <c r="V42" s="3"/>
      <c r="W42" s="36"/>
      <c r="X42" s="30"/>
      <c r="Y42" s="30"/>
      <c r="Z42" s="30"/>
      <c r="AA42" s="30"/>
      <c r="AB42" s="30"/>
    </row>
    <row r="43" spans="3:28" x14ac:dyDescent="0.25">
      <c r="C43" s="19"/>
      <c r="D43" s="3"/>
      <c r="E43" s="17"/>
      <c r="F43" s="3"/>
      <c r="M43" s="3"/>
      <c r="N43" s="3"/>
      <c r="O43" s="3"/>
      <c r="P43" s="3"/>
      <c r="Q43" s="3"/>
      <c r="R43" s="3"/>
      <c r="S43" s="3"/>
      <c r="T43" s="3"/>
      <c r="U43" s="3"/>
      <c r="V43" s="3"/>
      <c r="W43" s="36"/>
      <c r="X43" s="30"/>
      <c r="Y43" s="30"/>
      <c r="Z43" s="30"/>
      <c r="AA43" s="30"/>
      <c r="AB43" s="30"/>
    </row>
    <row r="44" spans="3:28" x14ac:dyDescent="0.25">
      <c r="C44" s="19"/>
      <c r="D44" s="3"/>
      <c r="E44" s="17"/>
      <c r="F44" s="3"/>
      <c r="M44" s="3"/>
      <c r="N44" s="3"/>
      <c r="O44" s="3"/>
      <c r="P44" s="3"/>
      <c r="Q44" s="3"/>
      <c r="R44" s="3"/>
      <c r="S44" s="3"/>
      <c r="T44" s="3"/>
      <c r="U44" s="3"/>
      <c r="V44" s="3"/>
      <c r="W44" s="36"/>
      <c r="X44" s="30"/>
      <c r="Y44" s="30"/>
      <c r="Z44" s="30"/>
      <c r="AA44" s="30"/>
      <c r="AB44" s="30"/>
    </row>
    <row r="45" spans="3:28" ht="15" x14ac:dyDescent="0.25">
      <c r="C45" s="19"/>
      <c r="D45" s="3"/>
      <c r="E45" s="17"/>
      <c r="F45" s="3"/>
      <c r="M45" s="3"/>
      <c r="N45" s="3"/>
      <c r="O45" s="3"/>
      <c r="P45" s="3"/>
      <c r="Q45" s="3"/>
      <c r="R45" s="3"/>
      <c r="S45" s="3"/>
      <c r="T45" s="3"/>
      <c r="U45" s="3"/>
      <c r="V45" s="3"/>
      <c r="W45" s="36"/>
      <c r="X45" s="58"/>
      <c r="Y45" s="30"/>
      <c r="Z45" s="30"/>
      <c r="AA45" s="30"/>
      <c r="AB45" s="30"/>
    </row>
    <row r="46" spans="3:28" x14ac:dyDescent="0.25">
      <c r="C46" s="19"/>
      <c r="D46" s="3"/>
      <c r="E46" s="17"/>
      <c r="F46" s="3"/>
      <c r="M46" s="3"/>
      <c r="N46" s="3"/>
      <c r="O46" s="3"/>
      <c r="P46" s="3"/>
      <c r="Q46" s="3"/>
      <c r="R46" s="3"/>
      <c r="S46" s="3"/>
      <c r="T46" s="3"/>
      <c r="U46" s="3"/>
      <c r="V46" s="3"/>
      <c r="W46" s="36"/>
      <c r="X46" s="30"/>
      <c r="Y46" s="30"/>
      <c r="Z46" s="30"/>
      <c r="AA46" s="30"/>
      <c r="AB46" s="30"/>
    </row>
    <row r="47" spans="3:28" x14ac:dyDescent="0.25">
      <c r="C47" s="19"/>
      <c r="D47" s="3"/>
      <c r="E47" s="17"/>
      <c r="F47" s="3"/>
      <c r="M47" s="3"/>
      <c r="N47" s="3"/>
      <c r="O47" s="3"/>
      <c r="P47" s="3"/>
      <c r="Q47" s="3"/>
      <c r="R47" s="3"/>
      <c r="S47" s="3"/>
      <c r="T47" s="3"/>
      <c r="U47" s="3"/>
      <c r="V47" s="3"/>
      <c r="W47" s="36"/>
      <c r="X47" s="30"/>
      <c r="Y47" s="30"/>
      <c r="Z47" s="30"/>
      <c r="AA47" s="30"/>
      <c r="AB47" s="30"/>
    </row>
    <row r="48" spans="3:28" x14ac:dyDescent="0.25">
      <c r="C48" s="19"/>
      <c r="D48" s="3"/>
      <c r="E48" s="17"/>
      <c r="F48" s="3"/>
      <c r="M48" s="3"/>
      <c r="N48" s="3"/>
      <c r="O48" s="3"/>
      <c r="P48" s="3"/>
      <c r="Q48" s="3"/>
      <c r="R48" s="3"/>
      <c r="S48" s="3"/>
      <c r="T48" s="3"/>
      <c r="U48" s="3"/>
      <c r="V48" s="3"/>
      <c r="W48" s="36"/>
      <c r="X48" s="30"/>
      <c r="Y48" s="30"/>
      <c r="Z48" s="30"/>
      <c r="AA48" s="30"/>
      <c r="AB48" s="30"/>
    </row>
    <row r="49" spans="2:28" x14ac:dyDescent="0.25">
      <c r="C49" s="19"/>
      <c r="D49" s="3"/>
      <c r="E49" s="17"/>
      <c r="F49" s="3"/>
      <c r="M49" s="3"/>
      <c r="N49" s="3"/>
      <c r="O49" s="3"/>
      <c r="P49" s="3"/>
      <c r="Q49" s="3"/>
      <c r="R49" s="3"/>
      <c r="S49" s="3"/>
      <c r="T49" s="3"/>
      <c r="U49" s="3"/>
      <c r="V49" s="3"/>
      <c r="W49" s="36"/>
      <c r="X49" s="30"/>
      <c r="Y49" s="30"/>
      <c r="Z49" s="30"/>
      <c r="AA49" s="30"/>
      <c r="AB49" s="30"/>
    </row>
    <row r="50" spans="2:28" x14ac:dyDescent="0.25">
      <c r="C50" s="19"/>
      <c r="D50" s="3"/>
      <c r="E50" s="17"/>
      <c r="F50" s="3"/>
      <c r="M50" s="3"/>
      <c r="N50" s="3"/>
      <c r="O50" s="3"/>
      <c r="P50" s="3"/>
      <c r="Q50" s="3"/>
      <c r="R50" s="3"/>
      <c r="S50" s="3"/>
      <c r="T50" s="3"/>
      <c r="U50" s="3"/>
      <c r="V50" s="3"/>
      <c r="W50" s="36"/>
      <c r="X50" s="30"/>
      <c r="Y50" s="30"/>
      <c r="Z50" s="30"/>
      <c r="AA50" s="30"/>
      <c r="AB50" s="30"/>
    </row>
    <row r="51" spans="2:28" x14ac:dyDescent="0.25">
      <c r="C51" s="19"/>
      <c r="D51" s="3"/>
      <c r="E51" s="17"/>
      <c r="F51" s="3"/>
      <c r="M51" s="3"/>
      <c r="N51" s="3"/>
      <c r="O51" s="3"/>
      <c r="P51" s="3"/>
      <c r="Q51" s="3"/>
      <c r="R51" s="3"/>
      <c r="S51" s="3"/>
      <c r="T51" s="3"/>
      <c r="U51" s="3"/>
      <c r="V51" s="3"/>
      <c r="W51" s="36"/>
      <c r="X51" s="30"/>
      <c r="Y51" s="30"/>
      <c r="Z51" s="30"/>
      <c r="AA51" s="30"/>
      <c r="AB51" s="30"/>
    </row>
    <row r="52" spans="2:28" x14ac:dyDescent="0.25">
      <c r="C52" s="19"/>
      <c r="D52" s="3"/>
      <c r="E52" s="17"/>
      <c r="F52" s="3"/>
      <c r="M52" s="3"/>
      <c r="N52" s="3"/>
      <c r="O52" s="3"/>
      <c r="P52" s="3"/>
      <c r="Q52" s="3"/>
      <c r="R52" s="3"/>
      <c r="S52" s="3"/>
      <c r="T52" s="3"/>
      <c r="U52" s="3"/>
      <c r="V52" s="3"/>
      <c r="W52" s="36"/>
      <c r="X52" s="30"/>
      <c r="Y52" s="30"/>
      <c r="Z52" s="30"/>
      <c r="AA52" s="30"/>
      <c r="AB52" s="30"/>
    </row>
    <row r="53" spans="2:28" x14ac:dyDescent="0.25">
      <c r="C53" s="19"/>
      <c r="D53" s="3"/>
      <c r="E53" s="17"/>
      <c r="F53" s="3"/>
      <c r="M53" s="3"/>
      <c r="N53" s="3"/>
      <c r="O53" s="3"/>
      <c r="P53" s="3"/>
      <c r="Q53" s="3"/>
      <c r="R53" s="3"/>
      <c r="S53" s="3"/>
      <c r="T53" s="3"/>
      <c r="U53" s="3"/>
      <c r="V53" s="3"/>
      <c r="W53" s="36"/>
      <c r="X53" s="30"/>
      <c r="Y53" s="30"/>
      <c r="Z53" s="30"/>
      <c r="AA53" s="30"/>
      <c r="AB53" s="30"/>
    </row>
    <row r="54" spans="2:28" x14ac:dyDescent="0.25">
      <c r="C54" s="19"/>
      <c r="D54" s="3"/>
      <c r="E54" s="17"/>
      <c r="F54" s="3"/>
      <c r="M54" s="3"/>
      <c r="N54" s="3"/>
      <c r="O54" s="3"/>
      <c r="P54" s="3"/>
      <c r="Q54" s="3"/>
      <c r="R54" s="3"/>
      <c r="S54" s="3"/>
      <c r="T54" s="3"/>
      <c r="U54" s="3"/>
      <c r="V54" s="3"/>
      <c r="W54" s="36"/>
      <c r="X54" s="30"/>
      <c r="Y54" s="30"/>
      <c r="Z54" s="30"/>
      <c r="AA54" s="30"/>
      <c r="AB54" s="30"/>
    </row>
    <row r="55" spans="2:28" ht="15.75" customHeight="1" x14ac:dyDescent="0.3">
      <c r="C55" s="19"/>
      <c r="D55" s="3"/>
      <c r="E55" s="17"/>
      <c r="F55" s="3"/>
      <c r="M55" s="3"/>
      <c r="N55" s="3"/>
      <c r="O55" s="3"/>
      <c r="P55" s="3"/>
      <c r="Q55" s="3"/>
      <c r="R55" s="3"/>
      <c r="S55" s="3"/>
      <c r="T55" s="3"/>
      <c r="U55" s="3"/>
      <c r="V55" s="3"/>
      <c r="W55" s="36"/>
      <c r="X55" s="30"/>
      <c r="Y55" s="30"/>
      <c r="Z55" s="40"/>
      <c r="AA55" s="30"/>
      <c r="AB55" s="30"/>
    </row>
    <row r="56" spans="2:28" ht="15.75" customHeight="1" x14ac:dyDescent="0.3">
      <c r="C56" s="19"/>
      <c r="D56" s="3"/>
      <c r="E56" s="17"/>
      <c r="F56" s="3"/>
      <c r="M56" s="3"/>
      <c r="N56" s="3"/>
      <c r="O56" s="3"/>
      <c r="P56" s="3"/>
      <c r="Q56" s="3"/>
      <c r="R56" s="3"/>
      <c r="S56" s="3"/>
      <c r="T56" s="3"/>
      <c r="U56" s="3"/>
      <c r="V56" s="3"/>
      <c r="W56" s="36"/>
      <c r="X56" s="30"/>
      <c r="Y56" s="30"/>
      <c r="Z56" s="59"/>
      <c r="AA56" s="30"/>
      <c r="AB56" s="30"/>
    </row>
    <row r="57" spans="2:28" ht="15.75" customHeight="1" x14ac:dyDescent="0.3">
      <c r="C57" s="19"/>
      <c r="D57" s="3"/>
      <c r="E57" s="17"/>
      <c r="F57" s="3"/>
      <c r="M57" s="3"/>
      <c r="N57" s="3"/>
      <c r="O57" s="3"/>
      <c r="P57" s="3"/>
      <c r="Q57" s="3"/>
      <c r="R57" s="3"/>
      <c r="S57" s="3"/>
      <c r="T57" s="3"/>
      <c r="U57" s="3"/>
      <c r="V57" s="3"/>
      <c r="W57" s="36"/>
      <c r="X57" s="30"/>
      <c r="Y57" s="30"/>
      <c r="Z57" s="59"/>
      <c r="AA57" s="30"/>
      <c r="AB57" s="30"/>
    </row>
    <row r="58" spans="2:28" ht="15.75" customHeight="1" x14ac:dyDescent="0.3">
      <c r="C58" s="19"/>
      <c r="D58" s="3"/>
      <c r="E58" s="17"/>
      <c r="F58" s="3"/>
      <c r="M58" s="3"/>
      <c r="N58" s="3"/>
      <c r="O58" s="3"/>
      <c r="P58" s="3"/>
      <c r="Q58" s="3"/>
      <c r="R58" s="3"/>
      <c r="S58" s="3"/>
      <c r="T58" s="3"/>
      <c r="U58" s="3"/>
      <c r="V58" s="3"/>
      <c r="W58" s="36"/>
      <c r="X58" s="30" t="s">
        <v>30</v>
      </c>
      <c r="Y58" s="30"/>
      <c r="Z58" s="60"/>
      <c r="AA58" s="30"/>
      <c r="AB58" s="30"/>
    </row>
    <row r="59" spans="2:28" ht="17.399999999999999" x14ac:dyDescent="0.3">
      <c r="C59" s="19"/>
      <c r="D59" s="3"/>
      <c r="E59" s="17"/>
      <c r="F59" s="3"/>
      <c r="M59" s="3"/>
      <c r="N59" s="3"/>
      <c r="O59" s="3"/>
      <c r="P59" s="3"/>
      <c r="Q59" s="3"/>
      <c r="R59" s="3"/>
      <c r="S59" s="3"/>
      <c r="T59" s="3"/>
      <c r="U59" s="3"/>
      <c r="V59" s="3"/>
      <c r="W59" s="36">
        <f>W60*E8</f>
        <v>47.110214197665258</v>
      </c>
      <c r="X59" s="37">
        <f>X39</f>
        <v>142</v>
      </c>
      <c r="Y59" s="30"/>
      <c r="Z59" s="30"/>
      <c r="AA59" s="30"/>
      <c r="AB59" s="30"/>
    </row>
    <row r="60" spans="2:28" ht="17.399999999999999" x14ac:dyDescent="0.3">
      <c r="C60" s="19"/>
      <c r="D60" s="3"/>
      <c r="E60" s="17"/>
      <c r="F60" s="3"/>
      <c r="M60" s="3"/>
      <c r="N60" s="42"/>
      <c r="O60" s="3"/>
      <c r="P60" s="3"/>
      <c r="Q60" s="3"/>
      <c r="R60" s="3"/>
      <c r="S60" s="3"/>
      <c r="T60" s="3">
        <f>MEDIAN(Table2234210234567[abs(lab)])</f>
        <v>0.98999974999999907</v>
      </c>
      <c r="U60" s="3"/>
      <c r="V60" s="3">
        <f>MEDIAN(Table2234210234567[abs(anl)])</f>
        <v>0.83968729425501976</v>
      </c>
      <c r="W60" s="2">
        <f>MEDIAN(Table2234210234567[Produits Lab x Anl])</f>
        <v>0.58887767747081576</v>
      </c>
      <c r="X60" s="37"/>
      <c r="Z60" s="60"/>
      <c r="AA60" s="30"/>
      <c r="AB60" s="30"/>
    </row>
    <row r="61" spans="2:28" ht="13.8" x14ac:dyDescent="0.25">
      <c r="D61" s="43" t="s">
        <v>1</v>
      </c>
      <c r="E61" s="1"/>
      <c r="F61" s="43" t="s">
        <v>2</v>
      </c>
      <c r="G61" s="4"/>
      <c r="M61" s="3"/>
      <c r="W61" s="22"/>
      <c r="Y61" s="22"/>
    </row>
    <row r="62" spans="2:28" s="22" customFormat="1" ht="42.75" customHeight="1" x14ac:dyDescent="0.25">
      <c r="B62" s="20" t="s">
        <v>0</v>
      </c>
      <c r="C62" t="s">
        <v>67</v>
      </c>
      <c r="D62" t="s">
        <v>65</v>
      </c>
      <c r="E62" t="s">
        <v>66</v>
      </c>
      <c r="F62" s="82" t="s">
        <v>171</v>
      </c>
      <c r="G62" s="20" t="s">
        <v>48</v>
      </c>
      <c r="H62" s="20" t="s">
        <v>3</v>
      </c>
      <c r="I62" s="20" t="s">
        <v>23</v>
      </c>
      <c r="J62" s="20" t="s">
        <v>4</v>
      </c>
      <c r="K62" s="20" t="s">
        <v>51</v>
      </c>
      <c r="L62" s="20" t="s">
        <v>52</v>
      </c>
      <c r="M62" s="21" t="s">
        <v>5</v>
      </c>
      <c r="N62" s="21" t="s">
        <v>32</v>
      </c>
      <c r="O62" s="21" t="s">
        <v>31</v>
      </c>
      <c r="P62" s="21" t="s">
        <v>33</v>
      </c>
      <c r="Q62" s="21" t="s">
        <v>50</v>
      </c>
      <c r="R62" s="21" t="s">
        <v>49</v>
      </c>
      <c r="S62" s="21" t="s">
        <v>58</v>
      </c>
      <c r="T62" s="21" t="s">
        <v>60</v>
      </c>
      <c r="U62" s="64" t="s">
        <v>59</v>
      </c>
      <c r="V62" s="64" t="s">
        <v>61</v>
      </c>
      <c r="W62" s="21" t="s">
        <v>62</v>
      </c>
      <c r="X62" s="22" t="str">
        <f>D62</f>
        <v>REF</v>
      </c>
      <c r="Z62" s="2"/>
      <c r="AA62" s="22" t="str">
        <f>F62</f>
        <v>Lucas D</v>
      </c>
      <c r="AB62" s="2"/>
    </row>
    <row r="63" spans="2:28" x14ac:dyDescent="0.25">
      <c r="B63" s="46">
        <f ca="1">VALUE((Table2234210234567[[#This Row],[Column3]]-62))</f>
        <v>1</v>
      </c>
      <c r="C63" t="s">
        <v>69</v>
      </c>
      <c r="D63">
        <v>9.9399996000000002</v>
      </c>
      <c r="E63"/>
      <c r="F63">
        <v>3.47844615379586</v>
      </c>
      <c r="G63" s="29">
        <f>Table2234210234567[[#This Row],[Lucas D]]-Table2234210234567[[#This Row],[REF]]</f>
        <v>-6.4615534462041406</v>
      </c>
      <c r="H63" s="29">
        <f>Table2234210234567[[#This Row],[X-Y]]-E$20</f>
        <v>-0.24665500383307304</v>
      </c>
      <c r="I63" s="29">
        <f>Table2234210234567[[#This Row],[Lucas D]]-E$20</f>
        <v>9.6933445961669271</v>
      </c>
      <c r="J63" s="29">
        <f>Table2234210234567[[#This Row],[Lucas D]]*E$21+E$22</f>
        <v>9.8749462150602163</v>
      </c>
      <c r="K63" s="56">
        <f>Table2234210234567[[#This Row],[Yest]]-Table2234210234567[[#This Row],[REF]]</f>
        <v>-6.5053384939783854E-2</v>
      </c>
      <c r="L63" s="56">
        <f>ABS(Table2234210234567[[#This Row],[RESyx]])</f>
        <v>6.5053384939783854E-2</v>
      </c>
      <c r="M63" s="29">
        <f>Table2234210234567[[#This Row],[Lucas D]]*E$25+E$26</f>
        <v>9.7219529314126767</v>
      </c>
      <c r="N63" s="29">
        <f>Table2234210234567[[#This Row],[X-Y]]^2</f>
        <v>41.751672938152609</v>
      </c>
      <c r="O63" s="57">
        <f>Table2234210234567[[#This Row],[yest_rect]]-Table2234210234567[[#This Row],[REF]]</f>
        <v>-0.21804666858732347</v>
      </c>
      <c r="P63" s="57">
        <f>Table2234210234567[[#This Row],[dif rec]]^2</f>
        <v>4.7544349682030071E-2</v>
      </c>
      <c r="Q63" s="57">
        <f>ABS(Table2234210234567[[#This Row],[diff-bias]])</f>
        <v>0.24665500383307304</v>
      </c>
      <c r="R63" s="57">
        <f ca="1">CELL("row",Table2234210234567[[#This Row],[Position]])</f>
        <v>63</v>
      </c>
      <c r="S63" s="4">
        <f>Table2234210234567[[#This Row],[REF]]-D$13</f>
        <v>-1.0700006500000008</v>
      </c>
      <c r="T63" s="4">
        <f>ABS(Table2234210234567[[#This Row],[lab-med]])</f>
        <v>1.0700006500000008</v>
      </c>
      <c r="U63" s="4">
        <f>Table2234210234567[[#This Row],[Lucas D]]-F$13</f>
        <v>-1.2076609002464802</v>
      </c>
      <c r="V63" s="4">
        <f>ABS(Table2234210234567[[#This Row],[anl-med]])</f>
        <v>1.2076609002464802</v>
      </c>
      <c r="W63" s="4">
        <f>Table2234210234567[[#This Row],[lab-med]]*Table2234210234567[[#This Row],[anl-med]]</f>
        <v>1.2921979482433199</v>
      </c>
    </row>
    <row r="64" spans="2:28" x14ac:dyDescent="0.25">
      <c r="B64" s="46">
        <f ca="1">VALUE((Table2234210234567[[#This Row],[Column3]]-62))</f>
        <v>2</v>
      </c>
      <c r="C64" t="s">
        <v>70</v>
      </c>
      <c r="D64">
        <v>10.0200005</v>
      </c>
      <c r="E64"/>
      <c r="F64">
        <v>4.2718664341914101</v>
      </c>
      <c r="G64" s="29">
        <f>Table2234210234567[[#This Row],[Lucas D]]-Table2234210234567[[#This Row],[REF]]</f>
        <v>-5.74813406580859</v>
      </c>
      <c r="H64" s="29">
        <f>Table2234210234567[[#This Row],[X-Y]]-E$20</f>
        <v>0.4667643765624776</v>
      </c>
      <c r="I64" s="29">
        <f>Table2234210234567[[#This Row],[Lucas D]]-E$20</f>
        <v>10.486764876562479</v>
      </c>
      <c r="J64" s="29">
        <f>Table2234210234567[[#This Row],[Lucas D]]*E$21+E$22</f>
        <v>10.566621722934686</v>
      </c>
      <c r="K64" s="56">
        <f>Table2234210234567[[#This Row],[Yest]]-Table2234210234567[[#This Row],[REF]]</f>
        <v>0.54662122293468585</v>
      </c>
      <c r="L64" s="56">
        <f>ABS(Table2234210234567[[#This Row],[RESyx]])</f>
        <v>0.54662122293468585</v>
      </c>
      <c r="M64" s="29">
        <f>Table2234210234567[[#This Row],[Lucas D]]*E$25+E$26</f>
        <v>10.499345003582309</v>
      </c>
      <c r="N64" s="29">
        <f>Table2234210234567[[#This Row],[X-Y]]^2</f>
        <v>33.041045238509192</v>
      </c>
      <c r="O64" s="57">
        <f>Table2234210234567[[#This Row],[yest_rect]]-Table2234210234567[[#This Row],[REF]]</f>
        <v>0.4793445035823094</v>
      </c>
      <c r="P64" s="57">
        <f>Table2234210234567[[#This Row],[dif rec]]^2</f>
        <v>0.22977115311457064</v>
      </c>
      <c r="Q64" s="57">
        <f>ABS(Table2234210234567[[#This Row],[diff-bias]])</f>
        <v>0.4667643765624776</v>
      </c>
      <c r="R64" s="57">
        <f ca="1">CELL("row",Table2234210234567[[#This Row],[Position]])</f>
        <v>64</v>
      </c>
      <c r="S64" s="4">
        <f>Table2234210234567[[#This Row],[REF]]-D$13</f>
        <v>-0.98999975000000084</v>
      </c>
      <c r="T64" s="4">
        <f>ABS(Table2234210234567[[#This Row],[lab-med]])</f>
        <v>0.98999975000000084</v>
      </c>
      <c r="U64" s="4">
        <f>Table2234210234567[[#This Row],[Lucas D]]-F$13</f>
        <v>-0.41424061985093008</v>
      </c>
      <c r="V64" s="4">
        <f>ABS(Table2234210234567[[#This Row],[anl-med]])</f>
        <v>0.41424061985093008</v>
      </c>
      <c r="W64" s="4">
        <f>Table2234210234567[[#This Row],[lab-med]]*Table2234210234567[[#This Row],[anl-med]]</f>
        <v>0.41009811009226615</v>
      </c>
    </row>
    <row r="65" spans="2:23" x14ac:dyDescent="0.25">
      <c r="B65" s="46">
        <f ca="1">VALUE((Table2234210234567[[#This Row],[Column3]]-62))</f>
        <v>3</v>
      </c>
      <c r="C65" t="s">
        <v>71</v>
      </c>
      <c r="D65">
        <v>10</v>
      </c>
      <c r="E65"/>
      <c r="F65">
        <v>3.3444845835673198</v>
      </c>
      <c r="G65" s="29">
        <f>Table2234210234567[[#This Row],[Lucas D]]-Table2234210234567[[#This Row],[REF]]</f>
        <v>-6.6555154164326797</v>
      </c>
      <c r="H65" s="29">
        <f>Table2234210234567[[#This Row],[X-Y]]-E$20</f>
        <v>-0.44061697406161215</v>
      </c>
      <c r="I65" s="29">
        <f>Table2234210234567[[#This Row],[Lucas D]]-E$20</f>
        <v>9.5593830259383878</v>
      </c>
      <c r="J65" s="29">
        <f>Table2234210234567[[#This Row],[Lucas D]]*E$21+E$22</f>
        <v>9.7581632950707071</v>
      </c>
      <c r="K65" s="56">
        <f>Table2234210234567[[#This Row],[Yest]]-Table2234210234567[[#This Row],[REF]]</f>
        <v>-0.24183670492929288</v>
      </c>
      <c r="L65" s="56">
        <f>ABS(Table2234210234567[[#This Row],[RESyx]])</f>
        <v>0.24183670492929288</v>
      </c>
      <c r="M65" s="29">
        <f>Table2234210234567[[#This Row],[Lucas D]]*E$25+E$26</f>
        <v>9.5906975737614406</v>
      </c>
      <c r="N65" s="29">
        <f>Table2234210234567[[#This Row],[X-Y]]^2</f>
        <v>44.295885458373064</v>
      </c>
      <c r="O65" s="57">
        <f>Table2234210234567[[#This Row],[yest_rect]]-Table2234210234567[[#This Row],[REF]]</f>
        <v>-0.40930242623855939</v>
      </c>
      <c r="P65" s="57">
        <f>Table2234210234567[[#This Row],[dif rec]]^2</f>
        <v>0.16752847612477134</v>
      </c>
      <c r="Q65" s="57">
        <f>ABS(Table2234210234567[[#This Row],[diff-bias]])</f>
        <v>0.44061697406161215</v>
      </c>
      <c r="R65" s="57">
        <f ca="1">CELL("row",Table2234210234567[[#This Row],[Position]])</f>
        <v>65</v>
      </c>
      <c r="S65" s="4">
        <f>Table2234210234567[[#This Row],[REF]]-D$13</f>
        <v>-1.0100002500000009</v>
      </c>
      <c r="T65" s="4">
        <f>ABS(Table2234210234567[[#This Row],[lab-med]])</f>
        <v>1.0100002500000009</v>
      </c>
      <c r="U65" s="4">
        <f>Table2234210234567[[#This Row],[Lucas D]]-F$13</f>
        <v>-1.3416224704750204</v>
      </c>
      <c r="V65" s="4">
        <f>ABS(Table2234210234567[[#This Row],[anl-med]])</f>
        <v>1.3416224704750204</v>
      </c>
      <c r="W65" s="4">
        <f>Table2234210234567[[#This Row],[lab-med]]*Table2234210234567[[#This Row],[anl-med]]</f>
        <v>1.3550390305853894</v>
      </c>
    </row>
    <row r="66" spans="2:23" x14ac:dyDescent="0.25">
      <c r="B66" s="46">
        <f ca="1">VALUE((Table2234210234567[[#This Row],[Column3]]-62))</f>
        <v>4</v>
      </c>
      <c r="C66" t="s">
        <v>72</v>
      </c>
      <c r="D66">
        <v>10.5</v>
      </c>
      <c r="E66"/>
      <c r="F66">
        <v>4.6539353027743902</v>
      </c>
      <c r="G66" s="29">
        <f>Table2234210234567[[#This Row],[Lucas D]]-Table2234210234567[[#This Row],[REF]]</f>
        <v>-5.8460646972256098</v>
      </c>
      <c r="H66" s="29">
        <f>Table2234210234567[[#This Row],[X-Y]]-E$20</f>
        <v>0.36883374514545775</v>
      </c>
      <c r="I66" s="29">
        <f>Table2234210234567[[#This Row],[Lucas D]]-E$20</f>
        <v>10.868833745145459</v>
      </c>
      <c r="J66" s="29">
        <f>Table2234210234567[[#This Row],[Lucas D]]*E$21+E$22</f>
        <v>10.899695738371259</v>
      </c>
      <c r="K66" s="56">
        <f>Table2234210234567[[#This Row],[Yest]]-Table2234210234567[[#This Row],[REF]]</f>
        <v>0.39969573837125871</v>
      </c>
      <c r="L66" s="56">
        <f>ABS(Table2234210234567[[#This Row],[RESyx]])</f>
        <v>0.39969573837125871</v>
      </c>
      <c r="M66" s="29">
        <f>Table2234210234567[[#This Row],[Lucas D]]*E$25+E$26</f>
        <v>10.873695542380176</v>
      </c>
      <c r="N66" s="29">
        <f>Table2234210234567[[#This Row],[X-Y]]^2</f>
        <v>34.176472444147564</v>
      </c>
      <c r="O66" s="57">
        <f>Table2234210234567[[#This Row],[yest_rect]]-Table2234210234567[[#This Row],[REF]]</f>
        <v>0.37369554238017599</v>
      </c>
      <c r="P66" s="57">
        <f>Table2234210234567[[#This Row],[dif rec]]^2</f>
        <v>0.1396483583948139</v>
      </c>
      <c r="Q66" s="57">
        <f>ABS(Table2234210234567[[#This Row],[diff-bias]])</f>
        <v>0.36883374514545775</v>
      </c>
      <c r="R66" s="57">
        <f ca="1">CELL("row",Table2234210234567[[#This Row],[Position]])</f>
        <v>66</v>
      </c>
      <c r="S66" s="4">
        <f>Table2234210234567[[#This Row],[REF]]-D$13</f>
        <v>-0.51000025000000093</v>
      </c>
      <c r="T66" s="4">
        <f>ABS(Table2234210234567[[#This Row],[lab-med]])</f>
        <v>0.51000025000000093</v>
      </c>
      <c r="U66" s="4">
        <f>Table2234210234567[[#This Row],[Lucas D]]-F$13</f>
        <v>-3.2171751267950022E-2</v>
      </c>
      <c r="V66" s="4">
        <f>ABS(Table2234210234567[[#This Row],[anl-med]])</f>
        <v>3.2171751267950022E-2</v>
      </c>
      <c r="W66" s="4">
        <f>Table2234210234567[[#This Row],[lab-med]]*Table2234210234567[[#This Row],[anl-med]]</f>
        <v>1.6407601189592357E-2</v>
      </c>
    </row>
    <row r="67" spans="2:23" x14ac:dyDescent="0.25">
      <c r="B67" s="46">
        <f ca="1">VALUE((Table2234210234567[[#This Row],[Column3]]-62))</f>
        <v>5</v>
      </c>
      <c r="C67" t="s">
        <v>73</v>
      </c>
      <c r="D67">
        <v>10.779999699999999</v>
      </c>
      <c r="E67"/>
      <c r="F67">
        <v>4.1095108741988504</v>
      </c>
      <c r="G67" s="29">
        <f>Table2234210234567[[#This Row],[Lucas D]]-Table2234210234567[[#This Row],[REF]]</f>
        <v>-6.670488825801149</v>
      </c>
      <c r="H67" s="29">
        <f>Table2234210234567[[#This Row],[X-Y]]-E$20</f>
        <v>-0.4555903834300814</v>
      </c>
      <c r="I67" s="29">
        <f>Table2234210234567[[#This Row],[Lucas D]]-E$20</f>
        <v>10.324409316569918</v>
      </c>
      <c r="J67" s="29">
        <f>Table2234210234567[[#This Row],[Lucas D]]*E$21+E$22</f>
        <v>10.425085935170207</v>
      </c>
      <c r="K67" s="56">
        <f>Table2234210234567[[#This Row],[Yest]]-Table2234210234567[[#This Row],[REF]]</f>
        <v>-0.3549137648297922</v>
      </c>
      <c r="L67" s="56">
        <f>ABS(Table2234210234567[[#This Row],[RESyx]])</f>
        <v>0.3549137648297922</v>
      </c>
      <c r="M67" s="29">
        <f>Table2234210234567[[#This Row],[Lucas D]]*E$25+E$26</f>
        <v>10.340269254790062</v>
      </c>
      <c r="N67" s="29">
        <f>Table2234210234567[[#This Row],[X-Y]]^2</f>
        <v>44.495421175137992</v>
      </c>
      <c r="O67" s="57">
        <f>Table2234210234567[[#This Row],[yest_rect]]-Table2234210234567[[#This Row],[REF]]</f>
        <v>-0.43973044520993732</v>
      </c>
      <c r="P67" s="57">
        <f>Table2234210234567[[#This Row],[dif rec]]^2</f>
        <v>0.19336286444452969</v>
      </c>
      <c r="Q67" s="57">
        <f>ABS(Table2234210234567[[#This Row],[diff-bias]])</f>
        <v>0.4555903834300814</v>
      </c>
      <c r="R67" s="57">
        <f ca="1">CELL("row",Table2234210234567[[#This Row],[Position]])</f>
        <v>67</v>
      </c>
      <c r="S67" s="4">
        <f>Table2234210234567[[#This Row],[REF]]-D$13</f>
        <v>-0.23000055000000152</v>
      </c>
      <c r="T67" s="4">
        <f>ABS(Table2234210234567[[#This Row],[lab-med]])</f>
        <v>0.23000055000000152</v>
      </c>
      <c r="U67" s="4">
        <f>Table2234210234567[[#This Row],[Lucas D]]-F$13</f>
        <v>-0.57659617984348976</v>
      </c>
      <c r="V67" s="4">
        <f>ABS(Table2234210234567[[#This Row],[anl-med]])</f>
        <v>0.57659617984348976</v>
      </c>
      <c r="W67" s="4">
        <f>Table2234210234567[[#This Row],[lab-med]]*Table2234210234567[[#This Row],[anl-med]]</f>
        <v>0.13261743849190244</v>
      </c>
    </row>
    <row r="68" spans="2:23" x14ac:dyDescent="0.25">
      <c r="B68" s="46">
        <f ca="1">VALUE((Table2234210234567[[#This Row],[Column3]]-62))</f>
        <v>6</v>
      </c>
      <c r="C68" t="s">
        <v>74</v>
      </c>
      <c r="D68">
        <v>10.449999800000001</v>
      </c>
      <c r="E68"/>
      <c r="F68">
        <v>4.4478419076573701</v>
      </c>
      <c r="G68" s="29">
        <f>Table2234210234567[[#This Row],[Lucas D]]-Table2234210234567[[#This Row],[REF]]</f>
        <v>-6.0021578923426304</v>
      </c>
      <c r="H68" s="29">
        <f>Table2234210234567[[#This Row],[X-Y]]-E$20</f>
        <v>0.21274055002843717</v>
      </c>
      <c r="I68" s="29">
        <f>Table2234210234567[[#This Row],[Lucas D]]-E$20</f>
        <v>10.662740350028438</v>
      </c>
      <c r="J68" s="29">
        <f>Table2234210234567[[#This Row],[Lucas D]]*E$21+E$22</f>
        <v>10.72003086559277</v>
      </c>
      <c r="K68" s="56">
        <f>Table2234210234567[[#This Row],[Yest]]-Table2234210234567[[#This Row],[REF]]</f>
        <v>0.27003106559276979</v>
      </c>
      <c r="L68" s="56">
        <f>ABS(Table2234210234567[[#This Row],[RESyx]])</f>
        <v>0.27003106559276979</v>
      </c>
      <c r="M68" s="29">
        <f>Table2234210234567[[#This Row],[Lucas D]]*E$25+E$26</f>
        <v>10.671765524394473</v>
      </c>
      <c r="N68" s="29">
        <f>Table2234210234567[[#This Row],[X-Y]]^2</f>
        <v>36.025899364610929</v>
      </c>
      <c r="O68" s="57">
        <f>Table2234210234567[[#This Row],[yest_rect]]-Table2234210234567[[#This Row],[REF]]</f>
        <v>0.22176572439447284</v>
      </c>
      <c r="P68" s="57">
        <f>Table2234210234567[[#This Row],[dif rec]]^2</f>
        <v>4.9180036516205283E-2</v>
      </c>
      <c r="Q68" s="57">
        <f>ABS(Table2234210234567[[#This Row],[diff-bias]])</f>
        <v>0.21274055002843717</v>
      </c>
      <c r="R68" s="57">
        <f ca="1">CELL("row",Table2234210234567[[#This Row],[Position]])</f>
        <v>68</v>
      </c>
      <c r="S68" s="4">
        <f>Table2234210234567[[#This Row],[REF]]-D$13</f>
        <v>-0.56000045000000043</v>
      </c>
      <c r="T68" s="4">
        <f>ABS(Table2234210234567[[#This Row],[lab-med]])</f>
        <v>0.56000045000000043</v>
      </c>
      <c r="U68" s="4">
        <f>Table2234210234567[[#This Row],[Lucas D]]-F$13</f>
        <v>-0.23826514638497009</v>
      </c>
      <c r="V68" s="4">
        <f>ABS(Table2234210234567[[#This Row],[anl-med]])</f>
        <v>0.23826514638497009</v>
      </c>
      <c r="W68" s="4">
        <f>Table2234210234567[[#This Row],[lab-med]]*Table2234210234567[[#This Row],[anl-med]]</f>
        <v>0.13342858919489922</v>
      </c>
    </row>
    <row r="69" spans="2:23" x14ac:dyDescent="0.25">
      <c r="B69" s="46">
        <f ca="1">VALUE((Table2234210234567[[#This Row],[Column3]]-62))</f>
        <v>7</v>
      </c>
      <c r="C69" t="s">
        <v>75</v>
      </c>
      <c r="D69">
        <v>11.0200005</v>
      </c>
      <c r="E69"/>
      <c r="F69">
        <v>2.91014589101531</v>
      </c>
      <c r="G69" s="29">
        <f>Table2234210234567[[#This Row],[Lucas D]]-Table2234210234567[[#This Row],[REF]]</f>
        <v>-8.1098546089846906</v>
      </c>
      <c r="H69" s="29">
        <f>Table2234210234567[[#This Row],[X-Y]]-E$20</f>
        <v>-1.894956166613623</v>
      </c>
      <c r="I69" s="29">
        <f>Table2234210234567[[#This Row],[Lucas D]]-E$20</f>
        <v>9.1250443333863771</v>
      </c>
      <c r="J69" s="29">
        <f>Table2234210234567[[#This Row],[Lucas D]]*E$21+E$22</f>
        <v>9.3795223109876247</v>
      </c>
      <c r="K69" s="56">
        <f>Table2234210234567[[#This Row],[Yest]]-Table2234210234567[[#This Row],[REF]]</f>
        <v>-1.6404781890123754</v>
      </c>
      <c r="L69" s="56">
        <f>ABS(Table2234210234567[[#This Row],[RESyx]])</f>
        <v>1.6404781890123754</v>
      </c>
      <c r="M69" s="29">
        <f>Table2234210234567[[#This Row],[Lucas D]]*E$25+E$26</f>
        <v>9.1651331351285847</v>
      </c>
      <c r="N69" s="29">
        <f>Table2234210234567[[#This Row],[X-Y]]^2</f>
        <v>65.769741778870227</v>
      </c>
      <c r="O69" s="57">
        <f>Table2234210234567[[#This Row],[yest_rect]]-Table2234210234567[[#This Row],[REF]]</f>
        <v>-1.8548673648714153</v>
      </c>
      <c r="P69" s="57">
        <f>Table2234210234567[[#This Row],[dif rec]]^2</f>
        <v>3.4405329412650283</v>
      </c>
      <c r="Q69" s="57">
        <f>ABS(Table2234210234567[[#This Row],[diff-bias]])</f>
        <v>1.894956166613623</v>
      </c>
      <c r="R69" s="57">
        <f ca="1">CELL("row",Table2234210234567[[#This Row],[Position]])</f>
        <v>69</v>
      </c>
      <c r="S69" s="4">
        <f>Table2234210234567[[#This Row],[REF]]-D$13</f>
        <v>1.0000249999999156E-2</v>
      </c>
      <c r="T69" s="4">
        <f>ABS(Table2234210234567[[#This Row],[lab-med]])</f>
        <v>1.0000249999999156E-2</v>
      </c>
      <c r="U69" s="4">
        <f>Table2234210234567[[#This Row],[Lucas D]]-F$13</f>
        <v>-1.7759611630270302</v>
      </c>
      <c r="V69" s="4">
        <f>ABS(Table2234210234567[[#This Row],[anl-med]])</f>
        <v>1.7759611630270302</v>
      </c>
      <c r="W69" s="4">
        <f>Table2234210234567[[#This Row],[lab-med]]*Table2234210234567[[#This Row],[anl-med]]</f>
        <v>-1.7760055620559559E-2</v>
      </c>
    </row>
    <row r="70" spans="2:23" x14ac:dyDescent="0.25">
      <c r="B70" s="46">
        <f ca="1">VALUE((Table2234210234567[[#This Row],[Column3]]-62))</f>
        <v>8</v>
      </c>
      <c r="C70" t="s">
        <v>76</v>
      </c>
      <c r="D70">
        <v>10.800000199999999</v>
      </c>
      <c r="E70"/>
      <c r="F70">
        <v>3.9000318345338099</v>
      </c>
      <c r="G70" s="29">
        <f>Table2234210234567[[#This Row],[Lucas D]]-Table2234210234567[[#This Row],[REF]]</f>
        <v>-6.8999683654661901</v>
      </c>
      <c r="H70" s="29">
        <f>Table2234210234567[[#This Row],[X-Y]]-E$20</f>
        <v>-0.68506992309512249</v>
      </c>
      <c r="I70" s="29">
        <f>Table2234210234567[[#This Row],[Lucas D]]-E$20</f>
        <v>10.114930276904877</v>
      </c>
      <c r="J70" s="29">
        <f>Table2234210234567[[#This Row],[Lucas D]]*E$21+E$22</f>
        <v>10.242469578203456</v>
      </c>
      <c r="K70" s="56">
        <f>Table2234210234567[[#This Row],[Yest]]-Table2234210234567[[#This Row],[REF]]</f>
        <v>-0.557530621796543</v>
      </c>
      <c r="L70" s="56">
        <f>ABS(Table2234210234567[[#This Row],[RESyx]])</f>
        <v>0.557530621796543</v>
      </c>
      <c r="M70" s="29">
        <f>Table2234210234567[[#This Row],[Lucas D]]*E$25+E$26</f>
        <v>10.135021987049281</v>
      </c>
      <c r="N70" s="29">
        <f>Table2234210234567[[#This Row],[X-Y]]^2</f>
        <v>47.609563444434166</v>
      </c>
      <c r="O70" s="57">
        <f>Table2234210234567[[#This Row],[yest_rect]]-Table2234210234567[[#This Row],[REF]]</f>
        <v>-0.66497821295071802</v>
      </c>
      <c r="P70" s="57">
        <f>Table2234210234567[[#This Row],[dif rec]]^2</f>
        <v>0.44219602369913047</v>
      </c>
      <c r="Q70" s="57">
        <f>ABS(Table2234210234567[[#This Row],[diff-bias]])</f>
        <v>0.68506992309512249</v>
      </c>
      <c r="R70" s="57">
        <f ca="1">CELL("row",Table2234210234567[[#This Row],[Position]])</f>
        <v>70</v>
      </c>
      <c r="S70" s="4">
        <f>Table2234210234567[[#This Row],[REF]]-D$13</f>
        <v>-0.21000005000000144</v>
      </c>
      <c r="T70" s="4">
        <f>ABS(Table2234210234567[[#This Row],[lab-med]])</f>
        <v>0.21000005000000144</v>
      </c>
      <c r="U70" s="4">
        <f>Table2234210234567[[#This Row],[Lucas D]]-F$13</f>
        <v>-0.78607521950853032</v>
      </c>
      <c r="V70" s="4">
        <f>ABS(Table2234210234567[[#This Row],[anl-med]])</f>
        <v>0.78607521950853032</v>
      </c>
      <c r="W70" s="4">
        <f>Table2234210234567[[#This Row],[lab-med]]*Table2234210234567[[#This Row],[anl-med]]</f>
        <v>0.16507583540055348</v>
      </c>
    </row>
    <row r="71" spans="2:23" x14ac:dyDescent="0.25">
      <c r="B71" s="46">
        <f ca="1">VALUE((Table2234210234567[[#This Row],[Column3]]-62))</f>
        <v>9</v>
      </c>
      <c r="C71" t="s">
        <v>77</v>
      </c>
      <c r="D71">
        <v>10.8800001</v>
      </c>
      <c r="E71"/>
      <c r="F71">
        <v>4.6715163324814002</v>
      </c>
      <c r="G71" s="29">
        <f>Table2234210234567[[#This Row],[Lucas D]]-Table2234210234567[[#This Row],[REF]]</f>
        <v>-6.2084837675186</v>
      </c>
      <c r="H71" s="29">
        <f>Table2234210234567[[#This Row],[X-Y]]-E$20</f>
        <v>6.4146748524676056E-3</v>
      </c>
      <c r="I71" s="29">
        <f>Table2234210234567[[#This Row],[Lucas D]]-E$20</f>
        <v>10.886414774852469</v>
      </c>
      <c r="J71" s="29">
        <f>Table2234210234567[[#This Row],[Lucas D]]*E$21+E$22</f>
        <v>10.915022253147878</v>
      </c>
      <c r="K71" s="56">
        <f>Table2234210234567[[#This Row],[Yest]]-Table2234210234567[[#This Row],[REF]]</f>
        <v>3.5022153147878043E-2</v>
      </c>
      <c r="L71" s="56">
        <f>ABS(Table2234210234567[[#This Row],[RESyx]])</f>
        <v>3.5022153147878043E-2</v>
      </c>
      <c r="M71" s="29">
        <f>Table2234210234567[[#This Row],[Lucas D]]*E$25+E$26</f>
        <v>10.890921410501413</v>
      </c>
      <c r="N71" s="29">
        <f>Table2234210234567[[#This Row],[X-Y]]^2</f>
        <v>38.545270691541951</v>
      </c>
      <c r="O71" s="57">
        <f>Table2234210234567[[#This Row],[yest_rect]]-Table2234210234567[[#This Row],[REF]]</f>
        <v>1.0921310501412762E-2</v>
      </c>
      <c r="P71" s="57">
        <f>Table2234210234567[[#This Row],[dif rec]]^2</f>
        <v>1.1927502306826868E-4</v>
      </c>
      <c r="Q71" s="57">
        <f>ABS(Table2234210234567[[#This Row],[diff-bias]])</f>
        <v>6.4146748524676056E-3</v>
      </c>
      <c r="R71" s="57">
        <f ca="1">CELL("row",Table2234210234567[[#This Row],[Position]])</f>
        <v>71</v>
      </c>
      <c r="S71" s="4">
        <f>Table2234210234567[[#This Row],[REF]]-D$13</f>
        <v>-0.13000015000000076</v>
      </c>
      <c r="T71" s="4">
        <f>ABS(Table2234210234567[[#This Row],[lab-med]])</f>
        <v>0.13000015000000076</v>
      </c>
      <c r="U71" s="4">
        <f>Table2234210234567[[#This Row],[Lucas D]]-F$13</f>
        <v>-1.459072156093999E-2</v>
      </c>
      <c r="V71" s="4">
        <f>ABS(Table2234210234567[[#This Row],[anl-med]])</f>
        <v>1.459072156093999E-2</v>
      </c>
      <c r="W71" s="4">
        <f>Table2234210234567[[#This Row],[lab-med]]*Table2234210234567[[#This Row],[anl-med]]</f>
        <v>1.8967959915304439E-3</v>
      </c>
    </row>
    <row r="72" spans="2:23" x14ac:dyDescent="0.25">
      <c r="B72" s="46">
        <f ca="1">VALUE((Table2234210234567[[#This Row],[Column3]]-62))</f>
        <v>10</v>
      </c>
      <c r="C72" t="s">
        <v>78</v>
      </c>
      <c r="D72">
        <v>11.0600004</v>
      </c>
      <c r="E72"/>
      <c r="F72">
        <v>4.4731904127693403</v>
      </c>
      <c r="G72" s="29">
        <f>Table2234210234567[[#This Row],[Lucas D]]-Table2234210234567[[#This Row],[REF]]</f>
        <v>-6.5868099872306596</v>
      </c>
      <c r="H72" s="29">
        <f>Table2234210234567[[#This Row],[X-Y]]-E$20</f>
        <v>-0.37191154485959199</v>
      </c>
      <c r="I72" s="29">
        <f>Table2234210234567[[#This Row],[Lucas D]]-E$20</f>
        <v>10.688088855140407</v>
      </c>
      <c r="J72" s="29">
        <f>Table2234210234567[[#This Row],[Lucas D]]*E$21+E$22</f>
        <v>10.742128788447022</v>
      </c>
      <c r="K72" s="56">
        <f>Table2234210234567[[#This Row],[Yest]]-Table2234210234567[[#This Row],[REF]]</f>
        <v>-0.31787161155297738</v>
      </c>
      <c r="L72" s="56">
        <f>ABS(Table2234210234567[[#This Row],[RESyx]])</f>
        <v>0.31787161155297738</v>
      </c>
      <c r="M72" s="29">
        <f>Table2234210234567[[#This Row],[Lucas D]]*E$25+E$26</f>
        <v>10.696601953966923</v>
      </c>
      <c r="N72" s="29">
        <f>Table2234210234567[[#This Row],[X-Y]]^2</f>
        <v>43.386065807881565</v>
      </c>
      <c r="O72" s="57">
        <f>Table2234210234567[[#This Row],[yest_rect]]-Table2234210234567[[#This Row],[REF]]</f>
        <v>-0.36339844603307725</v>
      </c>
      <c r="P72" s="57">
        <f>Table2234210234567[[#This Row],[dif rec]]^2</f>
        <v>0.13205843057925537</v>
      </c>
      <c r="Q72" s="57">
        <f>ABS(Table2234210234567[[#This Row],[diff-bias]])</f>
        <v>0.37191154485959199</v>
      </c>
      <c r="R72" s="57">
        <f ca="1">CELL("row",Table2234210234567[[#This Row],[Position]])</f>
        <v>72</v>
      </c>
      <c r="S72" s="4">
        <f>Table2234210234567[[#This Row],[REF]]-D$13</f>
        <v>5.0000149999998911E-2</v>
      </c>
      <c r="T72" s="4">
        <f>ABS(Table2234210234567[[#This Row],[lab-med]])</f>
        <v>5.0000149999998911E-2</v>
      </c>
      <c r="U72" s="4">
        <f>Table2234210234567[[#This Row],[Lucas D]]-F$13</f>
        <v>-0.21291664127299992</v>
      </c>
      <c r="V72" s="4">
        <f>ABS(Table2234210234567[[#This Row],[anl-med]])</f>
        <v>0.21291664127299992</v>
      </c>
      <c r="W72" s="4">
        <f>Table2234210234567[[#This Row],[lab-med]]*Table2234210234567[[#This Row],[anl-med]]</f>
        <v>-1.0645864001145955E-2</v>
      </c>
    </row>
    <row r="73" spans="2:23" x14ac:dyDescent="0.25">
      <c r="B73" s="46">
        <f ca="1">VALUE((Table2234210234567[[#This Row],[Column3]]-62))</f>
        <v>11</v>
      </c>
      <c r="C73" t="s">
        <v>79</v>
      </c>
      <c r="D73">
        <v>11.0900002</v>
      </c>
      <c r="E73"/>
      <c r="F73">
        <v>5.5500296966184397</v>
      </c>
      <c r="G73" s="29">
        <f>Table2234210234567[[#This Row],[Lucas D]]-Table2234210234567[[#This Row],[REF]]</f>
        <v>-5.5399705033815607</v>
      </c>
      <c r="H73" s="29">
        <f>Table2234210234567[[#This Row],[X-Y]]-E$20</f>
        <v>0.67492793898950687</v>
      </c>
      <c r="I73" s="29">
        <f>Table2234210234567[[#This Row],[Lucas D]]-E$20</f>
        <v>11.764928138989507</v>
      </c>
      <c r="J73" s="29">
        <f>Table2234210234567[[#This Row],[Lucas D]]*E$21+E$22</f>
        <v>11.680878877093843</v>
      </c>
      <c r="K73" s="56">
        <f>Table2234210234567[[#This Row],[Yest]]-Table2234210234567[[#This Row],[REF]]</f>
        <v>0.59087867709384234</v>
      </c>
      <c r="L73" s="56">
        <f>ABS(Table2234210234567[[#This Row],[RESyx]])</f>
        <v>0.59087867709384234</v>
      </c>
      <c r="M73" s="29">
        <f>Table2234210234567[[#This Row],[Lucas D]]*E$25+E$26</f>
        <v>11.751687566156939</v>
      </c>
      <c r="N73" s="29">
        <f>Table2234210234567[[#This Row],[X-Y]]^2</f>
        <v>30.691273178337742</v>
      </c>
      <c r="O73" s="57">
        <f>Table2234210234567[[#This Row],[yest_rect]]-Table2234210234567[[#This Row],[REF]]</f>
        <v>0.66168736615693824</v>
      </c>
      <c r="P73" s="57">
        <f>Table2234210234567[[#This Row],[dif rec]]^2</f>
        <v>0.43783017053170603</v>
      </c>
      <c r="Q73" s="57">
        <f>ABS(Table2234210234567[[#This Row],[diff-bias]])</f>
        <v>0.67492793898950687</v>
      </c>
      <c r="R73" s="57">
        <f ca="1">CELL("row",Table2234210234567[[#This Row],[Position]])</f>
        <v>73</v>
      </c>
      <c r="S73" s="4">
        <f>Table2234210234567[[#This Row],[REF]]-D$13</f>
        <v>7.9999949999999487E-2</v>
      </c>
      <c r="T73" s="4">
        <f>ABS(Table2234210234567[[#This Row],[lab-med]])</f>
        <v>7.9999949999999487E-2</v>
      </c>
      <c r="U73" s="4">
        <f>Table2234210234567[[#This Row],[Lucas D]]-F$13</f>
        <v>0.86392264257609952</v>
      </c>
      <c r="V73" s="4">
        <f>ABS(Table2234210234567[[#This Row],[anl-med]])</f>
        <v>0.86392264257609952</v>
      </c>
      <c r="W73" s="4">
        <f>Table2234210234567[[#This Row],[lab-med]]*Table2234210234567[[#This Row],[anl-med]]</f>
        <v>6.9113768209955392E-2</v>
      </c>
    </row>
    <row r="74" spans="2:23" x14ac:dyDescent="0.25">
      <c r="B74" s="46">
        <f ca="1">VALUE((Table2234210234567[[#This Row],[Column3]]-62))</f>
        <v>12</v>
      </c>
      <c r="C74" t="s">
        <v>80</v>
      </c>
      <c r="D74">
        <v>11.6199999</v>
      </c>
      <c r="E74"/>
      <c r="F74">
        <v>5.0846790982685297</v>
      </c>
      <c r="G74" s="29">
        <f>Table2234210234567[[#This Row],[Lucas D]]-Table2234210234567[[#This Row],[REF]]</f>
        <v>-6.5353208017314701</v>
      </c>
      <c r="H74" s="29">
        <f>Table2234210234567[[#This Row],[X-Y]]-E$20</f>
        <v>-0.32042235936040253</v>
      </c>
      <c r="I74" s="29">
        <f>Table2234210234567[[#This Row],[Lucas D]]-E$20</f>
        <v>11.299577540639596</v>
      </c>
      <c r="J74" s="29">
        <f>Table2234210234567[[#This Row],[Lucas D]]*E$21+E$22</f>
        <v>11.275202819389726</v>
      </c>
      <c r="K74" s="56">
        <f>Table2234210234567[[#This Row],[Yest]]-Table2234210234567[[#This Row],[REF]]</f>
        <v>-0.34479708061027381</v>
      </c>
      <c r="L74" s="56">
        <f>ABS(Table2234210234567[[#This Row],[RESyx]])</f>
        <v>0.34479708061027381</v>
      </c>
      <c r="M74" s="29">
        <f>Table2234210234567[[#This Row],[Lucas D]]*E$25+E$26</f>
        <v>11.295737705943807</v>
      </c>
      <c r="N74" s="29">
        <f>Table2234210234567[[#This Row],[X-Y]]^2</f>
        <v>42.710417981544069</v>
      </c>
      <c r="O74" s="57">
        <f>Table2234210234567[[#This Row],[yest_rect]]-Table2234210234567[[#This Row],[REF]]</f>
        <v>-0.3242621940561925</v>
      </c>
      <c r="P74" s="57">
        <f>Table2234210234567[[#This Row],[dif rec]]^2</f>
        <v>0.10514597049413585</v>
      </c>
      <c r="Q74" s="57">
        <f>ABS(Table2234210234567[[#This Row],[diff-bias]])</f>
        <v>0.32042235936040253</v>
      </c>
      <c r="R74" s="57">
        <f ca="1">CELL("row",Table2234210234567[[#This Row],[Position]])</f>
        <v>74</v>
      </c>
      <c r="S74" s="4">
        <f>Table2234210234567[[#This Row],[REF]]-D$13</f>
        <v>0.60999964999999889</v>
      </c>
      <c r="T74" s="4">
        <f>ABS(Table2234210234567[[#This Row],[lab-med]])</f>
        <v>0.60999964999999889</v>
      </c>
      <c r="U74" s="4">
        <f>Table2234210234567[[#This Row],[Lucas D]]-F$13</f>
        <v>0.39857204422618953</v>
      </c>
      <c r="V74" s="4">
        <f>ABS(Table2234210234567[[#This Row],[anl-med]])</f>
        <v>0.39857204422618953</v>
      </c>
      <c r="W74" s="4">
        <f>Table2234210234567[[#This Row],[lab-med]]*Table2234210234567[[#This Row],[anl-med]]</f>
        <v>0.2431288074777597</v>
      </c>
    </row>
    <row r="75" spans="2:23" x14ac:dyDescent="0.25">
      <c r="B75" s="46">
        <f ca="1">VALUE((Table2234210234567[[#This Row],[Column3]]-62))</f>
        <v>13</v>
      </c>
      <c r="C75" t="s">
        <v>81</v>
      </c>
      <c r="D75">
        <v>9.9600000000000009</v>
      </c>
      <c r="E75"/>
      <c r="F75">
        <v>4.1810970565210601</v>
      </c>
      <c r="G75" s="29">
        <f>Table2234210234567[[#This Row],[Lucas D]]-Table2234210234567[[#This Row],[REF]]</f>
        <v>-5.7789029434789407</v>
      </c>
      <c r="H75" s="29">
        <f>Table2234210234567[[#This Row],[X-Y]]-E$20</f>
        <v>0.43599549889212685</v>
      </c>
      <c r="I75" s="29">
        <f>Table2234210234567[[#This Row],[Lucas D]]-E$20</f>
        <v>10.395995498892127</v>
      </c>
      <c r="J75" s="29">
        <f>Table2234210234567[[#This Row],[Lucas D]]*E$21+E$22</f>
        <v>10.487492216226981</v>
      </c>
      <c r="K75" s="56">
        <f>Table2234210234567[[#This Row],[Yest]]-Table2234210234567[[#This Row],[REF]]</f>
        <v>0.52749221622697995</v>
      </c>
      <c r="L75" s="56">
        <f>ABS(Table2234210234567[[#This Row],[RESyx]])</f>
        <v>0.52749221622697995</v>
      </c>
      <c r="M75" s="29">
        <f>Table2234210234567[[#This Row],[Lucas D]]*E$25+E$26</f>
        <v>10.410409295307343</v>
      </c>
      <c r="N75" s="29">
        <f>Table2234210234567[[#This Row],[X-Y]]^2</f>
        <v>33.395719230149567</v>
      </c>
      <c r="O75" s="57">
        <f>Table2234210234567[[#This Row],[yest_rect]]-Table2234210234567[[#This Row],[REF]]</f>
        <v>0.45040929530734175</v>
      </c>
      <c r="P75" s="57">
        <f>Table2234210234567[[#This Row],[dif rec]]^2</f>
        <v>0.20286853329925619</v>
      </c>
      <c r="Q75" s="57">
        <f>ABS(Table2234210234567[[#This Row],[diff-bias]])</f>
        <v>0.43599549889212685</v>
      </c>
      <c r="R75" s="57">
        <f ca="1">CELL("row",Table2234210234567[[#This Row],[Position]])</f>
        <v>75</v>
      </c>
      <c r="S75" s="4">
        <f>Table2234210234567[[#This Row],[REF]]-D$13</f>
        <v>-1.0500002500000001</v>
      </c>
      <c r="T75" s="4">
        <f>ABS(Table2234210234567[[#This Row],[lab-med]])</f>
        <v>1.0500002500000001</v>
      </c>
      <c r="U75" s="4">
        <f>Table2234210234567[[#This Row],[Lucas D]]-F$13</f>
        <v>-0.50500999752128006</v>
      </c>
      <c r="V75" s="4">
        <f>ABS(Table2234210234567[[#This Row],[anl-med]])</f>
        <v>0.50500999752128006</v>
      </c>
      <c r="W75" s="4">
        <f>Table2234210234567[[#This Row],[lab-med]]*Table2234210234567[[#This Row],[anl-med]]</f>
        <v>0.5302606236498435</v>
      </c>
    </row>
    <row r="76" spans="2:23" x14ac:dyDescent="0.25">
      <c r="B76" s="46">
        <f ca="1">VALUE((Table2234210234567[[#This Row],[Column3]]-62))</f>
        <v>14</v>
      </c>
      <c r="C76" t="s">
        <v>82</v>
      </c>
      <c r="D76">
        <v>9.5</v>
      </c>
      <c r="E76"/>
      <c r="F76">
        <v>4.2050621877936898</v>
      </c>
      <c r="G76" s="29">
        <f>Table2234210234567[[#This Row],[Lucas D]]-Table2234210234567[[#This Row],[REF]]</f>
        <v>-5.2949378122063102</v>
      </c>
      <c r="H76" s="29">
        <f>Table2234210234567[[#This Row],[X-Y]]-E$20</f>
        <v>0.91996063016475738</v>
      </c>
      <c r="I76" s="29">
        <f>Table2234210234567[[#This Row],[Lucas D]]-E$20</f>
        <v>10.419960630164757</v>
      </c>
      <c r="J76" s="29">
        <f>Table2234210234567[[#This Row],[Lucas D]]*E$21+E$22</f>
        <v>10.508384163097826</v>
      </c>
      <c r="K76" s="56">
        <f>Table2234210234567[[#This Row],[Yest]]-Table2234210234567[[#This Row],[REF]]</f>
        <v>1.0083841630978263</v>
      </c>
      <c r="L76" s="56">
        <f>ABS(Table2234210234567[[#This Row],[RESyx]])</f>
        <v>1.0083841630978263</v>
      </c>
      <c r="M76" s="29">
        <f>Table2234210234567[[#This Row],[Lucas D]]*E$25+E$26</f>
        <v>10.43389029714228</v>
      </c>
      <c r="N76" s="29">
        <f>Table2234210234567[[#This Row],[X-Y]]^2</f>
        <v>28.036366435132148</v>
      </c>
      <c r="O76" s="57">
        <f>Table2234210234567[[#This Row],[yest_rect]]-Table2234210234567[[#This Row],[REF]]</f>
        <v>0.93389029714228045</v>
      </c>
      <c r="P76" s="57">
        <f>Table2234210234567[[#This Row],[dif rec]]^2</f>
        <v>0.87215108709649691</v>
      </c>
      <c r="Q76" s="57">
        <f>ABS(Table2234210234567[[#This Row],[diff-bias]])</f>
        <v>0.91996063016475738</v>
      </c>
      <c r="R76" s="57">
        <f ca="1">CELL("row",Table2234210234567[[#This Row],[Position]])</f>
        <v>76</v>
      </c>
      <c r="S76" s="4">
        <f>Table2234210234567[[#This Row],[REF]]-D$13</f>
        <v>-1.5100002500000009</v>
      </c>
      <c r="T76" s="4">
        <f>ABS(Table2234210234567[[#This Row],[lab-med]])</f>
        <v>1.5100002500000009</v>
      </c>
      <c r="U76" s="4">
        <f>Table2234210234567[[#This Row],[Lucas D]]-F$13</f>
        <v>-0.48104486624865039</v>
      </c>
      <c r="V76" s="4">
        <f>ABS(Table2234210234567[[#This Row],[anl-med]])</f>
        <v>0.48104486624865039</v>
      </c>
      <c r="W76" s="4">
        <f>Table2234210234567[[#This Row],[lab-med]]*Table2234210234567[[#This Row],[anl-med]]</f>
        <v>0.72637786829667905</v>
      </c>
    </row>
    <row r="77" spans="2:23" x14ac:dyDescent="0.25">
      <c r="B77" s="46">
        <f ca="1">VALUE((Table2234210234567[[#This Row],[Column3]]-62))</f>
        <v>15</v>
      </c>
      <c r="C77" t="s">
        <v>83</v>
      </c>
      <c r="D77">
        <v>9.9899997999999997</v>
      </c>
      <c r="E77"/>
      <c r="F77">
        <v>4.0841259592860197</v>
      </c>
      <c r="G77" s="29">
        <f>Table2234210234567[[#This Row],[Lucas D]]-Table2234210234567[[#This Row],[REF]]</f>
        <v>-5.9058738407139799</v>
      </c>
      <c r="H77" s="29">
        <f>Table2234210234567[[#This Row],[X-Y]]-E$20</f>
        <v>0.30902460165708767</v>
      </c>
      <c r="I77" s="29">
        <f>Table2234210234567[[#This Row],[Lucas D]]-E$20</f>
        <v>10.299024401657087</v>
      </c>
      <c r="J77" s="29">
        <f>Table2234210234567[[#This Row],[Lucas D]]*E$21+E$22</f>
        <v>10.4029562715499</v>
      </c>
      <c r="K77" s="56">
        <f>Table2234210234567[[#This Row],[Yest]]-Table2234210234567[[#This Row],[REF]]</f>
        <v>0.41295647154990078</v>
      </c>
      <c r="L77" s="56">
        <f>ABS(Table2234210234567[[#This Row],[RESyx]])</f>
        <v>0.41295647154990078</v>
      </c>
      <c r="M77" s="29">
        <f>Table2234210234567[[#This Row],[Lucas D]]*E$25+E$26</f>
        <v>10.315397150946058</v>
      </c>
      <c r="N77" s="29">
        <f>Table2234210234567[[#This Row],[X-Y]]^2</f>
        <v>34.879345822429698</v>
      </c>
      <c r="O77" s="57">
        <f>Table2234210234567[[#This Row],[yest_rect]]-Table2234210234567[[#This Row],[REF]]</f>
        <v>0.32539735094605859</v>
      </c>
      <c r="P77" s="57">
        <f>Table2234210234567[[#This Row],[dif rec]]^2</f>
        <v>0.10588343600271242</v>
      </c>
      <c r="Q77" s="57">
        <f>ABS(Table2234210234567[[#This Row],[diff-bias]])</f>
        <v>0.30902460165708767</v>
      </c>
      <c r="R77" s="57">
        <f ca="1">CELL("row",Table2234210234567[[#This Row],[Position]])</f>
        <v>77</v>
      </c>
      <c r="S77" s="4">
        <f>Table2234210234567[[#This Row],[REF]]-D$13</f>
        <v>-1.0200004500000013</v>
      </c>
      <c r="T77" s="4">
        <f>ABS(Table2234210234567[[#This Row],[lab-med]])</f>
        <v>1.0200004500000013</v>
      </c>
      <c r="U77" s="4">
        <f>Table2234210234567[[#This Row],[Lucas D]]-F$13</f>
        <v>-0.60198109475632045</v>
      </c>
      <c r="V77" s="4">
        <f>ABS(Table2234210234567[[#This Row],[anl-med]])</f>
        <v>0.60198109475632045</v>
      </c>
      <c r="W77" s="4">
        <f>Table2234210234567[[#This Row],[lab-med]]*Table2234210234567[[#This Row],[anl-med]]</f>
        <v>0.61402098754294021</v>
      </c>
    </row>
    <row r="78" spans="2:23" x14ac:dyDescent="0.25">
      <c r="B78" s="46">
        <f ca="1">VALUE((Table2234210234567[[#This Row],[Column3]]-62))</f>
        <v>16</v>
      </c>
      <c r="C78" t="s">
        <v>84</v>
      </c>
      <c r="D78">
        <v>10.0100002</v>
      </c>
      <c r="E78"/>
      <c r="F78">
        <v>4.4499461857841798</v>
      </c>
      <c r="G78" s="29">
        <f>Table2234210234567[[#This Row],[Lucas D]]-Table2234210234567[[#This Row],[REF]]</f>
        <v>-5.5600540142158206</v>
      </c>
      <c r="H78" s="29">
        <f>Table2234210234567[[#This Row],[X-Y]]-E$20</f>
        <v>0.65484442815524702</v>
      </c>
      <c r="I78" s="29">
        <f>Table2234210234567[[#This Row],[Lucas D]]-E$20</f>
        <v>10.664844628155247</v>
      </c>
      <c r="J78" s="29">
        <f>Table2234210234567[[#This Row],[Lucas D]]*E$21+E$22</f>
        <v>10.721865300227268</v>
      </c>
      <c r="K78" s="56">
        <f>Table2234210234567[[#This Row],[Yest]]-Table2234210234567[[#This Row],[REF]]</f>
        <v>0.71186510022726779</v>
      </c>
      <c r="L78" s="56">
        <f>ABS(Table2234210234567[[#This Row],[RESyx]])</f>
        <v>0.71186510022726779</v>
      </c>
      <c r="M78" s="29">
        <f>Table2234210234567[[#This Row],[Lucas D]]*E$25+E$26</f>
        <v>10.673827293136515</v>
      </c>
      <c r="N78" s="29">
        <f>Table2234210234567[[#This Row],[X-Y]]^2</f>
        <v>30.914200640997461</v>
      </c>
      <c r="O78" s="57">
        <f>Table2234210234567[[#This Row],[yest_rect]]-Table2234210234567[[#This Row],[REF]]</f>
        <v>0.66382709313651489</v>
      </c>
      <c r="P78" s="57">
        <f>Table2234210234567[[#This Row],[dif rec]]^2</f>
        <v>0.4406664095820752</v>
      </c>
      <c r="Q78" s="57">
        <f>ABS(Table2234210234567[[#This Row],[diff-bias]])</f>
        <v>0.65484442815524702</v>
      </c>
      <c r="R78" s="57">
        <f ca="1">CELL("row",Table2234210234567[[#This Row],[Position]])</f>
        <v>78</v>
      </c>
      <c r="S78" s="4">
        <f>Table2234210234567[[#This Row],[REF]]-D$13</f>
        <v>-1.0000000500000006</v>
      </c>
      <c r="T78" s="4">
        <f>ABS(Table2234210234567[[#This Row],[lab-med]])</f>
        <v>1.0000000500000006</v>
      </c>
      <c r="U78" s="4">
        <f>Table2234210234567[[#This Row],[Lucas D]]-F$13</f>
        <v>-0.23616086825816041</v>
      </c>
      <c r="V78" s="4">
        <f>ABS(Table2234210234567[[#This Row],[anl-med]])</f>
        <v>0.23616086825816041</v>
      </c>
      <c r="W78" s="4">
        <f>Table2234210234567[[#This Row],[lab-med]]*Table2234210234567[[#This Row],[anl-med]]</f>
        <v>0.23616088006620395</v>
      </c>
    </row>
    <row r="79" spans="2:23" x14ac:dyDescent="0.25">
      <c r="B79" s="46">
        <f ca="1">VALUE((Table2234210234567[[#This Row],[Column3]]-62))</f>
        <v>17</v>
      </c>
      <c r="C79" t="s">
        <v>85</v>
      </c>
      <c r="D79">
        <v>9.8299999000000007</v>
      </c>
      <c r="E79"/>
      <c r="F79">
        <v>4.4336482004287703</v>
      </c>
      <c r="G79" s="29">
        <f>Table2234210234567[[#This Row],[Lucas D]]-Table2234210234567[[#This Row],[REF]]</f>
        <v>-5.3963516995712304</v>
      </c>
      <c r="H79" s="29">
        <f>Table2234210234567[[#This Row],[X-Y]]-E$20</f>
        <v>0.81854674279983719</v>
      </c>
      <c r="I79" s="29">
        <f>Table2234210234567[[#This Row],[Lucas D]]-E$20</f>
        <v>10.648546642799838</v>
      </c>
      <c r="J79" s="29">
        <f>Table2234210234567[[#This Row],[Lucas D]]*E$21+E$22</f>
        <v>10.707657297764294</v>
      </c>
      <c r="K79" s="56">
        <f>Table2234210234567[[#This Row],[Yest]]-Table2234210234567[[#This Row],[REF]]</f>
        <v>0.87765739776429363</v>
      </c>
      <c r="L79" s="56">
        <f>ABS(Table2234210234567[[#This Row],[RESyx]])</f>
        <v>0.87765739776429363</v>
      </c>
      <c r="M79" s="29">
        <f>Table2234210234567[[#This Row],[Lucas D]]*E$25+E$26</f>
        <v>10.657858550062144</v>
      </c>
      <c r="N79" s="29">
        <f>Table2234210234567[[#This Row],[X-Y]]^2</f>
        <v>29.120611665465308</v>
      </c>
      <c r="O79" s="57">
        <f>Table2234210234567[[#This Row],[yest_rect]]-Table2234210234567[[#This Row],[REF]]</f>
        <v>0.82785865006214365</v>
      </c>
      <c r="P79" s="57">
        <f>Table2234210234567[[#This Row],[dif rec]]^2</f>
        <v>0.6853499444827148</v>
      </c>
      <c r="Q79" s="57">
        <f>ABS(Table2234210234567[[#This Row],[diff-bias]])</f>
        <v>0.81854674279983719</v>
      </c>
      <c r="R79" s="57">
        <f ca="1">CELL("row",Table2234210234567[[#This Row],[Position]])</f>
        <v>79</v>
      </c>
      <c r="S79" s="4">
        <f>Table2234210234567[[#This Row],[REF]]-D$13</f>
        <v>-1.1800003500000003</v>
      </c>
      <c r="T79" s="4">
        <f>ABS(Table2234210234567[[#This Row],[lab-med]])</f>
        <v>1.1800003500000003</v>
      </c>
      <c r="U79" s="4">
        <f>Table2234210234567[[#This Row],[Lucas D]]-F$13</f>
        <v>-0.2524588536135699</v>
      </c>
      <c r="V79" s="4">
        <f>ABS(Table2234210234567[[#This Row],[anl-med]])</f>
        <v>0.2524588536135699</v>
      </c>
      <c r="W79" s="4">
        <f>Table2234210234567[[#This Row],[lab-med]]*Table2234210234567[[#This Row],[anl-med]]</f>
        <v>0.2979015356246113</v>
      </c>
    </row>
    <row r="80" spans="2:23" x14ac:dyDescent="0.25">
      <c r="B80" s="46">
        <f ca="1">VALUE((Table2234210234567[[#This Row],[Column3]]-62))</f>
        <v>18</v>
      </c>
      <c r="C80" t="s">
        <v>86</v>
      </c>
      <c r="D80">
        <v>9.5699997000000003</v>
      </c>
      <c r="E80"/>
      <c r="F80">
        <v>3.0309094325747399</v>
      </c>
      <c r="G80" s="29">
        <f>Table2234210234567[[#This Row],[Lucas D]]-Table2234210234567[[#This Row],[REF]]</f>
        <v>-6.5390902674252604</v>
      </c>
      <c r="H80" s="29">
        <f>Table2234210234567[[#This Row],[X-Y]]-E$20</f>
        <v>-0.32419182505419286</v>
      </c>
      <c r="I80" s="29">
        <f>Table2234210234567[[#This Row],[Lucas D]]-E$20</f>
        <v>9.2458078749458075</v>
      </c>
      <c r="J80" s="29">
        <f>Table2234210234567[[#This Row],[Lucas D]]*E$21+E$22</f>
        <v>9.4847996602119178</v>
      </c>
      <c r="K80" s="56">
        <f>Table2234210234567[[#This Row],[Yest]]-Table2234210234567[[#This Row],[REF]]</f>
        <v>-8.5200039788082549E-2</v>
      </c>
      <c r="L80" s="56">
        <f>ABS(Table2234210234567[[#This Row],[RESyx]])</f>
        <v>8.5200039788082549E-2</v>
      </c>
      <c r="M80" s="29">
        <f>Table2234210234567[[#This Row],[Lucas D]]*E$25+E$26</f>
        <v>9.2834570828963745</v>
      </c>
      <c r="N80" s="29">
        <f>Table2234210234567[[#This Row],[X-Y]]^2</f>
        <v>42.759701525535768</v>
      </c>
      <c r="O80" s="57">
        <f>Table2234210234567[[#This Row],[yest_rect]]-Table2234210234567[[#This Row],[REF]]</f>
        <v>-0.28654261710362583</v>
      </c>
      <c r="P80" s="57">
        <f>Table2234210234567[[#This Row],[dif rec]]^2</f>
        <v>8.2106671416595126E-2</v>
      </c>
      <c r="Q80" s="57">
        <f>ABS(Table2234210234567[[#This Row],[diff-bias]])</f>
        <v>0.32419182505419286</v>
      </c>
      <c r="R80" s="57">
        <f ca="1">CELL("row",Table2234210234567[[#This Row],[Position]])</f>
        <v>80</v>
      </c>
      <c r="S80" s="4">
        <f>Table2234210234567[[#This Row],[REF]]-D$13</f>
        <v>-1.4400005500000006</v>
      </c>
      <c r="T80" s="4">
        <f>ABS(Table2234210234567[[#This Row],[lab-med]])</f>
        <v>1.4400005500000006</v>
      </c>
      <c r="U80" s="4">
        <f>Table2234210234567[[#This Row],[Lucas D]]-F$13</f>
        <v>-1.6551976214676003</v>
      </c>
      <c r="V80" s="4">
        <f>ABS(Table2234210234567[[#This Row],[anl-med]])</f>
        <v>1.6551976214676003</v>
      </c>
      <c r="W80" s="4">
        <f>Table2234210234567[[#This Row],[lab-med]]*Table2234210234567[[#This Row],[anl-med]]</f>
        <v>2.3834854852720371</v>
      </c>
    </row>
    <row r="81" spans="2:23" x14ac:dyDescent="0.25">
      <c r="B81" s="46">
        <f ca="1">VALUE((Table2234210234567[[#This Row],[Column3]]-62))</f>
        <v>19</v>
      </c>
      <c r="C81" t="s">
        <v>87</v>
      </c>
      <c r="D81">
        <v>9.9200000999999993</v>
      </c>
      <c r="E81"/>
      <c r="F81">
        <v>4.4478317263784701</v>
      </c>
      <c r="G81" s="29">
        <f>Table2234210234567[[#This Row],[Lucas D]]-Table2234210234567[[#This Row],[REF]]</f>
        <v>-5.4721683736215292</v>
      </c>
      <c r="H81" s="29">
        <f>Table2234210234567[[#This Row],[X-Y]]-E$20</f>
        <v>0.7427300687495384</v>
      </c>
      <c r="I81" s="29">
        <f>Table2234210234567[[#This Row],[Lucas D]]-E$20</f>
        <v>10.662730168749537</v>
      </c>
      <c r="J81" s="29">
        <f>Table2234210234567[[#This Row],[Lucas D]]*E$21+E$22</f>
        <v>10.72002198991688</v>
      </c>
      <c r="K81" s="56">
        <f>Table2234210234567[[#This Row],[Yest]]-Table2234210234567[[#This Row],[REF]]</f>
        <v>0.80002188991688072</v>
      </c>
      <c r="L81" s="56">
        <f>ABS(Table2234210234567[[#This Row],[RESyx]])</f>
        <v>0.80002188991688072</v>
      </c>
      <c r="M81" s="29">
        <f>Table2234210234567[[#This Row],[Lucas D]]*E$25+E$26</f>
        <v>10.671755548791761</v>
      </c>
      <c r="N81" s="29">
        <f>Table2234210234567[[#This Row],[X-Y]]^2</f>
        <v>29.944626709263691</v>
      </c>
      <c r="O81" s="57">
        <f>Table2234210234567[[#This Row],[yest_rect]]-Table2234210234567[[#This Row],[REF]]</f>
        <v>0.75175544879176215</v>
      </c>
      <c r="P81" s="57">
        <f>Table2234210234567[[#This Row],[dif rec]]^2</f>
        <v>0.5651362547881037</v>
      </c>
      <c r="Q81" s="57">
        <f>ABS(Table2234210234567[[#This Row],[diff-bias]])</f>
        <v>0.7427300687495384</v>
      </c>
      <c r="R81" s="57">
        <f ca="1">CELL("row",Table2234210234567[[#This Row],[Position]])</f>
        <v>81</v>
      </c>
      <c r="S81" s="4">
        <f>Table2234210234567[[#This Row],[REF]]-D$13</f>
        <v>-1.0900001500000016</v>
      </c>
      <c r="T81" s="4">
        <f>ABS(Table2234210234567[[#This Row],[lab-med]])</f>
        <v>1.0900001500000016</v>
      </c>
      <c r="U81" s="4">
        <f>Table2234210234567[[#This Row],[Lucas D]]-F$13</f>
        <v>-0.23827532766387005</v>
      </c>
      <c r="V81" s="4">
        <f>ABS(Table2234210234567[[#This Row],[anl-med]])</f>
        <v>0.23827532766387005</v>
      </c>
      <c r="W81" s="4">
        <f>Table2234210234567[[#This Row],[lab-med]]*Table2234210234567[[#This Row],[anl-med]]</f>
        <v>0.2597201428949179</v>
      </c>
    </row>
    <row r="82" spans="2:23" x14ac:dyDescent="0.25">
      <c r="B82" s="46">
        <f ca="1">VALUE((Table2234210234567[[#This Row],[Column3]]-62))</f>
        <v>20</v>
      </c>
      <c r="C82" t="s">
        <v>88</v>
      </c>
      <c r="D82">
        <v>11.670000099999999</v>
      </c>
      <c r="E82"/>
      <c r="F82">
        <v>4.7728318939807899</v>
      </c>
      <c r="G82" s="29">
        <f>Table2234210234567[[#This Row],[Lucas D]]-Table2234210234567[[#This Row],[REF]]</f>
        <v>-6.8971682060192094</v>
      </c>
      <c r="H82" s="29">
        <f>Table2234210234567[[#This Row],[X-Y]]-E$20</f>
        <v>-0.68226976364814185</v>
      </c>
      <c r="I82" s="29">
        <f>Table2234210234567[[#This Row],[Lucas D]]-E$20</f>
        <v>10.987730336351857</v>
      </c>
      <c r="J82" s="29">
        <f>Table2234210234567[[#This Row],[Lucas D]]*E$21+E$22</f>
        <v>11.003345546851364</v>
      </c>
      <c r="K82" s="56">
        <f>Table2234210234567[[#This Row],[Yest]]-Table2234210234567[[#This Row],[REF]]</f>
        <v>-0.66665455314863564</v>
      </c>
      <c r="L82" s="56">
        <f>ABS(Table2234210234567[[#This Row],[RESyx]])</f>
        <v>0.66665455314863564</v>
      </c>
      <c r="M82" s="29">
        <f>Table2234210234567[[#This Row],[Lucas D]]*E$25+E$26</f>
        <v>10.990190254824089</v>
      </c>
      <c r="N82" s="29">
        <f>Table2234210234567[[#This Row],[X-Y]]^2</f>
        <v>47.570929262122242</v>
      </c>
      <c r="O82" s="57">
        <f>Table2234210234567[[#This Row],[yest_rect]]-Table2234210234567[[#This Row],[REF]]</f>
        <v>-0.67980984517591025</v>
      </c>
      <c r="P82" s="57">
        <f>Table2234210234567[[#This Row],[dif rec]]^2</f>
        <v>0.46214142559809507</v>
      </c>
      <c r="Q82" s="57">
        <f>ABS(Table2234210234567[[#This Row],[diff-bias]])</f>
        <v>0.68226976364814185</v>
      </c>
      <c r="R82" s="57">
        <f ca="1">CELL("row",Table2234210234567[[#This Row],[Position]])</f>
        <v>82</v>
      </c>
      <c r="S82" s="4">
        <f>Table2234210234567[[#This Row],[REF]]-D$13</f>
        <v>0.65999984999999839</v>
      </c>
      <c r="T82" s="4">
        <f>ABS(Table2234210234567[[#This Row],[lab-med]])</f>
        <v>0.65999984999999839</v>
      </c>
      <c r="U82" s="4">
        <f>Table2234210234567[[#This Row],[Lucas D]]-F$13</f>
        <v>8.6724839938449705E-2</v>
      </c>
      <c r="V82" s="4">
        <f>ABS(Table2234210234567[[#This Row],[anl-med]])</f>
        <v>8.6724839938449705E-2</v>
      </c>
      <c r="W82" s="4">
        <f>Table2234210234567[[#This Row],[lab-med]]*Table2234210234567[[#This Row],[anl-med]]</f>
        <v>5.7238381350650673E-2</v>
      </c>
    </row>
    <row r="83" spans="2:23" x14ac:dyDescent="0.25">
      <c r="B83" s="46">
        <f ca="1">VALUE((Table2234210234567[[#This Row],[Column3]]-62))</f>
        <v>21</v>
      </c>
      <c r="C83" t="s">
        <v>89</v>
      </c>
      <c r="D83">
        <v>11.5</v>
      </c>
      <c r="E83"/>
      <c r="F83">
        <v>4.3439984653692099</v>
      </c>
      <c r="G83" s="29">
        <f>Table2234210234567[[#This Row],[Lucas D]]-Table2234210234567[[#This Row],[REF]]</f>
        <v>-7.1560015346307901</v>
      </c>
      <c r="H83" s="29">
        <f>Table2234210234567[[#This Row],[X-Y]]-E$20</f>
        <v>-0.94110309225972255</v>
      </c>
      <c r="I83" s="29">
        <f>Table2234210234567[[#This Row],[Lucas D]]-E$20</f>
        <v>10.558896907740277</v>
      </c>
      <c r="J83" s="29">
        <f>Table2234210234567[[#This Row],[Lucas D]]*E$21+E$22</f>
        <v>10.629503855559339</v>
      </c>
      <c r="K83" s="56">
        <f>Table2234210234567[[#This Row],[Yest]]-Table2234210234567[[#This Row],[REF]]</f>
        <v>-0.87049614444066137</v>
      </c>
      <c r="L83" s="56">
        <f>ABS(Table2234210234567[[#This Row],[RESyx]])</f>
        <v>0.87049614444066137</v>
      </c>
      <c r="M83" s="29">
        <f>Table2234210234567[[#This Row],[Lucas D]]*E$25+E$26</f>
        <v>10.570019866038759</v>
      </c>
      <c r="N83" s="29">
        <f>Table2234210234567[[#This Row],[X-Y]]^2</f>
        <v>51.208357963638221</v>
      </c>
      <c r="O83" s="57">
        <f>Table2234210234567[[#This Row],[yest_rect]]-Table2234210234567[[#This Row],[REF]]</f>
        <v>-0.9299801339612408</v>
      </c>
      <c r="P83" s="57">
        <f>Table2234210234567[[#This Row],[dif rec]]^2</f>
        <v>0.86486304956256732</v>
      </c>
      <c r="Q83" s="57">
        <f>ABS(Table2234210234567[[#This Row],[diff-bias]])</f>
        <v>0.94110309225972255</v>
      </c>
      <c r="R83" s="57">
        <f ca="1">CELL("row",Table2234210234567[[#This Row],[Position]])</f>
        <v>83</v>
      </c>
      <c r="S83" s="4">
        <f>Table2234210234567[[#This Row],[REF]]-D$13</f>
        <v>0.48999974999999907</v>
      </c>
      <c r="T83" s="4">
        <f>ABS(Table2234210234567[[#This Row],[lab-med]])</f>
        <v>0.48999974999999907</v>
      </c>
      <c r="U83" s="4">
        <f>Table2234210234567[[#This Row],[Lucas D]]-F$13</f>
        <v>-0.34210858867313032</v>
      </c>
      <c r="V83" s="4">
        <f>ABS(Table2234210234567[[#This Row],[anl-med]])</f>
        <v>0.34210858867313032</v>
      </c>
      <c r="W83" s="4">
        <f>Table2234210234567[[#This Row],[lab-med]]*Table2234210234567[[#This Row],[anl-med]]</f>
        <v>-0.16763312292268637</v>
      </c>
    </row>
    <row r="84" spans="2:23" x14ac:dyDescent="0.25">
      <c r="B84" s="46">
        <f ca="1">VALUE((Table2234210234567[[#This Row],[Column3]]-62))</f>
        <v>22</v>
      </c>
      <c r="C84" t="s">
        <v>90</v>
      </c>
      <c r="D84">
        <v>11.3699999</v>
      </c>
      <c r="E84"/>
      <c r="F84">
        <v>5.6741071493256303</v>
      </c>
      <c r="G84" s="29">
        <f>Table2234210234567[[#This Row],[Lucas D]]-Table2234210234567[[#This Row],[REF]]</f>
        <v>-5.6958927506743695</v>
      </c>
      <c r="H84" s="29">
        <f>Table2234210234567[[#This Row],[X-Y]]-E$20</f>
        <v>0.51900569169669808</v>
      </c>
      <c r="I84" s="29">
        <f>Table2234210234567[[#This Row],[Lucas D]]-E$20</f>
        <v>11.889005591696698</v>
      </c>
      <c r="J84" s="29">
        <f>Table2234210234567[[#This Row],[Lucas D]]*E$21+E$22</f>
        <v>11.789045175885994</v>
      </c>
      <c r="K84" s="56">
        <f>Table2234210234567[[#This Row],[Yest]]-Table2234210234567[[#This Row],[REF]]</f>
        <v>0.41904527588599372</v>
      </c>
      <c r="L84" s="56">
        <f>ABS(Table2234210234567[[#This Row],[RESyx]])</f>
        <v>0.41904527588599372</v>
      </c>
      <c r="M84" s="29">
        <f>Table2234210234567[[#This Row],[Lucas D]]*E$25+E$26</f>
        <v>11.873258479395361</v>
      </c>
      <c r="N84" s="29">
        <f>Table2234210234567[[#This Row],[X-Y]]^2</f>
        <v>32.443194227184833</v>
      </c>
      <c r="O84" s="57">
        <f>Table2234210234567[[#This Row],[yest_rect]]-Table2234210234567[[#This Row],[REF]]</f>
        <v>0.50325857939536078</v>
      </c>
      <c r="P84" s="57">
        <f>Table2234210234567[[#This Row],[dif rec]]^2</f>
        <v>0.25326919773503664</v>
      </c>
      <c r="Q84" s="57">
        <f>ABS(Table2234210234567[[#This Row],[diff-bias]])</f>
        <v>0.51900569169669808</v>
      </c>
      <c r="R84" s="57">
        <f ca="1">CELL("row",Table2234210234567[[#This Row],[Position]])</f>
        <v>84</v>
      </c>
      <c r="S84" s="4">
        <f>Table2234210234567[[#This Row],[REF]]-D$13</f>
        <v>0.35999964999999889</v>
      </c>
      <c r="T84" s="4">
        <f>ABS(Table2234210234567[[#This Row],[lab-med]])</f>
        <v>0.35999964999999889</v>
      </c>
      <c r="U84" s="4">
        <f>Table2234210234567[[#This Row],[Lucas D]]-F$13</f>
        <v>0.98800009528329014</v>
      </c>
      <c r="V84" s="4">
        <f>ABS(Table2234210234567[[#This Row],[anl-med]])</f>
        <v>0.98800009528329014</v>
      </c>
      <c r="W84" s="4">
        <f>Table2234210234567[[#This Row],[lab-med]]*Table2234210234567[[#This Row],[anl-med]]</f>
        <v>0.35567968850195003</v>
      </c>
    </row>
    <row r="85" spans="2:23" x14ac:dyDescent="0.25">
      <c r="B85" s="46">
        <f ca="1">VALUE((Table2234210234567[[#This Row],[Column3]]-62))</f>
        <v>23</v>
      </c>
      <c r="C85" t="s">
        <v>91</v>
      </c>
      <c r="D85">
        <v>11.5900002</v>
      </c>
      <c r="E85"/>
      <c r="F85">
        <v>4.8813375764131797</v>
      </c>
      <c r="G85" s="29">
        <f>Table2234210234567[[#This Row],[Lucas D]]-Table2234210234567[[#This Row],[REF]]</f>
        <v>-6.7086626235868208</v>
      </c>
      <c r="H85" s="29">
        <f>Table2234210234567[[#This Row],[X-Y]]-E$20</f>
        <v>-0.49376418121575316</v>
      </c>
      <c r="I85" s="29">
        <f>Table2234210234567[[#This Row],[Lucas D]]-E$20</f>
        <v>11.096236018784246</v>
      </c>
      <c r="J85" s="29">
        <f>Table2234210234567[[#This Row],[Lucas D]]*E$21+E$22</f>
        <v>11.097936931591711</v>
      </c>
      <c r="K85" s="56">
        <f>Table2234210234567[[#This Row],[Yest]]-Table2234210234567[[#This Row],[REF]]</f>
        <v>-0.49206326840828929</v>
      </c>
      <c r="L85" s="56">
        <f>ABS(Table2234210234567[[#This Row],[RESyx]])</f>
        <v>0.49206326840828929</v>
      </c>
      <c r="M85" s="29">
        <f>Table2234210234567[[#This Row],[Lucas D]]*E$25+E$26</f>
        <v>11.096503969500304</v>
      </c>
      <c r="N85" s="29">
        <f>Table2234210234567[[#This Row],[X-Y]]^2</f>
        <v>45.006154197110803</v>
      </c>
      <c r="O85" s="57">
        <f>Table2234210234567[[#This Row],[yest_rect]]-Table2234210234567[[#This Row],[REF]]</f>
        <v>-0.49349623049969615</v>
      </c>
      <c r="P85" s="57">
        <f>Table2234210234567[[#This Row],[dif rec]]^2</f>
        <v>0.24353852951740923</v>
      </c>
      <c r="Q85" s="57">
        <f>ABS(Table2234210234567[[#This Row],[diff-bias]])</f>
        <v>0.49376418121575316</v>
      </c>
      <c r="R85" s="57">
        <f ca="1">CELL("row",Table2234210234567[[#This Row],[Position]])</f>
        <v>85</v>
      </c>
      <c r="S85" s="4">
        <f>Table2234210234567[[#This Row],[REF]]-D$13</f>
        <v>0.57999994999999949</v>
      </c>
      <c r="T85" s="4">
        <f>ABS(Table2234210234567[[#This Row],[lab-med]])</f>
        <v>0.57999994999999949</v>
      </c>
      <c r="U85" s="4">
        <f>Table2234210234567[[#This Row],[Lucas D]]-F$13</f>
        <v>0.19523052237083949</v>
      </c>
      <c r="V85" s="4">
        <f>ABS(Table2234210234567[[#This Row],[anl-med]])</f>
        <v>0.19523052237083949</v>
      </c>
      <c r="W85" s="4">
        <f>Table2234210234567[[#This Row],[lab-med]]*Table2234210234567[[#This Row],[anl-med]]</f>
        <v>0.11323369321356068</v>
      </c>
    </row>
    <row r="86" spans="2:23" x14ac:dyDescent="0.25">
      <c r="B86" s="46">
        <f ca="1">VALUE((Table2234210234567[[#This Row],[Column3]]-62))</f>
        <v>24</v>
      </c>
      <c r="C86" t="s">
        <v>92</v>
      </c>
      <c r="D86">
        <v>9.8800001000000002</v>
      </c>
      <c r="E86"/>
      <c r="F86">
        <v>2.9735119437449802</v>
      </c>
      <c r="G86" s="29">
        <f>Table2234210234567[[#This Row],[Lucas D]]-Table2234210234567[[#This Row],[REF]]</f>
        <v>-6.90648815625502</v>
      </c>
      <c r="H86" s="29">
        <f>Table2234210234567[[#This Row],[X-Y]]-E$20</f>
        <v>-0.69158971388395241</v>
      </c>
      <c r="I86" s="29">
        <f>Table2234210234567[[#This Row],[Lucas D]]-E$20</f>
        <v>9.1884103861160469</v>
      </c>
      <c r="J86" s="29">
        <f>Table2234210234567[[#This Row],[Lucas D]]*E$21+E$22</f>
        <v>9.4347625761872305</v>
      </c>
      <c r="K86" s="56">
        <f>Table2234210234567[[#This Row],[Yest]]-Table2234210234567[[#This Row],[REF]]</f>
        <v>-0.44523752381276971</v>
      </c>
      <c r="L86" s="56">
        <f>ABS(Table2234210234567[[#This Row],[RESyx]])</f>
        <v>0.44523752381276971</v>
      </c>
      <c r="M86" s="29">
        <f>Table2234210234567[[#This Row],[Lucas D]]*E$25+E$26</f>
        <v>9.2272191042598131</v>
      </c>
      <c r="N86" s="29">
        <f>Table2234210234567[[#This Row],[X-Y]]^2</f>
        <v>47.699578652490864</v>
      </c>
      <c r="O86" s="57">
        <f>Table2234210234567[[#This Row],[yest_rect]]-Table2234210234567[[#This Row],[REF]]</f>
        <v>-0.65278099574018711</v>
      </c>
      <c r="P86" s="57">
        <f>Table2234210234567[[#This Row],[dif rec]]^2</f>
        <v>0.42612302839955019</v>
      </c>
      <c r="Q86" s="57">
        <f>ABS(Table2234210234567[[#This Row],[diff-bias]])</f>
        <v>0.69158971388395241</v>
      </c>
      <c r="R86" s="57">
        <f ca="1">CELL("row",Table2234210234567[[#This Row],[Position]])</f>
        <v>86</v>
      </c>
      <c r="S86" s="4">
        <f>Table2234210234567[[#This Row],[REF]]-D$13</f>
        <v>-1.1300001500000008</v>
      </c>
      <c r="T86" s="4">
        <f>ABS(Table2234210234567[[#This Row],[lab-med]])</f>
        <v>1.1300001500000008</v>
      </c>
      <c r="U86" s="4">
        <f>Table2234210234567[[#This Row],[Lucas D]]-F$13</f>
        <v>-1.71259511029736</v>
      </c>
      <c r="V86" s="4">
        <f>ABS(Table2234210234567[[#This Row],[anl-med]])</f>
        <v>1.71259511029736</v>
      </c>
      <c r="W86" s="4">
        <f>Table2234210234567[[#This Row],[lab-med]]*Table2234210234567[[#This Row],[anl-med]]</f>
        <v>1.9352327315252846</v>
      </c>
    </row>
    <row r="87" spans="2:23" x14ac:dyDescent="0.25">
      <c r="B87" s="46">
        <f ca="1">VALUE((Table2234210234567[[#This Row],[Column3]]-62))</f>
        <v>25</v>
      </c>
      <c r="C87" t="s">
        <v>93</v>
      </c>
      <c r="D87">
        <v>11.8400002</v>
      </c>
      <c r="E87"/>
      <c r="F87">
        <v>5.7396722945713696</v>
      </c>
      <c r="G87" s="29">
        <f>Table2234210234567[[#This Row],[Lucas D]]-Table2234210234567[[#This Row],[REF]]</f>
        <v>-6.1003279054286308</v>
      </c>
      <c r="H87" s="29">
        <f>Table2234210234567[[#This Row],[X-Y]]-E$20</f>
        <v>0.1145705369424368</v>
      </c>
      <c r="I87" s="29">
        <f>Table2234210234567[[#This Row],[Lucas D]]-E$20</f>
        <v>11.954570736942436</v>
      </c>
      <c r="J87" s="29">
        <f>Table2234210234567[[#This Row],[Lucas D]]*E$21+E$22</f>
        <v>11.846202531523666</v>
      </c>
      <c r="K87" s="56">
        <f>Table2234210234567[[#This Row],[Yest]]-Table2234210234567[[#This Row],[REF]]</f>
        <v>6.2023315236654497E-3</v>
      </c>
      <c r="L87" s="56">
        <f>ABS(Table2234210234567[[#This Row],[RESyx]])</f>
        <v>6.2023315236654497E-3</v>
      </c>
      <c r="M87" s="29">
        <f>Table2234210234567[[#This Row],[Lucas D]]*E$25+E$26</f>
        <v>11.937499116273559</v>
      </c>
      <c r="N87" s="29">
        <f>Table2234210234567[[#This Row],[X-Y]]^2</f>
        <v>37.214000553751269</v>
      </c>
      <c r="O87" s="57">
        <f>Table2234210234567[[#This Row],[yest_rect]]-Table2234210234567[[#This Row],[REF]]</f>
        <v>9.7498916273558223E-2</v>
      </c>
      <c r="P87" s="57">
        <f>Table2234210234567[[#This Row],[dif rec]]^2</f>
        <v>9.5060386745183158E-3</v>
      </c>
      <c r="Q87" s="57">
        <f>ABS(Table2234210234567[[#This Row],[diff-bias]])</f>
        <v>0.1145705369424368</v>
      </c>
      <c r="R87" s="57">
        <f ca="1">CELL("row",Table2234210234567[[#This Row],[Position]])</f>
        <v>87</v>
      </c>
      <c r="S87" s="4">
        <f>Table2234210234567[[#This Row],[REF]]-D$13</f>
        <v>0.82999994999999949</v>
      </c>
      <c r="T87" s="4">
        <f>ABS(Table2234210234567[[#This Row],[lab-med]])</f>
        <v>0.82999994999999949</v>
      </c>
      <c r="U87" s="4">
        <f>Table2234210234567[[#This Row],[Lucas D]]-F$13</f>
        <v>1.0535652405290294</v>
      </c>
      <c r="V87" s="4">
        <f>ABS(Table2234210234567[[#This Row],[anl-med]])</f>
        <v>1.0535652405290294</v>
      </c>
      <c r="W87" s="4">
        <f>Table2234210234567[[#This Row],[lab-med]]*Table2234210234567[[#This Row],[anl-med]]</f>
        <v>0.87445909696083191</v>
      </c>
    </row>
    <row r="88" spans="2:23" x14ac:dyDescent="0.25">
      <c r="B88" s="46">
        <f ca="1">VALUE((Table2234210234567[[#This Row],[Column3]]-62))</f>
        <v>26</v>
      </c>
      <c r="C88" t="s">
        <v>94</v>
      </c>
      <c r="D88">
        <v>10</v>
      </c>
      <c r="E88"/>
      <c r="F88">
        <v>3.5782402559604001</v>
      </c>
      <c r="G88" s="29">
        <f>Table2234210234567[[#This Row],[Lucas D]]-Table2234210234567[[#This Row],[REF]]</f>
        <v>-6.4217597440395995</v>
      </c>
      <c r="H88" s="29">
        <f>Table2234210234567[[#This Row],[X-Y]]-E$20</f>
        <v>-0.20686130166853189</v>
      </c>
      <c r="I88" s="29">
        <f>Table2234210234567[[#This Row],[Lucas D]]-E$20</f>
        <v>9.7931386983314681</v>
      </c>
      <c r="J88" s="29">
        <f>Table2234210234567[[#This Row],[Lucas D]]*E$21+E$22</f>
        <v>9.9619431547692976</v>
      </c>
      <c r="K88" s="56">
        <f>Table2234210234567[[#This Row],[Yest]]-Table2234210234567[[#This Row],[REF]]</f>
        <v>-3.8056845230702407E-2</v>
      </c>
      <c r="L88" s="56">
        <f>ABS(Table2234210234567[[#This Row],[RESyx]])</f>
        <v>3.8056845230702407E-2</v>
      </c>
      <c r="M88" s="29">
        <f>Table2234210234567[[#This Row],[Lucas D]]*E$25+E$26</f>
        <v>9.819731052024018</v>
      </c>
      <c r="N88" s="29">
        <f>Table2234210234567[[#This Row],[X-Y]]^2</f>
        <v>41.238998210167544</v>
      </c>
      <c r="O88" s="57">
        <f>Table2234210234567[[#This Row],[yest_rect]]-Table2234210234567[[#This Row],[REF]]</f>
        <v>-0.18026894797598203</v>
      </c>
      <c r="P88" s="57">
        <f>Table2234210234567[[#This Row],[dif rec]]^2</f>
        <v>3.2496893604367319E-2</v>
      </c>
      <c r="Q88" s="57">
        <f>ABS(Table2234210234567[[#This Row],[diff-bias]])</f>
        <v>0.20686130166853189</v>
      </c>
      <c r="R88" s="57">
        <f ca="1">CELL("row",Table2234210234567[[#This Row],[Position]])</f>
        <v>88</v>
      </c>
      <c r="S88" s="4">
        <f>Table2234210234567[[#This Row],[REF]]-D$13</f>
        <v>-1.0100002500000009</v>
      </c>
      <c r="T88" s="4">
        <f>ABS(Table2234210234567[[#This Row],[lab-med]])</f>
        <v>1.0100002500000009</v>
      </c>
      <c r="U88" s="4">
        <f>Table2234210234567[[#This Row],[Lucas D]]-F$13</f>
        <v>-1.1078667980819401</v>
      </c>
      <c r="V88" s="4">
        <f>ABS(Table2234210234567[[#This Row],[anl-med]])</f>
        <v>1.1078667980819401</v>
      </c>
      <c r="W88" s="4">
        <f>Table2234210234567[[#This Row],[lab-med]]*Table2234210234567[[#This Row],[anl-med]]</f>
        <v>1.11894574302946</v>
      </c>
    </row>
    <row r="89" spans="2:23" x14ac:dyDescent="0.25">
      <c r="B89" s="46">
        <f ca="1">VALUE((Table2234210234567[[#This Row],[Column3]]-62))</f>
        <v>27</v>
      </c>
      <c r="C89" t="s">
        <v>95</v>
      </c>
      <c r="D89">
        <v>10.100000400000001</v>
      </c>
      <c r="E89"/>
      <c r="F89">
        <v>3.73968965505702</v>
      </c>
      <c r="G89" s="29">
        <f>Table2234210234567[[#This Row],[Lucas D]]-Table2234210234567[[#This Row],[REF]]</f>
        <v>-6.3603107449429803</v>
      </c>
      <c r="H89" s="29">
        <f>Table2234210234567[[#This Row],[X-Y]]-E$20</f>
        <v>-0.14541230257191273</v>
      </c>
      <c r="I89" s="29">
        <f>Table2234210234567[[#This Row],[Lucas D]]-E$20</f>
        <v>9.954588097428088</v>
      </c>
      <c r="J89" s="29">
        <f>Table2234210234567[[#This Row],[Lucas D]]*E$21+E$22</f>
        <v>10.102688983777488</v>
      </c>
      <c r="K89" s="56">
        <f>Table2234210234567[[#This Row],[Yest]]-Table2234210234567[[#This Row],[REF]]</f>
        <v>2.6885837774877075E-3</v>
      </c>
      <c r="L89" s="56">
        <f>ABS(Table2234210234567[[#This Row],[RESyx]])</f>
        <v>2.6885837774877075E-3</v>
      </c>
      <c r="M89" s="29">
        <f>Table2234210234567[[#This Row],[Lucas D]]*E$25+E$26</f>
        <v>9.9779189456479269</v>
      </c>
      <c r="N89" s="29">
        <f>Table2234210234567[[#This Row],[X-Y]]^2</f>
        <v>40.453552772237131</v>
      </c>
      <c r="O89" s="57">
        <f>Table2234210234567[[#This Row],[yest_rect]]-Table2234210234567[[#This Row],[REF]]</f>
        <v>-0.12208145435207385</v>
      </c>
      <c r="P89" s="57">
        <f>Table2234210234567[[#This Row],[dif rec]]^2</f>
        <v>1.4903881496717491E-2</v>
      </c>
      <c r="Q89" s="57">
        <f>ABS(Table2234210234567[[#This Row],[diff-bias]])</f>
        <v>0.14541230257191273</v>
      </c>
      <c r="R89" s="57">
        <f ca="1">CELL("row",Table2234210234567[[#This Row],[Position]])</f>
        <v>89</v>
      </c>
      <c r="S89" s="4">
        <f>Table2234210234567[[#This Row],[REF]]-D$13</f>
        <v>-0.90999985000000017</v>
      </c>
      <c r="T89" s="4">
        <f>ABS(Table2234210234567[[#This Row],[lab-med]])</f>
        <v>0.90999985000000017</v>
      </c>
      <c r="U89" s="4">
        <f>Table2234210234567[[#This Row],[Lucas D]]-F$13</f>
        <v>-0.94641739898532018</v>
      </c>
      <c r="V89" s="4">
        <f>ABS(Table2234210234567[[#This Row],[anl-med]])</f>
        <v>0.94641739898532018</v>
      </c>
      <c r="W89" s="4">
        <f>Table2234210234567[[#This Row],[lab-med]]*Table2234210234567[[#This Row],[anl-med]]</f>
        <v>0.86123969111403165</v>
      </c>
    </row>
    <row r="90" spans="2:23" x14ac:dyDescent="0.25">
      <c r="B90" s="46">
        <f ca="1">VALUE((Table2234210234567[[#This Row],[Column3]]-62))</f>
        <v>28</v>
      </c>
      <c r="C90" t="s">
        <v>96</v>
      </c>
      <c r="D90">
        <v>11.399999599999999</v>
      </c>
      <c r="E90"/>
      <c r="F90">
        <v>5.5743514528973304</v>
      </c>
      <c r="G90" s="29">
        <f>Table2234210234567[[#This Row],[Lucas D]]-Table2234210234567[[#This Row],[REF]]</f>
        <v>-5.8256481471026689</v>
      </c>
      <c r="H90" s="29">
        <f>Table2234210234567[[#This Row],[X-Y]]-E$20</f>
        <v>0.38925029526839872</v>
      </c>
      <c r="I90" s="29">
        <f>Table2234210234567[[#This Row],[Lucas D]]-E$20</f>
        <v>11.789249895268398</v>
      </c>
      <c r="J90" s="29">
        <f>Table2234210234567[[#This Row],[Lucas D]]*E$21+E$22</f>
        <v>11.702081716928255</v>
      </c>
      <c r="K90" s="56">
        <f>Table2234210234567[[#This Row],[Yest]]-Table2234210234567[[#This Row],[REF]]</f>
        <v>0.30208211692825593</v>
      </c>
      <c r="L90" s="56">
        <f>ABS(Table2234210234567[[#This Row],[RESyx]])</f>
        <v>0.30208211692825593</v>
      </c>
      <c r="M90" s="29">
        <f>Table2234210234567[[#This Row],[Lucas D]]*E$25+E$26</f>
        <v>11.775517988670245</v>
      </c>
      <c r="N90" s="29">
        <f>Table2234210234567[[#This Row],[X-Y]]^2</f>
        <v>33.938176333840758</v>
      </c>
      <c r="O90" s="57">
        <f>Table2234210234567[[#This Row],[yest_rect]]-Table2234210234567[[#This Row],[REF]]</f>
        <v>0.37551838867024578</v>
      </c>
      <c r="P90" s="57">
        <f>Table2234210234567[[#This Row],[dif rec]]^2</f>
        <v>0.14101406022949778</v>
      </c>
      <c r="Q90" s="57">
        <f>ABS(Table2234210234567[[#This Row],[diff-bias]])</f>
        <v>0.38925029526839872</v>
      </c>
      <c r="R90" s="57">
        <f ca="1">CELL("row",Table2234210234567[[#This Row],[Position]])</f>
        <v>90</v>
      </c>
      <c r="S90" s="4">
        <f>Table2234210234567[[#This Row],[REF]]-D$13</f>
        <v>0.3899993499999983</v>
      </c>
      <c r="T90" s="4">
        <f>ABS(Table2234210234567[[#This Row],[lab-med]])</f>
        <v>0.3899993499999983</v>
      </c>
      <c r="U90" s="4">
        <f>Table2234210234567[[#This Row],[Lucas D]]-F$13</f>
        <v>0.88824439885499018</v>
      </c>
      <c r="V90" s="4">
        <f>ABS(Table2234210234567[[#This Row],[anl-med]])</f>
        <v>0.88824439885499018</v>
      </c>
      <c r="W90" s="4">
        <f>Table2234210234567[[#This Row],[lab-med]]*Table2234210234567[[#This Row],[anl-med]]</f>
        <v>0.3464147381945854</v>
      </c>
    </row>
    <row r="91" spans="2:23" x14ac:dyDescent="0.25">
      <c r="B91" s="46">
        <f ca="1">VALUE((Table2234210234567[[#This Row],[Column3]]-62))</f>
        <v>29</v>
      </c>
      <c r="C91" t="s">
        <v>97</v>
      </c>
      <c r="D91">
        <v>10.279999699999999</v>
      </c>
      <c r="E91"/>
      <c r="F91">
        <v>3.6473875466949401</v>
      </c>
      <c r="G91" s="29">
        <f>Table2234210234567[[#This Row],[Lucas D]]-Table2234210234567[[#This Row],[REF]]</f>
        <v>-6.6326121533050593</v>
      </c>
      <c r="H91" s="29">
        <f>Table2234210234567[[#This Row],[X-Y]]-E$20</f>
        <v>-0.41771371093399168</v>
      </c>
      <c r="I91" s="29">
        <f>Table2234210234567[[#This Row],[Lucas D]]-E$20</f>
        <v>9.8622859890660077</v>
      </c>
      <c r="J91" s="29">
        <f>Table2234210234567[[#This Row],[Lucas D]]*E$21+E$22</f>
        <v>10.022223297108379</v>
      </c>
      <c r="K91" s="56">
        <f>Table2234210234567[[#This Row],[Yest]]-Table2234210234567[[#This Row],[REF]]</f>
        <v>-0.25777640289162029</v>
      </c>
      <c r="L91" s="56">
        <f>ABS(Table2234210234567[[#This Row],[RESyx]])</f>
        <v>0.25777640289162029</v>
      </c>
      <c r="M91" s="29">
        <f>Table2234210234567[[#This Row],[Lucas D]]*E$25+E$26</f>
        <v>9.8874814700020419</v>
      </c>
      <c r="N91" s="29">
        <f>Table2234210234567[[#This Row],[X-Y]]^2</f>
        <v>43.991543976169972</v>
      </c>
      <c r="O91" s="57">
        <f>Table2234210234567[[#This Row],[yest_rect]]-Table2234210234567[[#This Row],[REF]]</f>
        <v>-0.39251822999795749</v>
      </c>
      <c r="P91" s="57">
        <f>Table2234210234567[[#This Row],[dif rec]]^2</f>
        <v>0.15407056088072946</v>
      </c>
      <c r="Q91" s="57">
        <f>ABS(Table2234210234567[[#This Row],[diff-bias]])</f>
        <v>0.41771371093399168</v>
      </c>
      <c r="R91" s="57">
        <f ca="1">CELL("row",Table2234210234567[[#This Row],[Position]])</f>
        <v>91</v>
      </c>
      <c r="S91" s="4">
        <f>Table2234210234567[[#This Row],[REF]]-D$13</f>
        <v>-0.73000055000000152</v>
      </c>
      <c r="T91" s="4">
        <f>ABS(Table2234210234567[[#This Row],[lab-med]])</f>
        <v>0.73000055000000152</v>
      </c>
      <c r="U91" s="4">
        <f>Table2234210234567[[#This Row],[Lucas D]]-F$13</f>
        <v>-1.0387195073474</v>
      </c>
      <c r="V91" s="4">
        <f>ABS(Table2234210234567[[#This Row],[anl-med]])</f>
        <v>1.0387195073474</v>
      </c>
      <c r="W91" s="4">
        <f>Table2234210234567[[#This Row],[lab-med]]*Table2234210234567[[#This Row],[anl-med]]</f>
        <v>0.7582658116593326</v>
      </c>
    </row>
    <row r="92" spans="2:23" x14ac:dyDescent="0.25">
      <c r="B92" s="46">
        <f ca="1">VALUE((Table2234210234567[[#This Row],[Column3]]-62))</f>
        <v>30</v>
      </c>
      <c r="C92" t="s">
        <v>98</v>
      </c>
      <c r="D92">
        <v>12.21</v>
      </c>
      <c r="E92"/>
      <c r="F92">
        <v>5.8009594659327997</v>
      </c>
      <c r="G92" s="29">
        <f>Table2234210234567[[#This Row],[Lucas D]]-Table2234210234567[[#This Row],[REF]]</f>
        <v>-6.4090405340672012</v>
      </c>
      <c r="H92" s="29">
        <f>Table2234210234567[[#This Row],[X-Y]]-E$20</f>
        <v>-0.19414209169613361</v>
      </c>
      <c r="I92" s="29">
        <f>Table2234210234567[[#This Row],[Lucas D]]-E$20</f>
        <v>12.015857908303868</v>
      </c>
      <c r="J92" s="29">
        <f>Table2234210234567[[#This Row],[Lucas D]]*E$21+E$22</f>
        <v>11.899630502077272</v>
      </c>
      <c r="K92" s="56">
        <f>Table2234210234567[[#This Row],[Yest]]-Table2234210234567[[#This Row],[REF]]</f>
        <v>-0.3103694979227285</v>
      </c>
      <c r="L92" s="56">
        <f>ABS(Table2234210234567[[#This Row],[RESyx]])</f>
        <v>0.3103694979227285</v>
      </c>
      <c r="M92" s="29">
        <f>Table2234210234567[[#This Row],[Lucas D]]*E$25+E$26</f>
        <v>11.997548200370986</v>
      </c>
      <c r="N92" s="29">
        <f>Table2234210234567[[#This Row],[X-Y]]^2</f>
        <v>41.075800567316392</v>
      </c>
      <c r="O92" s="57">
        <f>Table2234210234567[[#This Row],[yest_rect]]-Table2234210234567[[#This Row],[REF]]</f>
        <v>-0.21245179962901517</v>
      </c>
      <c r="P92" s="57">
        <f>Table2234210234567[[#This Row],[dif rec]]^2</f>
        <v>4.5135767165607209E-2</v>
      </c>
      <c r="Q92" s="57">
        <f>ABS(Table2234210234567[[#This Row],[diff-bias]])</f>
        <v>0.19414209169613361</v>
      </c>
      <c r="R92" s="57">
        <f ca="1">CELL("row",Table2234210234567[[#This Row],[Position]])</f>
        <v>92</v>
      </c>
      <c r="S92" s="4">
        <f>Table2234210234567[[#This Row],[REF]]-D$13</f>
        <v>1.1999997499999999</v>
      </c>
      <c r="T92" s="4">
        <f>ABS(Table2234210234567[[#This Row],[lab-med]])</f>
        <v>1.1999997499999999</v>
      </c>
      <c r="U92" s="4">
        <f>Table2234210234567[[#This Row],[Lucas D]]-F$13</f>
        <v>1.1148524118904595</v>
      </c>
      <c r="V92" s="4">
        <f>ABS(Table2234210234567[[#This Row],[anl-med]])</f>
        <v>1.1148524118904595</v>
      </c>
      <c r="W92" s="4">
        <f>Table2234210234567[[#This Row],[lab-med]]*Table2234210234567[[#This Row],[anl-med]]</f>
        <v>1.3378226155554482</v>
      </c>
    </row>
    <row r="93" spans="2:23" x14ac:dyDescent="0.25">
      <c r="B93" s="46">
        <f ca="1">VALUE((Table2234210234567[[#This Row],[Column3]]-62))</f>
        <v>31</v>
      </c>
      <c r="C93" t="s">
        <v>99</v>
      </c>
      <c r="D93">
        <v>11.9399996</v>
      </c>
      <c r="E93"/>
      <c r="F93">
        <v>5.8103884360935103</v>
      </c>
      <c r="G93" s="29">
        <f>Table2234210234567[[#This Row],[Lucas D]]-Table2234210234567[[#This Row],[REF]]</f>
        <v>-6.1296111639064899</v>
      </c>
      <c r="H93" s="29">
        <f>Table2234210234567[[#This Row],[X-Y]]-E$20</f>
        <v>8.5287278464577732E-2</v>
      </c>
      <c r="I93" s="29">
        <f>Table2234210234567[[#This Row],[Lucas D]]-E$20</f>
        <v>12.025286878464577</v>
      </c>
      <c r="J93" s="29">
        <f>Table2234210234567[[#This Row],[Lucas D]]*E$21+E$22</f>
        <v>11.907850342035726</v>
      </c>
      <c r="K93" s="56">
        <f>Table2234210234567[[#This Row],[Yest]]-Table2234210234567[[#This Row],[REF]]</f>
        <v>-3.2149257964274369E-2</v>
      </c>
      <c r="L93" s="56">
        <f>ABS(Table2234210234567[[#This Row],[RESyx]])</f>
        <v>3.2149257964274369E-2</v>
      </c>
      <c r="M93" s="29">
        <f>Table2234210234567[[#This Row],[Lucas D]]*E$25+E$26</f>
        <v>12.006786692041512</v>
      </c>
      <c r="N93" s="29">
        <f>Table2234210234567[[#This Row],[X-Y]]^2</f>
        <v>37.572133020687076</v>
      </c>
      <c r="O93" s="57">
        <f>Table2234210234567[[#This Row],[yest_rect]]-Table2234210234567[[#This Row],[REF]]</f>
        <v>6.6787092041511897E-2</v>
      </c>
      <c r="P93" s="57">
        <f>Table2234210234567[[#This Row],[dif rec]]^2</f>
        <v>4.4605156633613814E-3</v>
      </c>
      <c r="Q93" s="57">
        <f>ABS(Table2234210234567[[#This Row],[diff-bias]])</f>
        <v>8.5287278464577732E-2</v>
      </c>
      <c r="R93" s="57">
        <f ca="1">CELL("row",Table2234210234567[[#This Row],[Position]])</f>
        <v>93</v>
      </c>
      <c r="S93" s="4">
        <f>Table2234210234567[[#This Row],[REF]]-D$13</f>
        <v>0.92999934999999923</v>
      </c>
      <c r="T93" s="4">
        <f>ABS(Table2234210234567[[#This Row],[lab-med]])</f>
        <v>0.92999934999999923</v>
      </c>
      <c r="U93" s="4">
        <f>Table2234210234567[[#This Row],[Lucas D]]-F$13</f>
        <v>1.1242813820511701</v>
      </c>
      <c r="V93" s="4">
        <f>ABS(Table2234210234567[[#This Row],[anl-med]])</f>
        <v>1.1242813820511701</v>
      </c>
      <c r="W93" s="4">
        <f>Table2234210234567[[#This Row],[lab-med]]*Table2234210234567[[#This Row],[anl-med]]</f>
        <v>1.045580954524689</v>
      </c>
    </row>
    <row r="94" spans="2:23" x14ac:dyDescent="0.25">
      <c r="B94" s="46">
        <f ca="1">VALUE((Table2234210234567[[#This Row],[Column3]]-62))</f>
        <v>32</v>
      </c>
      <c r="C94" t="s">
        <v>100</v>
      </c>
      <c r="D94">
        <v>10.3699999</v>
      </c>
      <c r="E94"/>
      <c r="F94">
        <v>3.7863973634816301</v>
      </c>
      <c r="G94" s="29">
        <f>Table2234210234567[[#This Row],[Lucas D]]-Table2234210234567[[#This Row],[REF]]</f>
        <v>-6.5836025365183701</v>
      </c>
      <c r="H94" s="29">
        <f>Table2234210234567[[#This Row],[X-Y]]-E$20</f>
        <v>-0.36870409414730254</v>
      </c>
      <c r="I94" s="29">
        <f>Table2234210234567[[#This Row],[Lucas D]]-E$20</f>
        <v>10.001295805852697</v>
      </c>
      <c r="J94" s="29">
        <f>Table2234210234567[[#This Row],[Lucas D]]*E$21+E$22</f>
        <v>10.143407098431855</v>
      </c>
      <c r="K94" s="56">
        <f>Table2234210234567[[#This Row],[Yest]]-Table2234210234567[[#This Row],[REF]]</f>
        <v>-0.22659280156814532</v>
      </c>
      <c r="L94" s="56">
        <f>ABS(Table2234210234567[[#This Row],[RESyx]])</f>
        <v>0.22659280156814532</v>
      </c>
      <c r="M94" s="29">
        <f>Table2234210234567[[#This Row],[Lucas D]]*E$25+E$26</f>
        <v>10.023683092513949</v>
      </c>
      <c r="N94" s="29">
        <f>Table2234210234567[[#This Row],[X-Y]]^2</f>
        <v>43.343822358851114</v>
      </c>
      <c r="O94" s="57">
        <f>Table2234210234567[[#This Row],[yest_rect]]-Table2234210234567[[#This Row],[REF]]</f>
        <v>-0.3463168074860512</v>
      </c>
      <c r="P94" s="57">
        <f>Table2234210234567[[#This Row],[dif rec]]^2</f>
        <v>0.11993533114733065</v>
      </c>
      <c r="Q94" s="57">
        <f>ABS(Table2234210234567[[#This Row],[diff-bias]])</f>
        <v>0.36870409414730254</v>
      </c>
      <c r="R94" s="57">
        <f ca="1">CELL("row",Table2234210234567[[#This Row],[Position]])</f>
        <v>94</v>
      </c>
      <c r="S94" s="4">
        <f>Table2234210234567[[#This Row],[REF]]-D$13</f>
        <v>-0.64000035000000111</v>
      </c>
      <c r="T94" s="4">
        <f>ABS(Table2234210234567[[#This Row],[lab-med]])</f>
        <v>0.64000035000000111</v>
      </c>
      <c r="U94" s="4">
        <f>Table2234210234567[[#This Row],[Lucas D]]-F$13</f>
        <v>-0.89970969056071004</v>
      </c>
      <c r="V94" s="4">
        <f>ABS(Table2234210234567[[#This Row],[anl-med]])</f>
        <v>0.89970969056071004</v>
      </c>
      <c r="W94" s="4">
        <f>Table2234210234567[[#This Row],[lab-med]]*Table2234210234567[[#This Row],[anl-med]]</f>
        <v>0.57581451685724716</v>
      </c>
    </row>
    <row r="95" spans="2:23" x14ac:dyDescent="0.25">
      <c r="B95" s="46">
        <f ca="1">VALUE((Table2234210234567[[#This Row],[Column3]]-62))</f>
        <v>33</v>
      </c>
      <c r="C95" t="s">
        <v>101</v>
      </c>
      <c r="D95">
        <v>10.3800001</v>
      </c>
      <c r="E95"/>
      <c r="F95">
        <v>3.77311321512884</v>
      </c>
      <c r="G95" s="29">
        <f>Table2234210234567[[#This Row],[Lucas D]]-Table2234210234567[[#This Row],[REF]]</f>
        <v>-6.6068868848711606</v>
      </c>
      <c r="H95" s="29">
        <f>Table2234210234567[[#This Row],[X-Y]]-E$20</f>
        <v>-0.39198844250009302</v>
      </c>
      <c r="I95" s="29">
        <f>Table2234210234567[[#This Row],[Lucas D]]-E$20</f>
        <v>9.9880116574999072</v>
      </c>
      <c r="J95" s="29">
        <f>Table2234210234567[[#This Row],[Lucas D]]*E$21+E$22</f>
        <v>10.131826451597348</v>
      </c>
      <c r="K95" s="56">
        <f>Table2234210234567[[#This Row],[Yest]]-Table2234210234567[[#This Row],[REF]]</f>
        <v>-0.24817364840265199</v>
      </c>
      <c r="L95" s="56">
        <f>ABS(Table2234210234567[[#This Row],[RESyx]])</f>
        <v>0.24817364840265199</v>
      </c>
      <c r="M95" s="29">
        <f>Table2234210234567[[#This Row],[Lucas D]]*E$25+E$26</f>
        <v>10.010667302685844</v>
      </c>
      <c r="N95" s="29">
        <f>Table2234210234567[[#This Row],[X-Y]]^2</f>
        <v>43.65095430948255</v>
      </c>
      <c r="O95" s="57">
        <f>Table2234210234567[[#This Row],[yest_rect]]-Table2234210234567[[#This Row],[REF]]</f>
        <v>-0.36933279731415602</v>
      </c>
      <c r="P95" s="57">
        <f>Table2234210234567[[#This Row],[dif rec]]^2</f>
        <v>0.13640671517189945</v>
      </c>
      <c r="Q95" s="57">
        <f>ABS(Table2234210234567[[#This Row],[diff-bias]])</f>
        <v>0.39198844250009302</v>
      </c>
      <c r="R95" s="57">
        <f ca="1">CELL("row",Table2234210234567[[#This Row],[Position]])</f>
        <v>95</v>
      </c>
      <c r="S95" s="4">
        <f>Table2234210234567[[#This Row],[REF]]-D$13</f>
        <v>-0.63000015000000076</v>
      </c>
      <c r="T95" s="4">
        <f>ABS(Table2234210234567[[#This Row],[lab-med]])</f>
        <v>0.63000015000000076</v>
      </c>
      <c r="U95" s="4">
        <f>Table2234210234567[[#This Row],[Lucas D]]-F$13</f>
        <v>-0.91299383891350017</v>
      </c>
      <c r="V95" s="4">
        <f>ABS(Table2234210234567[[#This Row],[anl-med]])</f>
        <v>0.91299383891350017</v>
      </c>
      <c r="W95" s="4">
        <f>Table2234210234567[[#This Row],[lab-med]]*Table2234210234567[[#This Row],[anl-med]]</f>
        <v>0.57518625546458169</v>
      </c>
    </row>
    <row r="96" spans="2:23" x14ac:dyDescent="0.25">
      <c r="B96" s="46">
        <f ca="1">VALUE((Table2234210234567[[#This Row],[Column3]]-62))</f>
        <v>34</v>
      </c>
      <c r="C96" t="s">
        <v>102</v>
      </c>
      <c r="D96">
        <v>9.8800001000000002</v>
      </c>
      <c r="E96"/>
      <c r="F96">
        <v>5.0895901054508004</v>
      </c>
      <c r="G96" s="29">
        <f>Table2234210234567[[#This Row],[Lucas D]]-Table2234210234567[[#This Row],[REF]]</f>
        <v>-4.7904099945491998</v>
      </c>
      <c r="H96" s="29">
        <f>Table2234210234567[[#This Row],[X-Y]]-E$20</f>
        <v>1.4244884478218678</v>
      </c>
      <c r="I96" s="29">
        <f>Table2234210234567[[#This Row],[Lucas D]]-E$20</f>
        <v>11.304488547821869</v>
      </c>
      <c r="J96" s="29">
        <f>Table2234210234567[[#This Row],[Lucas D]]*E$21+E$22</f>
        <v>11.279484060329619</v>
      </c>
      <c r="K96" s="56">
        <f>Table2234210234567[[#This Row],[Yest]]-Table2234210234567[[#This Row],[REF]]</f>
        <v>1.3994839603296185</v>
      </c>
      <c r="L96" s="56">
        <f>ABS(Table2234210234567[[#This Row],[RESyx]])</f>
        <v>1.3994839603296185</v>
      </c>
      <c r="M96" s="29">
        <f>Table2234210234567[[#This Row],[Lucas D]]*E$25+E$26</f>
        <v>11.300549503857471</v>
      </c>
      <c r="N96" s="29">
        <f>Table2234210234567[[#This Row],[X-Y]]^2</f>
        <v>22.948027915876864</v>
      </c>
      <c r="O96" s="57">
        <f>Table2234210234567[[#This Row],[yest_rect]]-Table2234210234567[[#This Row],[REF]]</f>
        <v>1.4205494038574713</v>
      </c>
      <c r="P96" s="57">
        <f>Table2234210234567[[#This Row],[dif rec]]^2</f>
        <v>2.0179606087998172</v>
      </c>
      <c r="Q96" s="57">
        <f>ABS(Table2234210234567[[#This Row],[diff-bias]])</f>
        <v>1.4244884478218678</v>
      </c>
      <c r="R96" s="57">
        <f ca="1">CELL("row",Table2234210234567[[#This Row],[Position]])</f>
        <v>96</v>
      </c>
      <c r="S96" s="4">
        <f>Table2234210234567[[#This Row],[REF]]-D$13</f>
        <v>-1.1300001500000008</v>
      </c>
      <c r="T96" s="4">
        <f>ABS(Table2234210234567[[#This Row],[lab-med]])</f>
        <v>1.1300001500000008</v>
      </c>
      <c r="U96" s="4">
        <f>Table2234210234567[[#This Row],[Lucas D]]-F$13</f>
        <v>0.40348305140846019</v>
      </c>
      <c r="V96" s="4">
        <f>ABS(Table2234210234567[[#This Row],[anl-med]])</f>
        <v>0.40348305140846019</v>
      </c>
      <c r="W96" s="4">
        <f>Table2234210234567[[#This Row],[lab-med]]*Table2234210234567[[#This Row],[anl-med]]</f>
        <v>-0.45593590861401806</v>
      </c>
    </row>
    <row r="97" spans="2:23" x14ac:dyDescent="0.25">
      <c r="B97" s="46">
        <f ca="1">VALUE((Table2234210234567[[#This Row],[Column3]]-62))</f>
        <v>35</v>
      </c>
      <c r="C97" t="s">
        <v>103</v>
      </c>
      <c r="D97">
        <v>12.079999900000001</v>
      </c>
      <c r="E97"/>
      <c r="F97">
        <v>5.24866876897784</v>
      </c>
      <c r="G97" s="29">
        <f>Table2234210234567[[#This Row],[Lucas D]]-Table2234210234567[[#This Row],[REF]]</f>
        <v>-6.8313311310221607</v>
      </c>
      <c r="H97" s="29">
        <f>Table2234210234567[[#This Row],[X-Y]]-E$20</f>
        <v>-0.61643268865109313</v>
      </c>
      <c r="I97" s="29">
        <f>Table2234210234567[[#This Row],[Lucas D]]-E$20</f>
        <v>11.463567211348908</v>
      </c>
      <c r="J97" s="29">
        <f>Table2234210234567[[#This Row],[Lucas D]]*E$21+E$22</f>
        <v>11.418163166606313</v>
      </c>
      <c r="K97" s="56">
        <f>Table2234210234567[[#This Row],[Yest]]-Table2234210234567[[#This Row],[REF]]</f>
        <v>-0.66183673339368809</v>
      </c>
      <c r="L97" s="56">
        <f>ABS(Table2234210234567[[#This Row],[RESyx]])</f>
        <v>0.66183673339368809</v>
      </c>
      <c r="M97" s="29">
        <f>Table2234210234567[[#This Row],[Lucas D]]*E$25+E$26</f>
        <v>11.456414554112563</v>
      </c>
      <c r="N97" s="29">
        <f>Table2234210234567[[#This Row],[X-Y]]^2</f>
        <v>46.667085021672513</v>
      </c>
      <c r="O97" s="57">
        <f>Table2234210234567[[#This Row],[yest_rect]]-Table2234210234567[[#This Row],[REF]]</f>
        <v>-0.62358534588743808</v>
      </c>
      <c r="P97" s="57">
        <f>Table2234210234567[[#This Row],[dif rec]]^2</f>
        <v>0.38885868360555581</v>
      </c>
      <c r="Q97" s="57">
        <f>ABS(Table2234210234567[[#This Row],[diff-bias]])</f>
        <v>0.61643268865109313</v>
      </c>
      <c r="R97" s="57">
        <f ca="1">CELL("row",Table2234210234567[[#This Row],[Position]])</f>
        <v>97</v>
      </c>
      <c r="S97" s="4">
        <f>Table2234210234567[[#This Row],[REF]]-D$13</f>
        <v>1.0699996499999997</v>
      </c>
      <c r="T97" s="4">
        <f>ABS(Table2234210234567[[#This Row],[lab-med]])</f>
        <v>1.0699996499999997</v>
      </c>
      <c r="U97" s="4">
        <f>Table2234210234567[[#This Row],[Lucas D]]-F$13</f>
        <v>0.56256171493549978</v>
      </c>
      <c r="V97" s="4">
        <f>ABS(Table2234210234567[[#This Row],[anl-med]])</f>
        <v>0.56256171493549978</v>
      </c>
      <c r="W97" s="4">
        <f>Table2234210234567[[#This Row],[lab-med]]*Table2234210234567[[#This Row],[anl-med]]</f>
        <v>0.60194083808438437</v>
      </c>
    </row>
    <row r="98" spans="2:23" x14ac:dyDescent="0.25">
      <c r="B98" s="46">
        <f ca="1">VALUE((Table2234210234567[[#This Row],[Column3]]-62))</f>
        <v>36</v>
      </c>
      <c r="C98" t="s">
        <v>104</v>
      </c>
      <c r="D98">
        <v>9.0799999000000007</v>
      </c>
      <c r="E98"/>
      <c r="F98">
        <v>2.1823726766819398</v>
      </c>
      <c r="G98" s="29">
        <f>Table2234210234567[[#This Row],[Lucas D]]-Table2234210234567[[#This Row],[REF]]</f>
        <v>-6.8976272233180609</v>
      </c>
      <c r="H98" s="29">
        <f>Table2234210234567[[#This Row],[X-Y]]-E$20</f>
        <v>-0.6827287809469933</v>
      </c>
      <c r="I98" s="29">
        <f>Table2234210234567[[#This Row],[Lucas D]]-E$20</f>
        <v>8.3972711190530074</v>
      </c>
      <c r="J98" s="29">
        <f>Table2234210234567[[#This Row],[Lucas D]]*E$21+E$22</f>
        <v>8.7450755743973865</v>
      </c>
      <c r="K98" s="56">
        <f>Table2234210234567[[#This Row],[Yest]]-Table2234210234567[[#This Row],[REF]]</f>
        <v>-0.3349243256026142</v>
      </c>
      <c r="L98" s="56">
        <f>ABS(Table2234210234567[[#This Row],[RESyx]])</f>
        <v>0.3349243256026142</v>
      </c>
      <c r="M98" s="29">
        <f>Table2234210234567[[#This Row],[Lucas D]]*E$25+E$26</f>
        <v>8.4520619657376077</v>
      </c>
      <c r="N98" s="29">
        <f>Table2234210234567[[#This Row],[X-Y]]^2</f>
        <v>47.577261311858422</v>
      </c>
      <c r="O98" s="57">
        <f>Table2234210234567[[#This Row],[yest_rect]]-Table2234210234567[[#This Row],[REF]]</f>
        <v>-0.62793793426239297</v>
      </c>
      <c r="P98" s="57">
        <f>Table2234210234567[[#This Row],[dif rec]]^2</f>
        <v>0.39430604928572138</v>
      </c>
      <c r="Q98" s="57">
        <f>ABS(Table2234210234567[[#This Row],[diff-bias]])</f>
        <v>0.6827287809469933</v>
      </c>
      <c r="R98" s="57">
        <f ca="1">CELL("row",Table2234210234567[[#This Row],[Position]])</f>
        <v>98</v>
      </c>
      <c r="S98" s="4">
        <f>Table2234210234567[[#This Row],[REF]]-D$13</f>
        <v>-1.9300003500000003</v>
      </c>
      <c r="T98" s="4">
        <f>ABS(Table2234210234567[[#This Row],[lab-med]])</f>
        <v>1.9300003500000003</v>
      </c>
      <c r="U98" s="4">
        <f>Table2234210234567[[#This Row],[Lucas D]]-F$13</f>
        <v>-2.5037343773604004</v>
      </c>
      <c r="V98" s="4">
        <f>ABS(Table2234210234567[[#This Row],[anl-med]])</f>
        <v>2.5037343773604004</v>
      </c>
      <c r="W98" s="4">
        <f>Table2234210234567[[#This Row],[lab-med]]*Table2234210234567[[#This Row],[anl-med]]</f>
        <v>4.8322082246126055</v>
      </c>
    </row>
    <row r="99" spans="2:23" x14ac:dyDescent="0.25">
      <c r="B99" s="46">
        <f ca="1">VALUE((Table2234210234567[[#This Row],[Column3]]-62))</f>
        <v>37</v>
      </c>
      <c r="C99" t="s">
        <v>105</v>
      </c>
      <c r="D99">
        <v>10.800000199999999</v>
      </c>
      <c r="E99"/>
      <c r="F99">
        <v>4.3031202036395904</v>
      </c>
      <c r="G99" s="29">
        <f>Table2234210234567[[#This Row],[Lucas D]]-Table2234210234567[[#This Row],[REF]]</f>
        <v>-6.4968799963604091</v>
      </c>
      <c r="H99" s="29">
        <f>Table2234210234567[[#This Row],[X-Y]]-E$20</f>
        <v>-0.28198155398934155</v>
      </c>
      <c r="I99" s="29">
        <f>Table2234210234567[[#This Row],[Lucas D]]-E$20</f>
        <v>10.518018646010658</v>
      </c>
      <c r="J99" s="29">
        <f>Table2234210234567[[#This Row],[Lucas D]]*E$21+E$22</f>
        <v>10.593867644661422</v>
      </c>
      <c r="K99" s="56">
        <f>Table2234210234567[[#This Row],[Yest]]-Table2234210234567[[#This Row],[REF]]</f>
        <v>-0.20613255533857711</v>
      </c>
      <c r="L99" s="56">
        <f>ABS(Table2234210234567[[#This Row],[RESyx]])</f>
        <v>0.20613255533857711</v>
      </c>
      <c r="M99" s="29">
        <f>Table2234210234567[[#This Row],[Lucas D]]*E$25+E$26</f>
        <v>10.529967402826149</v>
      </c>
      <c r="N99" s="29">
        <f>Table2234210234567[[#This Row],[X-Y]]^2</f>
        <v>42.209449687108027</v>
      </c>
      <c r="O99" s="57">
        <f>Table2234210234567[[#This Row],[yest_rect]]-Table2234210234567[[#This Row],[REF]]</f>
        <v>-0.27003279717385098</v>
      </c>
      <c r="P99" s="57">
        <f>Table2234210234567[[#This Row],[dif rec]]^2</f>
        <v>7.2917711549534137E-2</v>
      </c>
      <c r="Q99" s="57">
        <f>ABS(Table2234210234567[[#This Row],[diff-bias]])</f>
        <v>0.28198155398934155</v>
      </c>
      <c r="R99" s="57">
        <f ca="1">CELL("row",Table2234210234567[[#This Row],[Position]])</f>
        <v>99</v>
      </c>
      <c r="S99" s="4">
        <f>Table2234210234567[[#This Row],[REF]]-D$13</f>
        <v>-0.21000005000000144</v>
      </c>
      <c r="T99" s="4">
        <f>ABS(Table2234210234567[[#This Row],[lab-med]])</f>
        <v>0.21000005000000144</v>
      </c>
      <c r="U99" s="4">
        <f>Table2234210234567[[#This Row],[Lucas D]]-F$13</f>
        <v>-0.38298685040274982</v>
      </c>
      <c r="V99" s="4">
        <f>ABS(Table2234210234567[[#This Row],[anl-med]])</f>
        <v>0.38298685040274982</v>
      </c>
      <c r="W99" s="4">
        <f>Table2234210234567[[#This Row],[lab-med]]*Table2234210234567[[#This Row],[anl-med]]</f>
        <v>8.0427257733920537E-2</v>
      </c>
    </row>
    <row r="100" spans="2:23" x14ac:dyDescent="0.25">
      <c r="B100" s="46">
        <f ca="1">VALUE((Table2234210234567[[#This Row],[Column3]]-62))</f>
        <v>38</v>
      </c>
      <c r="C100" t="s">
        <v>106</v>
      </c>
      <c r="D100">
        <v>9.3599996999999995</v>
      </c>
      <c r="E100"/>
      <c r="F100">
        <v>3.8706551081084002</v>
      </c>
      <c r="G100" s="29">
        <f>Table2234210234567[[#This Row],[Lucas D]]-Table2234210234567[[#This Row],[REF]]</f>
        <v>-5.4893445918915997</v>
      </c>
      <c r="H100" s="29">
        <f>Table2234210234567[[#This Row],[X-Y]]-E$20</f>
        <v>0.72555385047946785</v>
      </c>
      <c r="I100" s="29">
        <f>Table2234210234567[[#This Row],[Lucas D]]-E$20</f>
        <v>10.085553550479467</v>
      </c>
      <c r="J100" s="29">
        <f>Table2234210234567[[#This Row],[Lucas D]]*E$21+E$22</f>
        <v>10.216859995650495</v>
      </c>
      <c r="K100" s="56">
        <f>Table2234210234567[[#This Row],[Yest]]-Table2234210234567[[#This Row],[REF]]</f>
        <v>0.85686029565049537</v>
      </c>
      <c r="L100" s="56">
        <f>ABS(Table2234210234567[[#This Row],[RESyx]])</f>
        <v>0.85686029565049537</v>
      </c>
      <c r="M100" s="29">
        <f>Table2234210234567[[#This Row],[Lucas D]]*E$25+E$26</f>
        <v>10.106238711912901</v>
      </c>
      <c r="N100" s="29">
        <f>Table2234210234567[[#This Row],[X-Y]]^2</f>
        <v>30.132904048529554</v>
      </c>
      <c r="O100" s="57">
        <f>Table2234210234567[[#This Row],[yest_rect]]-Table2234210234567[[#This Row],[REF]]</f>
        <v>0.74623901191290187</v>
      </c>
      <c r="P100" s="57">
        <f>Table2234210234567[[#This Row],[dif rec]]^2</f>
        <v>0.55687266290074411</v>
      </c>
      <c r="Q100" s="57">
        <f>ABS(Table2234210234567[[#This Row],[diff-bias]])</f>
        <v>0.72555385047946785</v>
      </c>
      <c r="R100" s="57">
        <f ca="1">CELL("row",Table2234210234567[[#This Row],[Position]])</f>
        <v>100</v>
      </c>
      <c r="S100" s="4">
        <f>Table2234210234567[[#This Row],[REF]]-D$13</f>
        <v>-1.6500005500000015</v>
      </c>
      <c r="T100" s="4">
        <f>ABS(Table2234210234567[[#This Row],[lab-med]])</f>
        <v>1.6500005500000015</v>
      </c>
      <c r="U100" s="4">
        <f>Table2234210234567[[#This Row],[Lucas D]]-F$13</f>
        <v>-0.81545194593393999</v>
      </c>
      <c r="V100" s="4">
        <f>ABS(Table2234210234567[[#This Row],[anl-med]])</f>
        <v>0.81545194593393999</v>
      </c>
      <c r="W100" s="4">
        <f>Table2234210234567[[#This Row],[lab-med]]*Table2234210234567[[#This Row],[anl-med]]</f>
        <v>1.3454961592895724</v>
      </c>
    </row>
    <row r="101" spans="2:23" x14ac:dyDescent="0.25">
      <c r="B101" s="46">
        <f ca="1">VALUE((Table2234210234567[[#This Row],[Column3]]-62))</f>
        <v>39</v>
      </c>
      <c r="C101" t="s">
        <v>107</v>
      </c>
      <c r="D101">
        <v>12.449999800000001</v>
      </c>
      <c r="E101"/>
      <c r="F101">
        <v>5.9338526510205796</v>
      </c>
      <c r="G101" s="29">
        <f>Table2234210234567[[#This Row],[Lucas D]]-Table2234210234567[[#This Row],[REF]]</f>
        <v>-6.5161471489794209</v>
      </c>
      <c r="H101" s="29">
        <f>Table2234210234567[[#This Row],[X-Y]]-E$20</f>
        <v>-0.30124870660835334</v>
      </c>
      <c r="I101" s="29">
        <f>Table2234210234567[[#This Row],[Lucas D]]-E$20</f>
        <v>12.148751093391647</v>
      </c>
      <c r="J101" s="29">
        <f>Table2234210234567[[#This Row],[Lucas D]]*E$21+E$22</f>
        <v>12.015482041998611</v>
      </c>
      <c r="K101" s="56">
        <f>Table2234210234567[[#This Row],[Yest]]-Table2234210234567[[#This Row],[REF]]</f>
        <v>-0.43451775800138925</v>
      </c>
      <c r="L101" s="56">
        <f>ABS(Table2234210234567[[#This Row],[RESyx]])</f>
        <v>0.43451775800138925</v>
      </c>
      <c r="M101" s="29">
        <f>Table2234210234567[[#This Row],[Lucas D]]*E$25+E$26</f>
        <v>12.127756755767514</v>
      </c>
      <c r="N101" s="29">
        <f>Table2234210234567[[#This Row],[X-Y]]^2</f>
        <v>42.460173667152638</v>
      </c>
      <c r="O101" s="57">
        <f>Table2234210234567[[#This Row],[yest_rect]]-Table2234210234567[[#This Row],[REF]]</f>
        <v>-0.3222430442324864</v>
      </c>
      <c r="P101" s="57">
        <f>Table2234210234567[[#This Row],[dif rec]]^2</f>
        <v>0.10384057955622018</v>
      </c>
      <c r="Q101" s="57">
        <f>ABS(Table2234210234567[[#This Row],[diff-bias]])</f>
        <v>0.30124870660835334</v>
      </c>
      <c r="R101" s="57">
        <f ca="1">CELL("row",Table2234210234567[[#This Row],[Position]])</f>
        <v>101</v>
      </c>
      <c r="S101" s="4">
        <f>Table2234210234567[[#This Row],[REF]]-D$13</f>
        <v>1.4399995499999996</v>
      </c>
      <c r="T101" s="4">
        <f>ABS(Table2234210234567[[#This Row],[lab-med]])</f>
        <v>1.4399995499999996</v>
      </c>
      <c r="U101" s="4">
        <f>Table2234210234567[[#This Row],[Lucas D]]-F$13</f>
        <v>1.2477455969782394</v>
      </c>
      <c r="V101" s="4">
        <f>ABS(Table2234210234567[[#This Row],[anl-med]])</f>
        <v>1.2477455969782394</v>
      </c>
      <c r="W101" s="4">
        <f>Table2234210234567[[#This Row],[lab-med]]*Table2234210234567[[#This Row],[anl-med]]</f>
        <v>1.7967530981631457</v>
      </c>
    </row>
    <row r="102" spans="2:23" x14ac:dyDescent="0.25">
      <c r="B102" s="46">
        <f ca="1">VALUE((Table2234210234567[[#This Row],[Column3]]-62))</f>
        <v>40</v>
      </c>
      <c r="C102" t="s">
        <v>108</v>
      </c>
      <c r="D102">
        <v>10.920000099999999</v>
      </c>
      <c r="E102"/>
      <c r="F102">
        <v>4.7869939880706998</v>
      </c>
      <c r="G102" s="29">
        <f>Table2234210234567[[#This Row],[Lucas D]]-Table2234210234567[[#This Row],[REF]]</f>
        <v>-6.1330061119292996</v>
      </c>
      <c r="H102" s="29">
        <f>Table2234210234567[[#This Row],[X-Y]]-E$20</f>
        <v>8.1892330441768024E-2</v>
      </c>
      <c r="I102" s="29">
        <f>Table2234210234567[[#This Row],[Lucas D]]-E$20</f>
        <v>11.001892430441767</v>
      </c>
      <c r="J102" s="29">
        <f>Table2234210234567[[#This Row],[Lucas D]]*E$21+E$22</f>
        <v>11.015691555472824</v>
      </c>
      <c r="K102" s="56">
        <f>Table2234210234567[[#This Row],[Yest]]-Table2234210234567[[#This Row],[REF]]</f>
        <v>9.5691455472824316E-2</v>
      </c>
      <c r="L102" s="56">
        <f>ABS(Table2234210234567[[#This Row],[RESyx]])</f>
        <v>9.5691455472824316E-2</v>
      </c>
      <c r="M102" s="29">
        <f>Table2234210234567[[#This Row],[Lucas D]]*E$25+E$26</f>
        <v>11.004066254647698</v>
      </c>
      <c r="N102" s="29">
        <f>Table2234210234567[[#This Row],[X-Y]]^2</f>
        <v>37.613763968962147</v>
      </c>
      <c r="O102" s="57">
        <f>Table2234210234567[[#This Row],[yest_rect]]-Table2234210234567[[#This Row],[REF]]</f>
        <v>8.4066154647699065E-2</v>
      </c>
      <c r="P102" s="57">
        <f>Table2234210234567[[#This Row],[dif rec]]^2</f>
        <v>7.0671183572508555E-3</v>
      </c>
      <c r="Q102" s="57">
        <f>ABS(Table2234210234567[[#This Row],[diff-bias]])</f>
        <v>8.1892330441768024E-2</v>
      </c>
      <c r="R102" s="57">
        <f ca="1">CELL("row",Table2234210234567[[#This Row],[Position]])</f>
        <v>102</v>
      </c>
      <c r="S102" s="4">
        <f>Table2234210234567[[#This Row],[REF]]-D$13</f>
        <v>-9.0000150000001611E-2</v>
      </c>
      <c r="T102" s="4">
        <f>ABS(Table2234210234567[[#This Row],[lab-med]])</f>
        <v>9.0000150000001611E-2</v>
      </c>
      <c r="U102" s="4">
        <f>Table2234210234567[[#This Row],[Lucas D]]-F$13</f>
        <v>0.10088693402835958</v>
      </c>
      <c r="V102" s="4">
        <f>ABS(Table2234210234567[[#This Row],[anl-med]])</f>
        <v>0.10088693402835958</v>
      </c>
      <c r="W102" s="4">
        <f>Table2234210234567[[#This Row],[lab-med]]*Table2234210234567[[#This Row],[anl-med]]</f>
        <v>-9.0798391955926282E-3</v>
      </c>
    </row>
    <row r="103" spans="2:23" x14ac:dyDescent="0.25">
      <c r="B103" s="46">
        <f ca="1">VALUE((Table2234210234567[[#This Row],[Column3]]-62))</f>
        <v>41</v>
      </c>
      <c r="C103" t="s">
        <v>109</v>
      </c>
      <c r="D103">
        <v>10.949999800000001</v>
      </c>
      <c r="E103"/>
      <c r="F103">
        <v>4.7006977756032802</v>
      </c>
      <c r="G103" s="29">
        <f>Table2234210234567[[#This Row],[Lucas D]]-Table2234210234567[[#This Row],[REF]]</f>
        <v>-6.2493020243967203</v>
      </c>
      <c r="H103" s="29">
        <f>Table2234210234567[[#This Row],[X-Y]]-E$20</f>
        <v>-3.4403582025652746E-2</v>
      </c>
      <c r="I103" s="29">
        <f>Table2234210234567[[#This Row],[Lucas D]]-E$20</f>
        <v>10.915596217974347</v>
      </c>
      <c r="J103" s="29">
        <f>Table2234210234567[[#This Row],[Lucas D]]*E$21+E$22</f>
        <v>10.940461594680432</v>
      </c>
      <c r="K103" s="56">
        <f>Table2234210234567[[#This Row],[Yest]]-Table2234210234567[[#This Row],[REF]]</f>
        <v>-9.5382053195685046E-3</v>
      </c>
      <c r="L103" s="56">
        <f>ABS(Table2234210234567[[#This Row],[RESyx]])</f>
        <v>9.5382053195685046E-3</v>
      </c>
      <c r="M103" s="29">
        <f>Table2234210234567[[#This Row],[Lucas D]]*E$25+E$26</f>
        <v>10.919513347332305</v>
      </c>
      <c r="N103" s="29">
        <f>Table2234210234567[[#This Row],[X-Y]]^2</f>
        <v>39.053775792128945</v>
      </c>
      <c r="O103" s="57">
        <f>Table2234210234567[[#This Row],[yest_rect]]-Table2234210234567[[#This Row],[REF]]</f>
        <v>-3.0486452667695119E-2</v>
      </c>
      <c r="P103" s="57">
        <f>Table2234210234567[[#This Row],[dif rec]]^2</f>
        <v>9.2942379625961485E-4</v>
      </c>
      <c r="Q103" s="57">
        <f>ABS(Table2234210234567[[#This Row],[diff-bias]])</f>
        <v>3.4403582025652746E-2</v>
      </c>
      <c r="R103" s="57">
        <f ca="1">CELL("row",Table2234210234567[[#This Row],[Position]])</f>
        <v>103</v>
      </c>
      <c r="S103" s="4">
        <f>Table2234210234567[[#This Row],[REF]]-D$13</f>
        <v>-6.0000450000000427E-2</v>
      </c>
      <c r="T103" s="4">
        <f>ABS(Table2234210234567[[#This Row],[lab-med]])</f>
        <v>6.0000450000000427E-2</v>
      </c>
      <c r="U103" s="4">
        <f>Table2234210234567[[#This Row],[Lucas D]]-F$13</f>
        <v>1.459072156093999E-2</v>
      </c>
      <c r="V103" s="4">
        <f>ABS(Table2234210234567[[#This Row],[anl-med]])</f>
        <v>1.459072156093999E-2</v>
      </c>
      <c r="W103" s="4">
        <f>Table2234210234567[[#This Row],[lab-med]]*Table2234210234567[[#This Row],[anl-med]]</f>
        <v>-8.7544985948110807E-4</v>
      </c>
    </row>
    <row r="104" spans="2:23" x14ac:dyDescent="0.25">
      <c r="B104" s="46">
        <f ca="1">VALUE((Table2234210234567[[#This Row],[Column3]]-62))</f>
        <v>42</v>
      </c>
      <c r="C104" t="s">
        <v>110</v>
      </c>
      <c r="D104">
        <v>10.9899998</v>
      </c>
      <c r="E104"/>
      <c r="F104">
        <v>5.1803263268448001</v>
      </c>
      <c r="G104" s="29">
        <f>Table2234210234567[[#This Row],[Lucas D]]-Table2234210234567[[#This Row],[REF]]</f>
        <v>-5.8096734731551996</v>
      </c>
      <c r="H104" s="29">
        <f>Table2234210234567[[#This Row],[X-Y]]-E$20</f>
        <v>0.40522496921586804</v>
      </c>
      <c r="I104" s="29">
        <f>Table2234210234567[[#This Row],[Lucas D]]-E$20</f>
        <v>11.395224769215869</v>
      </c>
      <c r="J104" s="29">
        <f>Table2234210234567[[#This Row],[Lucas D]]*E$21+E$22</f>
        <v>11.358584662577922</v>
      </c>
      <c r="K104" s="56">
        <f>Table2234210234567[[#This Row],[Yest]]-Table2234210234567[[#This Row],[REF]]</f>
        <v>0.36858486257792222</v>
      </c>
      <c r="L104" s="56">
        <f>ABS(Table2234210234567[[#This Row],[RESyx]])</f>
        <v>0.36858486257792222</v>
      </c>
      <c r="M104" s="29">
        <f>Table2234210234567[[#This Row],[Lucas D]]*E$25+E$26</f>
        <v>11.389452725659613</v>
      </c>
      <c r="N104" s="29">
        <f>Table2234210234567[[#This Row],[X-Y]]^2</f>
        <v>33.752305864683201</v>
      </c>
      <c r="O104" s="57">
        <f>Table2234210234567[[#This Row],[yest_rect]]-Table2234210234567[[#This Row],[REF]]</f>
        <v>0.3994529256596131</v>
      </c>
      <c r="P104" s="57">
        <f>Table2234210234567[[#This Row],[dif rec]]^2</f>
        <v>0.15956263981802438</v>
      </c>
      <c r="Q104" s="57">
        <f>ABS(Table2234210234567[[#This Row],[diff-bias]])</f>
        <v>0.40522496921586804</v>
      </c>
      <c r="R104" s="57">
        <f ca="1">CELL("row",Table2234210234567[[#This Row],[Position]])</f>
        <v>104</v>
      </c>
      <c r="S104" s="4">
        <f>Table2234210234567[[#This Row],[REF]]-D$13</f>
        <v>-2.000045000000128E-2</v>
      </c>
      <c r="T104" s="4">
        <f>ABS(Table2234210234567[[#This Row],[lab-med]])</f>
        <v>2.000045000000128E-2</v>
      </c>
      <c r="U104" s="4">
        <f>Table2234210234567[[#This Row],[Lucas D]]-F$13</f>
        <v>0.49421927280245992</v>
      </c>
      <c r="V104" s="4">
        <f>ABS(Table2234210234567[[#This Row],[anl-med]])</f>
        <v>0.49421927280245992</v>
      </c>
      <c r="W104" s="4">
        <f>Table2234210234567[[#This Row],[lab-med]]*Table2234210234567[[#This Row],[anl-med]]</f>
        <v>-9.8846078547225914E-3</v>
      </c>
    </row>
    <row r="105" spans="2:23" x14ac:dyDescent="0.25">
      <c r="B105" s="46">
        <f ca="1">VALUE((Table2234210234567[[#This Row],[Column3]]-62))</f>
        <v>43</v>
      </c>
      <c r="C105" t="s">
        <v>111</v>
      </c>
      <c r="D105">
        <v>11</v>
      </c>
      <c r="E105"/>
      <c r="F105">
        <v>5.1276761465806597</v>
      </c>
      <c r="G105" s="29">
        <f>Table2234210234567[[#This Row],[Lucas D]]-Table2234210234567[[#This Row],[REF]]</f>
        <v>-5.8723238534193403</v>
      </c>
      <c r="H105" s="29">
        <f>Table2234210234567[[#This Row],[X-Y]]-E$20</f>
        <v>0.34257458895172732</v>
      </c>
      <c r="I105" s="29">
        <f>Table2234210234567[[#This Row],[Lucas D]]-E$20</f>
        <v>11.342574588951727</v>
      </c>
      <c r="J105" s="29">
        <f>Table2234210234567[[#This Row],[Lucas D]]*E$21+E$22</f>
        <v>11.312686112876463</v>
      </c>
      <c r="K105" s="56">
        <f>Table2234210234567[[#This Row],[Yest]]-Table2234210234567[[#This Row],[REF]]</f>
        <v>0.31268611287646308</v>
      </c>
      <c r="L105" s="56">
        <f>ABS(Table2234210234567[[#This Row],[RESyx]])</f>
        <v>0.31268611287646308</v>
      </c>
      <c r="M105" s="29">
        <f>Table2234210234567[[#This Row],[Lucas D]]*E$25+E$26</f>
        <v>11.337866153262901</v>
      </c>
      <c r="N105" s="29">
        <f>Table2234210234567[[#This Row],[X-Y]]^2</f>
        <v>34.484187439437768</v>
      </c>
      <c r="O105" s="57">
        <f>Table2234210234567[[#This Row],[yest_rect]]-Table2234210234567[[#This Row],[REF]]</f>
        <v>0.33786615326290104</v>
      </c>
      <c r="P105" s="57">
        <f>Table2234210234567[[#This Row],[dif rec]]^2</f>
        <v>0.11415353752067013</v>
      </c>
      <c r="Q105" s="57">
        <f>ABS(Table2234210234567[[#This Row],[diff-bias]])</f>
        <v>0.34257458895172732</v>
      </c>
      <c r="R105" s="57">
        <f ca="1">CELL("row",Table2234210234567[[#This Row],[Position]])</f>
        <v>105</v>
      </c>
      <c r="S105" s="4">
        <f>Table2234210234567[[#This Row],[REF]]-D$13</f>
        <v>-1.0000250000000932E-2</v>
      </c>
      <c r="T105" s="4">
        <f>ABS(Table2234210234567[[#This Row],[lab-med]])</f>
        <v>1.0000250000000932E-2</v>
      </c>
      <c r="U105" s="4">
        <f>Table2234210234567[[#This Row],[Lucas D]]-F$13</f>
        <v>0.44156909253831955</v>
      </c>
      <c r="V105" s="4">
        <f>ABS(Table2234210234567[[#This Row],[anl-med]])</f>
        <v>0.44156909253831955</v>
      </c>
      <c r="W105" s="4">
        <f>Table2234210234567[[#This Row],[lab-med]]*Table2234210234567[[#This Row],[anl-med]]</f>
        <v>-4.4158013176567416E-3</v>
      </c>
    </row>
    <row r="106" spans="2:23" x14ac:dyDescent="0.25">
      <c r="B106" s="46">
        <f ca="1">VALUE((Table2234210234567[[#This Row],[Column3]]-62))</f>
        <v>44</v>
      </c>
      <c r="C106" t="s">
        <v>112</v>
      </c>
      <c r="D106">
        <v>9.9700003000000006</v>
      </c>
      <c r="E106"/>
      <c r="F106">
        <v>4.2247403011843501</v>
      </c>
      <c r="G106" s="29">
        <f>Table2234210234567[[#This Row],[Lucas D]]-Table2234210234567[[#This Row],[REF]]</f>
        <v>-5.7452599988156505</v>
      </c>
      <c r="H106" s="29">
        <f>Table2234210234567[[#This Row],[X-Y]]-E$20</f>
        <v>0.46963844355541706</v>
      </c>
      <c r="I106" s="29">
        <f>Table2234210234567[[#This Row],[Lucas D]]-E$20</f>
        <v>10.439638743555417</v>
      </c>
      <c r="J106" s="29">
        <f>Table2234210234567[[#This Row],[Lucas D]]*E$21+E$22</f>
        <v>10.525538840649943</v>
      </c>
      <c r="K106" s="56">
        <f>Table2234210234567[[#This Row],[Yest]]-Table2234210234567[[#This Row],[REF]]</f>
        <v>0.5555385406499429</v>
      </c>
      <c r="L106" s="56">
        <f>ABS(Table2234210234567[[#This Row],[RESyx]])</f>
        <v>0.5555385406499429</v>
      </c>
      <c r="M106" s="29">
        <f>Table2234210234567[[#This Row],[Lucas D]]*E$25+E$26</f>
        <v>10.453170884900295</v>
      </c>
      <c r="N106" s="29">
        <f>Table2234210234567[[#This Row],[X-Y]]^2</f>
        <v>33.008012453991206</v>
      </c>
      <c r="O106" s="57">
        <f>Table2234210234567[[#This Row],[yest_rect]]-Table2234210234567[[#This Row],[REF]]</f>
        <v>0.48317058490029474</v>
      </c>
      <c r="P106" s="57">
        <f>Table2234210234567[[#This Row],[dif rec]]^2</f>
        <v>0.23345381411289293</v>
      </c>
      <c r="Q106" s="57">
        <f>ABS(Table2234210234567[[#This Row],[diff-bias]])</f>
        <v>0.46963844355541706</v>
      </c>
      <c r="R106" s="57">
        <f ca="1">CELL("row",Table2234210234567[[#This Row],[Position]])</f>
        <v>106</v>
      </c>
      <c r="S106" s="4">
        <f>Table2234210234567[[#This Row],[REF]]-D$13</f>
        <v>-1.0399999500000003</v>
      </c>
      <c r="T106" s="4">
        <f>ABS(Table2234210234567[[#This Row],[lab-med]])</f>
        <v>1.0399999500000003</v>
      </c>
      <c r="U106" s="4">
        <f>Table2234210234567[[#This Row],[Lucas D]]-F$13</f>
        <v>-0.46136675285799011</v>
      </c>
      <c r="V106" s="4">
        <f>ABS(Table2234210234567[[#This Row],[anl-med]])</f>
        <v>0.46136675285799011</v>
      </c>
      <c r="W106" s="4">
        <f>Table2234210234567[[#This Row],[lab-med]]*Table2234210234567[[#This Row],[anl-med]]</f>
        <v>0.47982139990397221</v>
      </c>
    </row>
    <row r="107" spans="2:23" x14ac:dyDescent="0.25">
      <c r="B107" s="46">
        <f ca="1">VALUE((Table2234210234567[[#This Row],[Column3]]-62))</f>
        <v>45</v>
      </c>
      <c r="C107" t="s">
        <v>113</v>
      </c>
      <c r="D107">
        <v>12.899999599999999</v>
      </c>
      <c r="E107"/>
      <c r="F107">
        <v>6.1416111527281299</v>
      </c>
      <c r="G107" s="29">
        <f>Table2234210234567[[#This Row],[Lucas D]]-Table2234210234567[[#This Row],[REF]]</f>
        <v>-6.7583884472718694</v>
      </c>
      <c r="H107" s="29">
        <f>Table2234210234567[[#This Row],[X-Y]]-E$20</f>
        <v>-0.54349000490080179</v>
      </c>
      <c r="I107" s="29">
        <f>Table2234210234567[[#This Row],[Lucas D]]-E$20</f>
        <v>12.356509595099197</v>
      </c>
      <c r="J107" s="29">
        <f>Table2234210234567[[#This Row],[Lucas D]]*E$21+E$22</f>
        <v>12.196598495326686</v>
      </c>
      <c r="K107" s="56">
        <f>Table2234210234567[[#This Row],[Yest]]-Table2234210234567[[#This Row],[REF]]</f>
        <v>-0.70340110467331307</v>
      </c>
      <c r="L107" s="56">
        <f>ABS(Table2234210234567[[#This Row],[RESyx]])</f>
        <v>0.70340110467331307</v>
      </c>
      <c r="M107" s="29">
        <f>Table2234210234567[[#This Row],[Lucas D]]*E$25+E$26</f>
        <v>12.331318242843153</v>
      </c>
      <c r="N107" s="29">
        <f>Table2234210234567[[#This Row],[X-Y]]^2</f>
        <v>45.675814404217867</v>
      </c>
      <c r="O107" s="57">
        <f>Table2234210234567[[#This Row],[yest_rect]]-Table2234210234567[[#This Row],[REF]]</f>
        <v>-0.56868135715684609</v>
      </c>
      <c r="P107" s="57">
        <f>Table2234210234567[[#This Row],[dif rec]]^2</f>
        <v>0.32339848597775234</v>
      </c>
      <c r="Q107" s="57">
        <f>ABS(Table2234210234567[[#This Row],[diff-bias]])</f>
        <v>0.54349000490080179</v>
      </c>
      <c r="R107" s="57">
        <f ca="1">CELL("row",Table2234210234567[[#This Row],[Position]])</f>
        <v>107</v>
      </c>
      <c r="S107" s="4">
        <f>Table2234210234567[[#This Row],[REF]]-D$13</f>
        <v>1.8899993499999983</v>
      </c>
      <c r="T107" s="4">
        <f>ABS(Table2234210234567[[#This Row],[lab-med]])</f>
        <v>1.8899993499999983</v>
      </c>
      <c r="U107" s="4">
        <f>Table2234210234567[[#This Row],[Lucas D]]-F$13</f>
        <v>1.4555040986857897</v>
      </c>
      <c r="V107" s="4">
        <f>ABS(Table2234210234567[[#This Row],[anl-med]])</f>
        <v>1.4555040986857897</v>
      </c>
      <c r="W107" s="4">
        <f>Table2234210234567[[#This Row],[lab-med]]*Table2234210234567[[#This Row],[anl-med]]</f>
        <v>2.7509018004384758</v>
      </c>
    </row>
    <row r="108" spans="2:23" x14ac:dyDescent="0.25">
      <c r="B108" s="46">
        <f ca="1">VALUE((Table2234210234567[[#This Row],[Column3]]-62))</f>
        <v>46</v>
      </c>
      <c r="C108" t="s">
        <v>114</v>
      </c>
      <c r="D108">
        <v>10.529999699999999</v>
      </c>
      <c r="E108"/>
      <c r="F108">
        <v>4.5251017705010099</v>
      </c>
      <c r="G108" s="29">
        <f>Table2234210234567[[#This Row],[Lucas D]]-Table2234210234567[[#This Row],[REF]]</f>
        <v>-6.0048979294989895</v>
      </c>
      <c r="H108" s="29">
        <f>Table2234210234567[[#This Row],[X-Y]]-E$20</f>
        <v>0.2100005128720781</v>
      </c>
      <c r="I108" s="29">
        <f>Table2234210234567[[#This Row],[Lucas D]]-E$20</f>
        <v>10.740000212872078</v>
      </c>
      <c r="J108" s="29">
        <f>Table2234210234567[[#This Row],[Lucas D]]*E$21+E$22</f>
        <v>10.787383259010349</v>
      </c>
      <c r="K108" s="56">
        <f>Table2234210234567[[#This Row],[Yest]]-Table2234210234567[[#This Row],[REF]]</f>
        <v>0.25738355901034993</v>
      </c>
      <c r="L108" s="56">
        <f>ABS(Table2234210234567[[#This Row],[RESyx]])</f>
        <v>0.25738355901034993</v>
      </c>
      <c r="M108" s="29">
        <f>Table2234210234567[[#This Row],[Lucas D]]*E$25+E$26</f>
        <v>10.74746462908791</v>
      </c>
      <c r="N108" s="29">
        <f>Table2234210234567[[#This Row],[X-Y]]^2</f>
        <v>36.058799143701251</v>
      </c>
      <c r="O108" s="57">
        <f>Table2234210234567[[#This Row],[yest_rect]]-Table2234210234567[[#This Row],[REF]]</f>
        <v>0.21746492908791026</v>
      </c>
      <c r="P108" s="57">
        <f>Table2234210234567[[#This Row],[dif rec]]^2</f>
        <v>4.7290995383209841E-2</v>
      </c>
      <c r="Q108" s="57">
        <f>ABS(Table2234210234567[[#This Row],[diff-bias]])</f>
        <v>0.2100005128720781</v>
      </c>
      <c r="R108" s="57">
        <f ca="1">CELL("row",Table2234210234567[[#This Row],[Position]])</f>
        <v>108</v>
      </c>
      <c r="S108" s="4">
        <f>Table2234210234567[[#This Row],[REF]]-D$13</f>
        <v>-0.48000055000000152</v>
      </c>
      <c r="T108" s="4">
        <f>ABS(Table2234210234567[[#This Row],[lab-med]])</f>
        <v>0.48000055000000152</v>
      </c>
      <c r="U108" s="4">
        <f>Table2234210234567[[#This Row],[Lucas D]]-F$13</f>
        <v>-0.16100528354133026</v>
      </c>
      <c r="V108" s="4">
        <f>ABS(Table2234210234567[[#This Row],[anl-med]])</f>
        <v>0.16100528354133026</v>
      </c>
      <c r="W108" s="4">
        <f>Table2234210234567[[#This Row],[lab-med]]*Table2234210234567[[#This Row],[anl-med]]</f>
        <v>7.7282624652744714E-2</v>
      </c>
    </row>
    <row r="109" spans="2:23" x14ac:dyDescent="0.25">
      <c r="B109" s="46">
        <f ca="1">VALUE((Table2234210234567[[#This Row],[Column3]]-62))</f>
        <v>47</v>
      </c>
      <c r="C109" t="s">
        <v>115</v>
      </c>
      <c r="D109">
        <v>11.0600004</v>
      </c>
      <c r="E109"/>
      <c r="F109">
        <v>4.95723449815753</v>
      </c>
      <c r="G109" s="29">
        <f>Table2234210234567[[#This Row],[Lucas D]]-Table2234210234567[[#This Row],[REF]]</f>
        <v>-6.1027659018424698</v>
      </c>
      <c r="H109" s="29">
        <f>Table2234210234567[[#This Row],[X-Y]]-E$20</f>
        <v>0.11213254052859778</v>
      </c>
      <c r="I109" s="29">
        <f>Table2234210234567[[#This Row],[Lucas D]]-E$20</f>
        <v>11.172132940528599</v>
      </c>
      <c r="J109" s="29">
        <f>Table2234210234567[[#This Row],[Lucas D]]*E$21+E$22</f>
        <v>11.164101161560046</v>
      </c>
      <c r="K109" s="56">
        <f>Table2234210234567[[#This Row],[Yest]]-Table2234210234567[[#This Row],[REF]]</f>
        <v>0.104100761560046</v>
      </c>
      <c r="L109" s="56">
        <f>ABS(Table2234210234567[[#This Row],[RESyx]])</f>
        <v>0.104100761560046</v>
      </c>
      <c r="M109" s="29">
        <f>Table2234210234567[[#This Row],[Lucas D]]*E$25+E$26</f>
        <v>11.17086766642613</v>
      </c>
      <c r="N109" s="29">
        <f>Table2234210234567[[#This Row],[X-Y]]^2</f>
        <v>37.243751652691131</v>
      </c>
      <c r="O109" s="57">
        <f>Table2234210234567[[#This Row],[yest_rect]]-Table2234210234567[[#This Row],[REF]]</f>
        <v>0.11086726642612987</v>
      </c>
      <c r="P109" s="57">
        <f>Table2234210234567[[#This Row],[dif rec]]^2</f>
        <v>1.2291550764802464E-2</v>
      </c>
      <c r="Q109" s="57">
        <f>ABS(Table2234210234567[[#This Row],[diff-bias]])</f>
        <v>0.11213254052859778</v>
      </c>
      <c r="R109" s="57">
        <f ca="1">CELL("row",Table2234210234567[[#This Row],[Position]])</f>
        <v>109</v>
      </c>
      <c r="S109" s="4">
        <f>Table2234210234567[[#This Row],[REF]]-D$13</f>
        <v>5.0000149999998911E-2</v>
      </c>
      <c r="T109" s="4">
        <f>ABS(Table2234210234567[[#This Row],[lab-med]])</f>
        <v>5.0000149999998911E-2</v>
      </c>
      <c r="U109" s="4">
        <f>Table2234210234567[[#This Row],[Lucas D]]-F$13</f>
        <v>0.27112744411518985</v>
      </c>
      <c r="V109" s="4">
        <f>ABS(Table2234210234567[[#This Row],[anl-med]])</f>
        <v>0.27112744411518985</v>
      </c>
      <c r="W109" s="4">
        <f>Table2234210234567[[#This Row],[lab-med]]*Table2234210234567[[#This Row],[anl-med]]</f>
        <v>1.3556412874875814E-2</v>
      </c>
    </row>
    <row r="110" spans="2:23" x14ac:dyDescent="0.25">
      <c r="B110" s="46">
        <f ca="1">VALUE((Table2234210234567[[#This Row],[Column3]]-62))</f>
        <v>48</v>
      </c>
      <c r="C110" t="s">
        <v>116</v>
      </c>
      <c r="D110">
        <v>9.1000004000000008</v>
      </c>
      <c r="E110"/>
      <c r="F110">
        <v>3.8128046624854499</v>
      </c>
      <c r="G110" s="29">
        <f>Table2234210234567[[#This Row],[Lucas D]]-Table2234210234567[[#This Row],[REF]]</f>
        <v>-5.2871957375145513</v>
      </c>
      <c r="H110" s="29">
        <f>Table2234210234567[[#This Row],[X-Y]]-E$20</f>
        <v>0.92770270485651629</v>
      </c>
      <c r="I110" s="29">
        <f>Table2234210234567[[#This Row],[Lucas D]]-E$20</f>
        <v>10.027703104856517</v>
      </c>
      <c r="J110" s="29">
        <f>Table2234210234567[[#This Row],[Lucas D]]*E$21+E$22</f>
        <v>10.166428040045489</v>
      </c>
      <c r="K110" s="56">
        <f>Table2234210234567[[#This Row],[Yest]]-Table2234210234567[[#This Row],[REF]]</f>
        <v>1.0664276400454877</v>
      </c>
      <c r="L110" s="56">
        <f>ABS(Table2234210234567[[#This Row],[RESyx]])</f>
        <v>1.0664276400454877</v>
      </c>
      <c r="M110" s="29">
        <f>Table2234210234567[[#This Row],[Lucas D]]*E$25+E$26</f>
        <v>10.049556926848947</v>
      </c>
      <c r="N110" s="29">
        <f>Table2234210234567[[#This Row],[X-Y]]^2</f>
        <v>27.954438766792041</v>
      </c>
      <c r="O110" s="57">
        <f>Table2234210234567[[#This Row],[yest_rect]]-Table2234210234567[[#This Row],[REF]]</f>
        <v>0.94955652684894609</v>
      </c>
      <c r="P110" s="57">
        <f>Table2234210234567[[#This Row],[dif rec]]^2</f>
        <v>0.90165759768143328</v>
      </c>
      <c r="Q110" s="57">
        <f>ABS(Table2234210234567[[#This Row],[diff-bias]])</f>
        <v>0.92770270485651629</v>
      </c>
      <c r="R110" s="57">
        <f ca="1">CELL("row",Table2234210234567[[#This Row],[Position]])</f>
        <v>110</v>
      </c>
      <c r="S110" s="4">
        <f>Table2234210234567[[#This Row],[REF]]-D$13</f>
        <v>-1.9099998500000002</v>
      </c>
      <c r="T110" s="4">
        <f>ABS(Table2234210234567[[#This Row],[lab-med]])</f>
        <v>1.9099998500000002</v>
      </c>
      <c r="U110" s="4">
        <f>Table2234210234567[[#This Row],[Lucas D]]-F$13</f>
        <v>-0.87330239155689027</v>
      </c>
      <c r="V110" s="4">
        <f>ABS(Table2234210234567[[#This Row],[anl-med]])</f>
        <v>0.87330239155689027</v>
      </c>
      <c r="W110" s="4">
        <f>Table2234210234567[[#This Row],[lab-med]]*Table2234210234567[[#This Row],[anl-med]]</f>
        <v>1.6680074368783018</v>
      </c>
    </row>
    <row r="111" spans="2:23" x14ac:dyDescent="0.25">
      <c r="B111" s="46">
        <f ca="1">VALUE((Table2234210234567[[#This Row],[Column3]]-62))</f>
        <v>49</v>
      </c>
      <c r="C111" t="s">
        <v>117</v>
      </c>
      <c r="D111">
        <v>8.9700003000000006</v>
      </c>
      <c r="E111"/>
      <c r="F111">
        <v>3.8188887647056902</v>
      </c>
      <c r="G111" s="29">
        <f>Table2234210234567[[#This Row],[Lucas D]]-Table2234210234567[[#This Row],[REF]]</f>
        <v>-5.1511115352943104</v>
      </c>
      <c r="H111" s="29">
        <f>Table2234210234567[[#This Row],[X-Y]]-E$20</f>
        <v>1.0637869070767572</v>
      </c>
      <c r="I111" s="29">
        <f>Table2234210234567[[#This Row],[Lucas D]]-E$20</f>
        <v>10.033787207076758</v>
      </c>
      <c r="J111" s="29">
        <f>Table2234210234567[[#This Row],[Lucas D]]*E$21+E$22</f>
        <v>10.171731943408089</v>
      </c>
      <c r="K111" s="56">
        <f>Table2234210234567[[#This Row],[Yest]]-Table2234210234567[[#This Row],[REF]]</f>
        <v>1.2017316434080882</v>
      </c>
      <c r="L111" s="56">
        <f>ABS(Table2234210234567[[#This Row],[RESyx]])</f>
        <v>1.2017316434080882</v>
      </c>
      <c r="M111" s="29">
        <f>Table2234210234567[[#This Row],[Lucas D]]*E$25+E$26</f>
        <v>10.055518121626987</v>
      </c>
      <c r="N111" s="29">
        <f>Table2234210234567[[#This Row],[X-Y]]^2</f>
        <v>26.533950049042108</v>
      </c>
      <c r="O111" s="57">
        <f>Table2234210234567[[#This Row],[yest_rect]]-Table2234210234567[[#This Row],[REF]]</f>
        <v>1.0855178216269863</v>
      </c>
      <c r="P111" s="57">
        <f>Table2234210234567[[#This Row],[dif rec]]^2</f>
        <v>1.1783489410697976</v>
      </c>
      <c r="Q111" s="57">
        <f>ABS(Table2234210234567[[#This Row],[diff-bias]])</f>
        <v>1.0637869070767572</v>
      </c>
      <c r="R111" s="57">
        <f ca="1">CELL("row",Table2234210234567[[#This Row],[Position]])</f>
        <v>111</v>
      </c>
      <c r="S111" s="4">
        <f>Table2234210234567[[#This Row],[REF]]-D$13</f>
        <v>-2.0399999500000003</v>
      </c>
      <c r="T111" s="4">
        <f>ABS(Table2234210234567[[#This Row],[lab-med]])</f>
        <v>2.0399999500000003</v>
      </c>
      <c r="U111" s="4">
        <f>Table2234210234567[[#This Row],[Lucas D]]-F$13</f>
        <v>-0.86721828933665002</v>
      </c>
      <c r="V111" s="4">
        <f>ABS(Table2234210234567[[#This Row],[anl-med]])</f>
        <v>0.86721828933665002</v>
      </c>
      <c r="W111" s="4">
        <f>Table2234210234567[[#This Row],[lab-med]]*Table2234210234567[[#This Row],[anl-med]]</f>
        <v>1.7691252668858519</v>
      </c>
    </row>
    <row r="112" spans="2:23" x14ac:dyDescent="0.25">
      <c r="B112" s="46">
        <f ca="1">VALUE((Table2234210234567[[#This Row],[Column3]]-62))</f>
        <v>50</v>
      </c>
      <c r="C112" t="s">
        <v>118</v>
      </c>
      <c r="D112">
        <v>11.1199999</v>
      </c>
      <c r="E112"/>
      <c r="F112">
        <v>4.4711985575131097</v>
      </c>
      <c r="G112" s="29">
        <f>Table2234210234567[[#This Row],[Lucas D]]-Table2234210234567[[#This Row],[REF]]</f>
        <v>-6.6488013424868901</v>
      </c>
      <c r="H112" s="29">
        <f>Table2234210234567[[#This Row],[X-Y]]-E$20</f>
        <v>-0.43390290011582255</v>
      </c>
      <c r="I112" s="29">
        <f>Table2234210234567[[#This Row],[Lucas D]]-E$20</f>
        <v>10.686096999884178</v>
      </c>
      <c r="J112" s="29">
        <f>Table2234210234567[[#This Row],[Lucas D]]*E$21+E$22</f>
        <v>10.740392360062209</v>
      </c>
      <c r="K112" s="56">
        <f>Table2234210234567[[#This Row],[Yest]]-Table2234210234567[[#This Row],[REF]]</f>
        <v>-0.37960753993779051</v>
      </c>
      <c r="L112" s="56">
        <f>ABS(Table2234210234567[[#This Row],[RESyx]])</f>
        <v>0.37960753993779051</v>
      </c>
      <c r="M112" s="29">
        <f>Table2234210234567[[#This Row],[Lucas D]]*E$25+E$26</f>
        <v>10.694650336994981</v>
      </c>
      <c r="N112" s="29">
        <f>Table2234210234567[[#This Row],[X-Y]]^2</f>
        <v>44.20655929185547</v>
      </c>
      <c r="O112" s="57">
        <f>Table2234210234567[[#This Row],[yest_rect]]-Table2234210234567[[#This Row],[REF]]</f>
        <v>-0.42534956300501925</v>
      </c>
      <c r="P112" s="57">
        <f>Table2234210234567[[#This Row],[dif rec]]^2</f>
        <v>0.18092225074856083</v>
      </c>
      <c r="Q112" s="57">
        <f>ABS(Table2234210234567[[#This Row],[diff-bias]])</f>
        <v>0.43390290011582255</v>
      </c>
      <c r="R112" s="57">
        <f ca="1">CELL("row",Table2234210234567[[#This Row],[Position]])</f>
        <v>112</v>
      </c>
      <c r="S112" s="4">
        <f>Table2234210234567[[#This Row],[REF]]-D$13</f>
        <v>0.10999964999999889</v>
      </c>
      <c r="T112" s="4">
        <f>ABS(Table2234210234567[[#This Row],[lab-med]])</f>
        <v>0.10999964999999889</v>
      </c>
      <c r="U112" s="4">
        <f>Table2234210234567[[#This Row],[Lucas D]]-F$13</f>
        <v>-0.2149084965292305</v>
      </c>
      <c r="V112" s="4">
        <f>ABS(Table2234210234567[[#This Row],[anl-med]])</f>
        <v>0.2149084965292305</v>
      </c>
      <c r="W112" s="4">
        <f>Table2234210234567[[#This Row],[lab-med]]*Table2234210234567[[#This Row],[anl-med]]</f>
        <v>-2.3639859400241332E-2</v>
      </c>
    </row>
    <row r="113" spans="2:23" x14ac:dyDescent="0.25">
      <c r="B113" s="46">
        <f ca="1">VALUE((Table2234210234567[[#This Row],[Column3]]-62))</f>
        <v>51</v>
      </c>
      <c r="C113" t="s">
        <v>119</v>
      </c>
      <c r="D113">
        <v>9.2299994999999999</v>
      </c>
      <c r="E113"/>
      <c r="F113">
        <v>2.9582538516877901</v>
      </c>
      <c r="G113" s="29">
        <f>Table2234210234567[[#This Row],[Lucas D]]-Table2234210234567[[#This Row],[REF]]</f>
        <v>-6.2717456483122103</v>
      </c>
      <c r="H113" s="29">
        <f>Table2234210234567[[#This Row],[X-Y]]-E$20</f>
        <v>-5.6847205941142676E-2</v>
      </c>
      <c r="I113" s="29">
        <f>Table2234210234567[[#This Row],[Lucas D]]-E$20</f>
        <v>9.1731522940588572</v>
      </c>
      <c r="J113" s="29">
        <f>Table2234210234567[[#This Row],[Lucas D]]*E$21+E$22</f>
        <v>9.4214611156200885</v>
      </c>
      <c r="K113" s="56">
        <f>Table2234210234567[[#This Row],[Yest]]-Table2234210234567[[#This Row],[REF]]</f>
        <v>0.19146161562008857</v>
      </c>
      <c r="L113" s="56">
        <f>ABS(Table2234210234567[[#This Row],[RESyx]])</f>
        <v>0.19146161562008857</v>
      </c>
      <c r="M113" s="29">
        <f>Table2234210234567[[#This Row],[Lucas D]]*E$25+E$26</f>
        <v>9.2122692471729977</v>
      </c>
      <c r="N113" s="29">
        <f>Table2234210234567[[#This Row],[X-Y]]^2</f>
        <v>39.334793477123149</v>
      </c>
      <c r="O113" s="57">
        <f>Table2234210234567[[#This Row],[yest_rect]]-Table2234210234567[[#This Row],[REF]]</f>
        <v>-1.7730252827002246E-2</v>
      </c>
      <c r="P113" s="57">
        <f>Table2234210234567[[#This Row],[dif rec]]^2</f>
        <v>3.1436186530942116E-4</v>
      </c>
      <c r="Q113" s="57">
        <f>ABS(Table2234210234567[[#This Row],[diff-bias]])</f>
        <v>5.6847205941142676E-2</v>
      </c>
      <c r="R113" s="57">
        <f ca="1">CELL("row",Table2234210234567[[#This Row],[Position]])</f>
        <v>113</v>
      </c>
      <c r="S113" s="4">
        <f>Table2234210234567[[#This Row],[REF]]-D$13</f>
        <v>-1.780000750000001</v>
      </c>
      <c r="T113" s="4">
        <f>ABS(Table2234210234567[[#This Row],[lab-med]])</f>
        <v>1.780000750000001</v>
      </c>
      <c r="U113" s="4">
        <f>Table2234210234567[[#This Row],[Lucas D]]-F$13</f>
        <v>-1.7278532023545501</v>
      </c>
      <c r="V113" s="4">
        <f>ABS(Table2234210234567[[#This Row],[anl-med]])</f>
        <v>1.7278532023545501</v>
      </c>
      <c r="W113" s="4">
        <f>Table2234210234567[[#This Row],[lab-med]]*Table2234210234567[[#This Row],[anl-med]]</f>
        <v>3.0755799960810029</v>
      </c>
    </row>
    <row r="114" spans="2:23" x14ac:dyDescent="0.25">
      <c r="B114" s="46">
        <f ca="1">VALUE((Table2234210234567[[#This Row],[Column3]]-62))</f>
        <v>52</v>
      </c>
      <c r="C114" t="s">
        <v>120</v>
      </c>
      <c r="D114">
        <v>11.2299995</v>
      </c>
      <c r="E114"/>
      <c r="F114">
        <v>5.4898214779875802</v>
      </c>
      <c r="G114" s="29">
        <f>Table2234210234567[[#This Row],[Lucas D]]-Table2234210234567[[#This Row],[REF]]</f>
        <v>-5.7401780220124197</v>
      </c>
      <c r="H114" s="29">
        <f>Table2234210234567[[#This Row],[X-Y]]-E$20</f>
        <v>0.47472042035864792</v>
      </c>
      <c r="I114" s="29">
        <f>Table2234210234567[[#This Row],[Lucas D]]-E$20</f>
        <v>11.704719920358649</v>
      </c>
      <c r="J114" s="29">
        <f>Table2234210234567[[#This Row],[Lucas D]]*E$21+E$22</f>
        <v>11.628391499056374</v>
      </c>
      <c r="K114" s="56">
        <f>Table2234210234567[[#This Row],[Yest]]-Table2234210234567[[#This Row],[REF]]</f>
        <v>0.39839199905637379</v>
      </c>
      <c r="L114" s="56">
        <f>ABS(Table2234210234567[[#This Row],[RESyx]])</f>
        <v>0.39839199905637379</v>
      </c>
      <c r="M114" s="29">
        <f>Table2234210234567[[#This Row],[Lucas D]]*E$25+E$26</f>
        <v>11.692695638423817</v>
      </c>
      <c r="N114" s="29">
        <f>Table2234210234567[[#This Row],[X-Y]]^2</f>
        <v>32.949643724394413</v>
      </c>
      <c r="O114" s="57">
        <f>Table2234210234567[[#This Row],[yest_rect]]-Table2234210234567[[#This Row],[REF]]</f>
        <v>0.46269613842381752</v>
      </c>
      <c r="P114" s="57">
        <f>Table2234210234567[[#This Row],[dif rec]]^2</f>
        <v>0.21408771651231251</v>
      </c>
      <c r="Q114" s="57">
        <f>ABS(Table2234210234567[[#This Row],[diff-bias]])</f>
        <v>0.47472042035864792</v>
      </c>
      <c r="R114" s="57">
        <f ca="1">CELL("row",Table2234210234567[[#This Row],[Position]])</f>
        <v>114</v>
      </c>
      <c r="S114" s="4">
        <f>Table2234210234567[[#This Row],[REF]]-D$13</f>
        <v>0.21999924999999898</v>
      </c>
      <c r="T114" s="4">
        <f>ABS(Table2234210234567[[#This Row],[lab-med]])</f>
        <v>0.21999924999999898</v>
      </c>
      <c r="U114" s="4">
        <f>Table2234210234567[[#This Row],[Lucas D]]-F$13</f>
        <v>0.80371442394524006</v>
      </c>
      <c r="V114" s="4">
        <f>ABS(Table2234210234567[[#This Row],[anl-med]])</f>
        <v>0.80371442394524006</v>
      </c>
      <c r="W114" s="4">
        <f>Table2234210234567[[#This Row],[lab-med]]*Table2234210234567[[#This Row],[anl-med]]</f>
        <v>0.17681657048213403</v>
      </c>
    </row>
    <row r="115" spans="2:23" x14ac:dyDescent="0.25">
      <c r="B115" s="46">
        <f ca="1">VALUE((Table2234210234567[[#This Row],[Column3]]-62))</f>
        <v>53</v>
      </c>
      <c r="C115" t="s">
        <v>121</v>
      </c>
      <c r="D115">
        <v>11.2299995</v>
      </c>
      <c r="E115"/>
      <c r="F115">
        <v>4.9569655267445398</v>
      </c>
      <c r="G115" s="29">
        <f>Table2234210234567[[#This Row],[Lucas D]]-Table2234210234567[[#This Row],[REF]]</f>
        <v>-6.2730339732554601</v>
      </c>
      <c r="H115" s="29">
        <f>Table2234210234567[[#This Row],[X-Y]]-E$20</f>
        <v>-5.8135530884392494E-2</v>
      </c>
      <c r="I115" s="29">
        <f>Table2234210234567[[#This Row],[Lucas D]]-E$20</f>
        <v>11.171863969115607</v>
      </c>
      <c r="J115" s="29">
        <f>Table2234210234567[[#This Row],[Lucas D]]*E$21+E$22</f>
        <v>11.163866681873452</v>
      </c>
      <c r="K115" s="56">
        <f>Table2234210234567[[#This Row],[Yest]]-Table2234210234567[[#This Row],[REF]]</f>
        <v>-6.6132818126547477E-2</v>
      </c>
      <c r="L115" s="56">
        <f>ABS(Table2234210234567[[#This Row],[RESyx]])</f>
        <v>6.6132818126547477E-2</v>
      </c>
      <c r="M115" s="29">
        <f>Table2234210234567[[#This Row],[Lucas D]]*E$25+E$26</f>
        <v>11.170604128614876</v>
      </c>
      <c r="N115" s="29">
        <f>Table2234210234567[[#This Row],[X-Y]]^2</f>
        <v>39.350955229617185</v>
      </c>
      <c r="O115" s="57">
        <f>Table2234210234567[[#This Row],[yest_rect]]-Table2234210234567[[#This Row],[REF]]</f>
        <v>-5.9395371385123852E-2</v>
      </c>
      <c r="P115" s="57">
        <f>Table2234210234567[[#This Row],[dif rec]]^2</f>
        <v>3.5278101419767894E-3</v>
      </c>
      <c r="Q115" s="57">
        <f>ABS(Table2234210234567[[#This Row],[diff-bias]])</f>
        <v>5.8135530884392494E-2</v>
      </c>
      <c r="R115" s="57">
        <f ca="1">CELL("row",Table2234210234567[[#This Row],[Position]])</f>
        <v>115</v>
      </c>
      <c r="S115" s="4">
        <f>Table2234210234567[[#This Row],[REF]]-D$13</f>
        <v>0.21999924999999898</v>
      </c>
      <c r="T115" s="4">
        <f>ABS(Table2234210234567[[#This Row],[lab-med]])</f>
        <v>0.21999924999999898</v>
      </c>
      <c r="U115" s="4">
        <f>Table2234210234567[[#This Row],[Lucas D]]-F$13</f>
        <v>0.27085847270219965</v>
      </c>
      <c r="V115" s="4">
        <f>ABS(Table2234210234567[[#This Row],[anl-med]])</f>
        <v>0.27085847270219965</v>
      </c>
      <c r="W115" s="4">
        <f>Table2234210234567[[#This Row],[lab-med]]*Table2234210234567[[#This Row],[anl-med]]</f>
        <v>5.9588660850629117E-2</v>
      </c>
    </row>
    <row r="116" spans="2:23" x14ac:dyDescent="0.25">
      <c r="B116" s="46">
        <f ca="1">VALUE((Table2234210234567[[#This Row],[Column3]]-62))</f>
        <v>54</v>
      </c>
      <c r="C116" t="s">
        <v>122</v>
      </c>
      <c r="D116">
        <v>11.2399998</v>
      </c>
      <c r="E116"/>
      <c r="F116">
        <v>4.5082021008747102</v>
      </c>
      <c r="G116" s="29">
        <f>Table2234210234567[[#This Row],[Lucas D]]-Table2234210234567[[#This Row],[REF]]</f>
        <v>-6.7317976991252895</v>
      </c>
      <c r="H116" s="29">
        <f>Table2234210234567[[#This Row],[X-Y]]-E$20</f>
        <v>-0.51689925675422188</v>
      </c>
      <c r="I116" s="29">
        <f>Table2234210234567[[#This Row],[Lucas D]]-E$20</f>
        <v>10.723100543245778</v>
      </c>
      <c r="J116" s="29">
        <f>Table2234210234567[[#This Row],[Lucas D]]*E$21+E$22</f>
        <v>10.772650729655473</v>
      </c>
      <c r="K116" s="56">
        <f>Table2234210234567[[#This Row],[Yest]]-Table2234210234567[[#This Row],[REF]]</f>
        <v>-0.46734907034452711</v>
      </c>
      <c r="L116" s="56">
        <f>ABS(Table2234210234567[[#This Row],[RESyx]])</f>
        <v>0.46734907034452711</v>
      </c>
      <c r="M116" s="29">
        <f>Table2234210234567[[#This Row],[Lucas D]]*E$25+E$26</f>
        <v>10.730906356613174</v>
      </c>
      <c r="N116" s="29">
        <f>Table2234210234567[[#This Row],[X-Y]]^2</f>
        <v>45.317100261948539</v>
      </c>
      <c r="O116" s="57">
        <f>Table2234210234567[[#This Row],[yest_rect]]-Table2234210234567[[#This Row],[REF]]</f>
        <v>-0.50909344338682594</v>
      </c>
      <c r="P116" s="57">
        <f>Table2234210234567[[#This Row],[dif rec]]^2</f>
        <v>0.25917613409945534</v>
      </c>
      <c r="Q116" s="57">
        <f>ABS(Table2234210234567[[#This Row],[diff-bias]])</f>
        <v>0.51689925675422188</v>
      </c>
      <c r="R116" s="57">
        <f ca="1">CELL("row",Table2234210234567[[#This Row],[Position]])</f>
        <v>116</v>
      </c>
      <c r="S116" s="4">
        <f>Table2234210234567[[#This Row],[REF]]-D$13</f>
        <v>0.22999954999999872</v>
      </c>
      <c r="T116" s="4">
        <f>ABS(Table2234210234567[[#This Row],[lab-med]])</f>
        <v>0.22999954999999872</v>
      </c>
      <c r="U116" s="4">
        <f>Table2234210234567[[#This Row],[Lucas D]]-F$13</f>
        <v>-0.17790495316763</v>
      </c>
      <c r="V116" s="4">
        <f>ABS(Table2234210234567[[#This Row],[anl-med]])</f>
        <v>0.17790495316763</v>
      </c>
      <c r="W116" s="4">
        <f>Table2234210234567[[#This Row],[lab-med]]*Table2234210234567[[#This Row],[anl-med]]</f>
        <v>-4.0918059171325745E-2</v>
      </c>
    </row>
    <row r="117" spans="2:23" x14ac:dyDescent="0.25">
      <c r="B117" s="46">
        <f ca="1">VALUE((Table2234210234567[[#This Row],[Column3]]-62))</f>
        <v>55</v>
      </c>
      <c r="C117" t="s">
        <v>123</v>
      </c>
      <c r="D117">
        <v>12.5600004</v>
      </c>
      <c r="E117"/>
      <c r="F117">
        <v>6.6869255432391697</v>
      </c>
      <c r="G117" s="29">
        <f>Table2234210234567[[#This Row],[Lucas D]]-Table2234210234567[[#This Row],[REF]]</f>
        <v>-5.8730748567608302</v>
      </c>
      <c r="H117" s="29">
        <f>Table2234210234567[[#This Row],[X-Y]]-E$20</f>
        <v>0.3418235856102374</v>
      </c>
      <c r="I117" s="29">
        <f>Table2234210234567[[#This Row],[Lucas D]]-E$20</f>
        <v>12.901823985610237</v>
      </c>
      <c r="J117" s="29">
        <f>Table2234210234567[[#This Row],[Lucas D]]*E$21+E$22</f>
        <v>12.671984135607953</v>
      </c>
      <c r="K117" s="56">
        <f>Table2234210234567[[#This Row],[Yest]]-Table2234210234567[[#This Row],[REF]]</f>
        <v>0.11198373560795361</v>
      </c>
      <c r="L117" s="56">
        <f>ABS(Table2234210234567[[#This Row],[RESyx]])</f>
        <v>0.11198373560795361</v>
      </c>
      <c r="M117" s="29">
        <f>Table2234210234567[[#This Row],[Lucas D]]*E$25+E$26</f>
        <v>12.865616513883007</v>
      </c>
      <c r="N117" s="29">
        <f>Table2234210234567[[#This Row],[X-Y]]^2</f>
        <v>34.493008273116246</v>
      </c>
      <c r="O117" s="57">
        <f>Table2234210234567[[#This Row],[yest_rect]]-Table2234210234567[[#This Row],[REF]]</f>
        <v>0.30561611388300669</v>
      </c>
      <c r="P117" s="57">
        <f>Table2234210234567[[#This Row],[dif rec]]^2</f>
        <v>9.3401209064950919E-2</v>
      </c>
      <c r="Q117" s="57">
        <f>ABS(Table2234210234567[[#This Row],[diff-bias]])</f>
        <v>0.3418235856102374</v>
      </c>
      <c r="R117" s="57">
        <f ca="1">CELL("row",Table2234210234567[[#This Row],[Position]])</f>
        <v>117</v>
      </c>
      <c r="S117" s="4">
        <f>Table2234210234567[[#This Row],[REF]]-D$13</f>
        <v>1.5500001499999989</v>
      </c>
      <c r="T117" s="4">
        <f>ABS(Table2234210234567[[#This Row],[lab-med]])</f>
        <v>1.5500001499999989</v>
      </c>
      <c r="U117" s="4">
        <f>Table2234210234567[[#This Row],[Lucas D]]-F$13</f>
        <v>2.0008184891968295</v>
      </c>
      <c r="V117" s="4">
        <f>ABS(Table2234210234567[[#This Row],[anl-med]])</f>
        <v>2.0008184891968295</v>
      </c>
      <c r="W117" s="4">
        <f>Table2234210234567[[#This Row],[lab-med]]*Table2234210234567[[#This Row],[anl-med]]</f>
        <v>3.1012689583778568</v>
      </c>
    </row>
    <row r="118" spans="2:23" x14ac:dyDescent="0.25">
      <c r="B118" s="46">
        <f ca="1">VALUE((Table2234210234567[[#This Row],[Column3]]-62))</f>
        <v>56</v>
      </c>
      <c r="C118" t="s">
        <v>124</v>
      </c>
      <c r="D118">
        <v>10.0699997</v>
      </c>
      <c r="E118"/>
      <c r="F118">
        <v>3.9290032719157901</v>
      </c>
      <c r="G118" s="29">
        <f>Table2234210234567[[#This Row],[Lucas D]]-Table2234210234567[[#This Row],[REF]]</f>
        <v>-6.1409964280842102</v>
      </c>
      <c r="H118" s="29">
        <f>Table2234210234567[[#This Row],[X-Y]]-E$20</f>
        <v>7.3902014286857387E-2</v>
      </c>
      <c r="I118" s="29">
        <f>Table2234210234567[[#This Row],[Lucas D]]-E$20</f>
        <v>10.143901714286859</v>
      </c>
      <c r="J118" s="29">
        <f>Table2234210234567[[#This Row],[Lucas D]]*E$21+E$22</f>
        <v>10.267725844220561</v>
      </c>
      <c r="K118" s="56">
        <f>Table2234210234567[[#This Row],[Yest]]-Table2234210234567[[#This Row],[REF]]</f>
        <v>0.19772614422056023</v>
      </c>
      <c r="L118" s="56">
        <f>ABS(Table2234210234567[[#This Row],[RESyx]])</f>
        <v>0.19772614422056023</v>
      </c>
      <c r="M118" s="29">
        <f>Table2234210234567[[#This Row],[Lucas D]]*E$25+E$26</f>
        <v>10.163408160552285</v>
      </c>
      <c r="N118" s="29">
        <f>Table2234210234567[[#This Row],[X-Y]]^2</f>
        <v>37.711837129743031</v>
      </c>
      <c r="O118" s="57">
        <f>Table2234210234567[[#This Row],[yest_rect]]-Table2234210234567[[#This Row],[REF]]</f>
        <v>9.3408460552284467E-2</v>
      </c>
      <c r="P118" s="57">
        <f>Table2234210234567[[#This Row],[dif rec]]^2</f>
        <v>8.725140502747683E-3</v>
      </c>
      <c r="Q118" s="57">
        <f>ABS(Table2234210234567[[#This Row],[diff-bias]])</f>
        <v>7.3902014286857387E-2</v>
      </c>
      <c r="R118" s="57">
        <f ca="1">CELL("row",Table2234210234567[[#This Row],[Position]])</f>
        <v>118</v>
      </c>
      <c r="S118" s="4">
        <f>Table2234210234567[[#This Row],[REF]]-D$13</f>
        <v>-0.9400005500000006</v>
      </c>
      <c r="T118" s="4">
        <f>ABS(Table2234210234567[[#This Row],[lab-med]])</f>
        <v>0.9400005500000006</v>
      </c>
      <c r="U118" s="4">
        <f>Table2234210234567[[#This Row],[Lucas D]]-F$13</f>
        <v>-0.75710378212655005</v>
      </c>
      <c r="V118" s="4">
        <f>ABS(Table2234210234567[[#This Row],[anl-med]])</f>
        <v>0.75710378212655005</v>
      </c>
      <c r="W118" s="4">
        <f>Table2234210234567[[#This Row],[lab-med]]*Table2234210234567[[#This Row],[anl-med]]</f>
        <v>0.71167797160603763</v>
      </c>
    </row>
    <row r="119" spans="2:23" x14ac:dyDescent="0.25">
      <c r="B119" s="46">
        <f ca="1">VALUE((Table2234210234567[[#This Row],[Column3]]-62))</f>
        <v>57</v>
      </c>
      <c r="C119" t="s">
        <v>125</v>
      </c>
      <c r="D119">
        <v>9.9399996000000002</v>
      </c>
      <c r="E119"/>
      <c r="F119">
        <v>4.0612238864004198</v>
      </c>
      <c r="G119" s="29">
        <f>Table2234210234567[[#This Row],[Lucas D]]-Table2234210234567[[#This Row],[REF]]</f>
        <v>-5.8787757135995804</v>
      </c>
      <c r="H119" s="29">
        <f>Table2234210234567[[#This Row],[X-Y]]-E$20</f>
        <v>0.33612272877148719</v>
      </c>
      <c r="I119" s="29">
        <f>Table2234210234567[[#This Row],[Lucas D]]-E$20</f>
        <v>10.276122328771487</v>
      </c>
      <c r="J119" s="29">
        <f>Table2234210234567[[#This Row],[Lucas D]]*E$21+E$22</f>
        <v>10.38299106107327</v>
      </c>
      <c r="K119" s="56">
        <f>Table2234210234567[[#This Row],[Yest]]-Table2234210234567[[#This Row],[REF]]</f>
        <v>0.44299146107326948</v>
      </c>
      <c r="L119" s="56">
        <f>ABS(Table2234210234567[[#This Row],[RESyx]])</f>
        <v>0.44299146107326948</v>
      </c>
      <c r="M119" s="29">
        <f>Table2234210234567[[#This Row],[Lucas D]]*E$25+E$26</f>
        <v>10.292957732220033</v>
      </c>
      <c r="N119" s="29">
        <f>Table2234210234567[[#This Row],[X-Y]]^2</f>
        <v>34.560003890808254</v>
      </c>
      <c r="O119" s="57">
        <f>Table2234210234567[[#This Row],[yest_rect]]-Table2234210234567[[#This Row],[REF]]</f>
        <v>0.35295813222003325</v>
      </c>
      <c r="P119" s="57">
        <f>Table2234210234567[[#This Row],[dif rec]]^2</f>
        <v>0.12457944310025447</v>
      </c>
      <c r="Q119" s="57">
        <f>ABS(Table2234210234567[[#This Row],[diff-bias]])</f>
        <v>0.33612272877148719</v>
      </c>
      <c r="R119" s="57">
        <f ca="1">CELL("row",Table2234210234567[[#This Row],[Position]])</f>
        <v>119</v>
      </c>
      <c r="S119" s="4">
        <f>Table2234210234567[[#This Row],[REF]]-D$13</f>
        <v>-1.0700006500000008</v>
      </c>
      <c r="T119" s="4">
        <f>ABS(Table2234210234567[[#This Row],[lab-med]])</f>
        <v>1.0700006500000008</v>
      </c>
      <c r="U119" s="4">
        <f>Table2234210234567[[#This Row],[Lucas D]]-F$13</f>
        <v>-0.62488316764192042</v>
      </c>
      <c r="V119" s="4">
        <f>ABS(Table2234210234567[[#This Row],[anl-med]])</f>
        <v>0.62488316764192042</v>
      </c>
      <c r="W119" s="4">
        <f>Table2234210234567[[#This Row],[lab-med]]*Table2234210234567[[#This Row],[anl-med]]</f>
        <v>0.66862539555091427</v>
      </c>
    </row>
    <row r="120" spans="2:23" x14ac:dyDescent="0.25">
      <c r="B120" s="46">
        <f ca="1">VALUE((Table2234210234567[[#This Row],[Column3]]-62))</f>
        <v>58</v>
      </c>
      <c r="C120" t="s">
        <v>126</v>
      </c>
      <c r="D120">
        <v>10.2399998</v>
      </c>
      <c r="E120"/>
      <c r="F120">
        <v>3.0402558125003201</v>
      </c>
      <c r="G120" s="29">
        <f>Table2234210234567[[#This Row],[Lucas D]]-Table2234210234567[[#This Row],[REF]]</f>
        <v>-7.19974398749968</v>
      </c>
      <c r="H120" s="29">
        <f>Table2234210234567[[#This Row],[X-Y]]-E$20</f>
        <v>-0.98484554512861244</v>
      </c>
      <c r="I120" s="29">
        <f>Table2234210234567[[#This Row],[Lucas D]]-E$20</f>
        <v>9.2551542548713872</v>
      </c>
      <c r="J120" s="29">
        <f>Table2234210234567[[#This Row],[Lucas D]]*E$21+E$22</f>
        <v>9.4929475009484712</v>
      </c>
      <c r="K120" s="56">
        <f>Table2234210234567[[#This Row],[Yest]]-Table2234210234567[[#This Row],[REF]]</f>
        <v>-0.74705229905152848</v>
      </c>
      <c r="L120" s="56">
        <f>ABS(Table2234210234567[[#This Row],[RESyx]])</f>
        <v>0.74705229905152848</v>
      </c>
      <c r="M120" s="29">
        <f>Table2234210234567[[#This Row],[Lucas D]]*E$25+E$26</f>
        <v>9.2926146527709559</v>
      </c>
      <c r="N120" s="29">
        <f>Table2234210234567[[#This Row],[X-Y]]^2</f>
        <v>51.836313485537794</v>
      </c>
      <c r="O120" s="57">
        <f>Table2234210234567[[#This Row],[yest_rect]]-Table2234210234567[[#This Row],[REF]]</f>
        <v>-0.94738514722904377</v>
      </c>
      <c r="P120" s="57">
        <f>Table2234210234567[[#This Row],[dif rec]]^2</f>
        <v>0.8975386171901969</v>
      </c>
      <c r="Q120" s="57">
        <f>ABS(Table2234210234567[[#This Row],[diff-bias]])</f>
        <v>0.98484554512861244</v>
      </c>
      <c r="R120" s="57">
        <f ca="1">CELL("row",Table2234210234567[[#This Row],[Position]])</f>
        <v>120</v>
      </c>
      <c r="S120" s="4">
        <f>Table2234210234567[[#This Row],[REF]]-D$13</f>
        <v>-0.77000045000000128</v>
      </c>
      <c r="T120" s="4">
        <f>ABS(Table2234210234567[[#This Row],[lab-med]])</f>
        <v>0.77000045000000128</v>
      </c>
      <c r="U120" s="4">
        <f>Table2234210234567[[#This Row],[Lucas D]]-F$13</f>
        <v>-1.6458512415420201</v>
      </c>
      <c r="V120" s="4">
        <f>ABS(Table2234210234567[[#This Row],[anl-med]])</f>
        <v>1.6458512415420201</v>
      </c>
      <c r="W120" s="4">
        <f>Table2234210234567[[#This Row],[lab-med]]*Table2234210234567[[#This Row],[anl-med]]</f>
        <v>1.2673061966204162</v>
      </c>
    </row>
    <row r="121" spans="2:23" x14ac:dyDescent="0.25">
      <c r="B121" s="46">
        <f ca="1">VALUE((Table2234210234567[[#This Row],[Column3]]-62))</f>
        <v>59</v>
      </c>
      <c r="C121" t="s">
        <v>127</v>
      </c>
      <c r="D121">
        <v>11.420000099999999</v>
      </c>
      <c r="E121"/>
      <c r="F121">
        <v>5.1472336512949903</v>
      </c>
      <c r="G121" s="29">
        <f>Table2234210234567[[#This Row],[Lucas D]]-Table2234210234567[[#This Row],[REF]]</f>
        <v>-6.272766448705009</v>
      </c>
      <c r="H121" s="29">
        <f>Table2234210234567[[#This Row],[X-Y]]-E$20</f>
        <v>-5.7868006333941402E-2</v>
      </c>
      <c r="I121" s="29">
        <f>Table2234210234567[[#This Row],[Lucas D]]-E$20</f>
        <v>11.362132093666059</v>
      </c>
      <c r="J121" s="29">
        <f>Table2234210234567[[#This Row],[Lucas D]]*E$21+E$22</f>
        <v>11.32973564808534</v>
      </c>
      <c r="K121" s="56">
        <f>Table2234210234567[[#This Row],[Yest]]-Table2234210234567[[#This Row],[REF]]</f>
        <v>-9.0264451914659816E-2</v>
      </c>
      <c r="L121" s="56">
        <f>ABS(Table2234210234567[[#This Row],[RESyx]])</f>
        <v>9.0264451914659816E-2</v>
      </c>
      <c r="M121" s="29">
        <f>Table2234210234567[[#This Row],[Lucas D]]*E$25+E$26</f>
        <v>11.357028568809881</v>
      </c>
      <c r="N121" s="29">
        <f>Table2234210234567[[#This Row],[X-Y]]^2</f>
        <v>39.34759891999925</v>
      </c>
      <c r="O121" s="57">
        <f>Table2234210234567[[#This Row],[yest_rect]]-Table2234210234567[[#This Row],[REF]]</f>
        <v>-6.2971531190118668E-2</v>
      </c>
      <c r="P121" s="57">
        <f>Table2234210234567[[#This Row],[dif rec]]^2</f>
        <v>3.9654137404280879E-3</v>
      </c>
      <c r="Q121" s="57">
        <f>ABS(Table2234210234567[[#This Row],[diff-bias]])</f>
        <v>5.7868006333941402E-2</v>
      </c>
      <c r="R121" s="57">
        <f ca="1">CELL("row",Table2234210234567[[#This Row],[Position]])</f>
        <v>121</v>
      </c>
      <c r="S121" s="4">
        <f>Table2234210234567[[#This Row],[REF]]-D$13</f>
        <v>0.40999984999999839</v>
      </c>
      <c r="T121" s="4">
        <f>ABS(Table2234210234567[[#This Row],[lab-med]])</f>
        <v>0.40999984999999839</v>
      </c>
      <c r="U121" s="4">
        <f>Table2234210234567[[#This Row],[Lucas D]]-F$13</f>
        <v>0.46112659725265015</v>
      </c>
      <c r="V121" s="4">
        <f>ABS(Table2234210234567[[#This Row],[anl-med]])</f>
        <v>0.46112659725265015</v>
      </c>
      <c r="W121" s="4">
        <f>Table2234210234567[[#This Row],[lab-med]]*Table2234210234567[[#This Row],[anl-med]]</f>
        <v>0.18906183570459623</v>
      </c>
    </row>
    <row r="122" spans="2:23" x14ac:dyDescent="0.25">
      <c r="B122" s="46">
        <f ca="1">VALUE((Table2234210234567[[#This Row],[Column3]]-62))</f>
        <v>60</v>
      </c>
      <c r="C122" t="s">
        <v>128</v>
      </c>
      <c r="D122">
        <v>10.5</v>
      </c>
      <c r="E122"/>
      <c r="F122">
        <v>4.0761283951438498</v>
      </c>
      <c r="G122" s="29">
        <f>Table2234210234567[[#This Row],[Lucas D]]-Table2234210234567[[#This Row],[REF]]</f>
        <v>-6.4238716048561502</v>
      </c>
      <c r="H122" s="29">
        <f>Table2234210234567[[#This Row],[X-Y]]-E$20</f>
        <v>-0.20897316248508258</v>
      </c>
      <c r="I122" s="29">
        <f>Table2234210234567[[#This Row],[Lucas D]]-E$20</f>
        <v>10.291026837514917</v>
      </c>
      <c r="J122" s="29">
        <f>Table2234210234567[[#This Row],[Lucas D]]*E$21+E$22</f>
        <v>10.395984280315904</v>
      </c>
      <c r="K122" s="56">
        <f>Table2234210234567[[#This Row],[Yest]]-Table2234210234567[[#This Row],[REF]]</f>
        <v>-0.10401571968409584</v>
      </c>
      <c r="L122" s="56">
        <f>ABS(Table2234210234567[[#This Row],[RESyx]])</f>
        <v>0.10401571968409584</v>
      </c>
      <c r="M122" s="29">
        <f>Table2234210234567[[#This Row],[Lucas D]]*E$25+E$26</f>
        <v>10.307561148874507</v>
      </c>
      <c r="N122" s="29">
        <f>Table2234210234567[[#This Row],[X-Y]]^2</f>
        <v>41.266126395677134</v>
      </c>
      <c r="O122" s="57">
        <f>Table2234210234567[[#This Row],[yest_rect]]-Table2234210234567[[#This Row],[REF]]</f>
        <v>-0.19243885112549286</v>
      </c>
      <c r="P122" s="57">
        <f>Table2234210234567[[#This Row],[dif rec]]^2</f>
        <v>3.7032711422499608E-2</v>
      </c>
      <c r="Q122" s="57">
        <f>ABS(Table2234210234567[[#This Row],[diff-bias]])</f>
        <v>0.20897316248508258</v>
      </c>
      <c r="R122" s="57">
        <f ca="1">CELL("row",Table2234210234567[[#This Row],[Position]])</f>
        <v>122</v>
      </c>
      <c r="S122" s="4">
        <f>Table2234210234567[[#This Row],[REF]]-D$13</f>
        <v>-0.51000025000000093</v>
      </c>
      <c r="T122" s="4">
        <f>ABS(Table2234210234567[[#This Row],[lab-med]])</f>
        <v>0.51000025000000093</v>
      </c>
      <c r="U122" s="4">
        <f>Table2234210234567[[#This Row],[Lucas D]]-F$13</f>
        <v>-0.60997865889849034</v>
      </c>
      <c r="V122" s="4">
        <f>ABS(Table2234210234567[[#This Row],[anl-med]])</f>
        <v>0.60997865889849034</v>
      </c>
      <c r="W122" s="4">
        <f>Table2234210234567[[#This Row],[lab-med]]*Table2234210234567[[#This Row],[anl-med]]</f>
        <v>0.31108926853289537</v>
      </c>
    </row>
    <row r="123" spans="2:23" x14ac:dyDescent="0.25">
      <c r="B123" s="46">
        <f ca="1">VALUE((Table2234210234567[[#This Row],[Column3]]-62))</f>
        <v>61</v>
      </c>
      <c r="C123" t="s">
        <v>129</v>
      </c>
      <c r="D123">
        <v>13.140000300000001</v>
      </c>
      <c r="E123"/>
      <c r="F123">
        <v>6.7435586304031903</v>
      </c>
      <c r="G123" s="29">
        <f>Table2234210234567[[#This Row],[Lucas D]]-Table2234210234567[[#This Row],[REF]]</f>
        <v>-6.3964416695968103</v>
      </c>
      <c r="H123" s="29">
        <f>Table2234210234567[[#This Row],[X-Y]]-E$20</f>
        <v>-0.18154322722574268</v>
      </c>
      <c r="I123" s="29">
        <f>Table2234210234567[[#This Row],[Lucas D]]-E$20</f>
        <v>12.958457072774259</v>
      </c>
      <c r="J123" s="29">
        <f>Table2234210234567[[#This Row],[Lucas D]]*E$21+E$22</f>
        <v>12.721354841518249</v>
      </c>
      <c r="K123" s="56">
        <f>Table2234210234567[[#This Row],[Yest]]-Table2234210234567[[#This Row],[REF]]</f>
        <v>-0.41864545848175183</v>
      </c>
      <c r="L123" s="56">
        <f>ABS(Table2234210234567[[#This Row],[RESyx]])</f>
        <v>0.41864545848175183</v>
      </c>
      <c r="M123" s="29">
        <f>Table2234210234567[[#This Row],[Lucas D]]*E$25+E$26</f>
        <v>12.921105532845129</v>
      </c>
      <c r="N123" s="29">
        <f>Table2234210234567[[#This Row],[X-Y]]^2</f>
        <v>40.914466032554429</v>
      </c>
      <c r="O123" s="57">
        <f>Table2234210234567[[#This Row],[yest_rect]]-Table2234210234567[[#This Row],[REF]]</f>
        <v>-0.21889476715487177</v>
      </c>
      <c r="P123" s="57">
        <f>Table2234210234567[[#This Row],[dif rec]]^2</f>
        <v>4.7914919087785529E-2</v>
      </c>
      <c r="Q123" s="57">
        <f>ABS(Table2234210234567[[#This Row],[diff-bias]])</f>
        <v>0.18154322722574268</v>
      </c>
      <c r="R123" s="57">
        <f ca="1">CELL("row",Table2234210234567[[#This Row],[Position]])</f>
        <v>123</v>
      </c>
      <c r="S123" s="4">
        <f>Table2234210234567[[#This Row],[REF]]-D$13</f>
        <v>2.1300000499999996</v>
      </c>
      <c r="T123" s="4">
        <f>ABS(Table2234210234567[[#This Row],[lab-med]])</f>
        <v>2.1300000499999996</v>
      </c>
      <c r="U123" s="4">
        <f>Table2234210234567[[#This Row],[Lucas D]]-F$13</f>
        <v>2.0574515763608501</v>
      </c>
      <c r="V123" s="4">
        <f>ABS(Table2234210234567[[#This Row],[anl-med]])</f>
        <v>2.0574515763608501</v>
      </c>
      <c r="W123" s="4">
        <f>Table2234210234567[[#This Row],[lab-med]]*Table2234210234567[[#This Row],[anl-med]]</f>
        <v>4.3823719605211888</v>
      </c>
    </row>
    <row r="124" spans="2:23" x14ac:dyDescent="0.25">
      <c r="B124" s="46">
        <f ca="1">VALUE((Table2234210234567[[#This Row],[Column3]]-62))</f>
        <v>62</v>
      </c>
      <c r="C124" t="s">
        <v>130</v>
      </c>
      <c r="D124">
        <v>11.699999800000001</v>
      </c>
      <c r="E124"/>
      <c r="F124">
        <v>4.2953489666592803</v>
      </c>
      <c r="G124" s="29">
        <f>Table2234210234567[[#This Row],[Lucas D]]-Table2234210234567[[#This Row],[REF]]</f>
        <v>-7.4046508333407202</v>
      </c>
      <c r="H124" s="29">
        <f>Table2234210234567[[#This Row],[X-Y]]-E$20</f>
        <v>-1.1897523909696526</v>
      </c>
      <c r="I124" s="29">
        <f>Table2234210234567[[#This Row],[Lucas D]]-E$20</f>
        <v>10.510247409030349</v>
      </c>
      <c r="J124" s="29">
        <f>Table2234210234567[[#This Row],[Lucas D]]*E$21+E$22</f>
        <v>10.587092957376532</v>
      </c>
      <c r="K124" s="56">
        <f>Table2234210234567[[#This Row],[Yest]]-Table2234210234567[[#This Row],[REF]]</f>
        <v>-1.1129068426234685</v>
      </c>
      <c r="L124" s="56">
        <f>ABS(Table2234210234567[[#This Row],[RESyx]])</f>
        <v>1.1129068426234685</v>
      </c>
      <c r="M124" s="29">
        <f>Table2234210234567[[#This Row],[Lucas D]]*E$25+E$26</f>
        <v>10.522353155788712</v>
      </c>
      <c r="N124" s="29">
        <f>Table2234210234567[[#This Row],[X-Y]]^2</f>
        <v>54.828853963693419</v>
      </c>
      <c r="O124" s="57">
        <f>Table2234210234567[[#This Row],[yest_rect]]-Table2234210234567[[#This Row],[REF]]</f>
        <v>-1.1776466442112881</v>
      </c>
      <c r="P124" s="57">
        <f>Table2234210234567[[#This Row],[dif rec]]^2</f>
        <v>1.386851618622108</v>
      </c>
      <c r="Q124" s="57">
        <f>ABS(Table2234210234567[[#This Row],[diff-bias]])</f>
        <v>1.1897523909696526</v>
      </c>
      <c r="R124" s="57">
        <f ca="1">CELL("row",Table2234210234567[[#This Row],[Position]])</f>
        <v>124</v>
      </c>
      <c r="S124" s="4">
        <f>Table2234210234567[[#This Row],[REF]]-D$13</f>
        <v>0.68999954999999957</v>
      </c>
      <c r="T124" s="4">
        <f>ABS(Table2234210234567[[#This Row],[lab-med]])</f>
        <v>0.68999954999999957</v>
      </c>
      <c r="U124" s="4">
        <f>Table2234210234567[[#This Row],[Lucas D]]-F$13</f>
        <v>-0.39075808738305984</v>
      </c>
      <c r="V124" s="4">
        <f>ABS(Table2234210234567[[#This Row],[anl-med]])</f>
        <v>0.39075808738305984</v>
      </c>
      <c r="W124" s="4">
        <f>Table2234210234567[[#This Row],[lab-med]]*Table2234210234567[[#This Row],[anl-med]]</f>
        <v>-0.26962290445317177</v>
      </c>
    </row>
    <row r="125" spans="2:23" x14ac:dyDescent="0.25">
      <c r="B125" s="46">
        <f ca="1">VALUE((Table2234210234567[[#This Row],[Column3]]-62))</f>
        <v>63</v>
      </c>
      <c r="C125" t="s">
        <v>131</v>
      </c>
      <c r="D125">
        <v>10.3800001</v>
      </c>
      <c r="E125"/>
      <c r="F125">
        <v>4.4844909909743604</v>
      </c>
      <c r="G125" s="29">
        <f>Table2234210234567[[#This Row],[Lucas D]]-Table2234210234567[[#This Row],[REF]]</f>
        <v>-5.8955091090256397</v>
      </c>
      <c r="H125" s="29">
        <f>Table2234210234567[[#This Row],[X-Y]]-E$20</f>
        <v>0.31938933334542785</v>
      </c>
      <c r="I125" s="29">
        <f>Table2234210234567[[#This Row],[Lucas D]]-E$20</f>
        <v>10.699389433345427</v>
      </c>
      <c r="J125" s="29">
        <f>Table2234210234567[[#This Row],[Lucas D]]*E$21+E$22</f>
        <v>10.751980229558834</v>
      </c>
      <c r="K125" s="56">
        <f>Table2234210234567[[#This Row],[Yest]]-Table2234210234567[[#This Row],[REF]]</f>
        <v>0.37198012955883364</v>
      </c>
      <c r="L125" s="56">
        <f>ABS(Table2234210234567[[#This Row],[RESyx]])</f>
        <v>0.37198012955883364</v>
      </c>
      <c r="M125" s="29">
        <f>Table2234210234567[[#This Row],[Lucas D]]*E$25+E$26</f>
        <v>10.707674244560675</v>
      </c>
      <c r="N125" s="29">
        <f>Table2234210234567[[#This Row],[X-Y]]^2</f>
        <v>34.757027654604293</v>
      </c>
      <c r="O125" s="57">
        <f>Table2234210234567[[#This Row],[yest_rect]]-Table2234210234567[[#This Row],[REF]]</f>
        <v>0.32767414456067456</v>
      </c>
      <c r="P125" s="57">
        <f>Table2234210234567[[#This Row],[dif rec]]^2</f>
        <v>0.10737034501356985</v>
      </c>
      <c r="Q125" s="57">
        <f>ABS(Table2234210234567[[#This Row],[diff-bias]])</f>
        <v>0.31938933334542785</v>
      </c>
      <c r="R125" s="57">
        <f ca="1">CELL("row",Table2234210234567[[#This Row],[Position]])</f>
        <v>125</v>
      </c>
      <c r="S125" s="4">
        <f>Table2234210234567[[#This Row],[REF]]-D$13</f>
        <v>-0.63000015000000076</v>
      </c>
      <c r="T125" s="4">
        <f>ABS(Table2234210234567[[#This Row],[lab-med]])</f>
        <v>0.63000015000000076</v>
      </c>
      <c r="U125" s="4">
        <f>Table2234210234567[[#This Row],[Lucas D]]-F$13</f>
        <v>-0.20161606306797974</v>
      </c>
      <c r="V125" s="4">
        <f>ABS(Table2234210234567[[#This Row],[anl-med]])</f>
        <v>0.20161606306797974</v>
      </c>
      <c r="W125" s="4">
        <f>Table2234210234567[[#This Row],[lab-med]]*Table2234210234567[[#This Row],[anl-med]]</f>
        <v>0.12701814997523686</v>
      </c>
    </row>
    <row r="126" spans="2:23" x14ac:dyDescent="0.25">
      <c r="B126" s="46">
        <f ca="1">VALUE((Table2234210234567[[#This Row],[Column3]]-62))</f>
        <v>64</v>
      </c>
      <c r="C126" t="s">
        <v>132</v>
      </c>
      <c r="D126">
        <v>13.350000400000001</v>
      </c>
      <c r="E126"/>
      <c r="F126">
        <v>7.3300844560392902</v>
      </c>
      <c r="G126" s="29">
        <f>Table2234210234567[[#This Row],[Lucas D]]-Table2234210234567[[#This Row],[REF]]</f>
        <v>-6.0199159439607106</v>
      </c>
      <c r="H126" s="29">
        <f>Table2234210234567[[#This Row],[X-Y]]-E$20</f>
        <v>0.19498249841035697</v>
      </c>
      <c r="I126" s="29">
        <f>Table2234210234567[[#This Row],[Lucas D]]-E$20</f>
        <v>13.544982898410357</v>
      </c>
      <c r="J126" s="29">
        <f>Table2234210234567[[#This Row],[Lucas D]]*E$21+E$22</f>
        <v>13.232667141382947</v>
      </c>
      <c r="K126" s="56">
        <f>Table2234210234567[[#This Row],[Yest]]-Table2234210234567[[#This Row],[REF]]</f>
        <v>-0.11733325861705346</v>
      </c>
      <c r="L126" s="56">
        <f>ABS(Table2234210234567[[#This Row],[RESyx]])</f>
        <v>0.11733325861705346</v>
      </c>
      <c r="M126" s="29">
        <f>Table2234210234567[[#This Row],[Lucas D]]*E$25+E$26</f>
        <v>13.495782709920736</v>
      </c>
      <c r="N126" s="29">
        <f>Table2234210234567[[#This Row],[X-Y]]^2</f>
        <v>36.239387972352375</v>
      </c>
      <c r="O126" s="57">
        <f>Table2234210234567[[#This Row],[yest_rect]]-Table2234210234567[[#This Row],[REF]]</f>
        <v>0.14578230992073493</v>
      </c>
      <c r="P126" s="57">
        <f>Table2234210234567[[#This Row],[dif rec]]^2</f>
        <v>2.1252481885825212E-2</v>
      </c>
      <c r="Q126" s="57">
        <f>ABS(Table2234210234567[[#This Row],[diff-bias]])</f>
        <v>0.19498249841035697</v>
      </c>
      <c r="R126" s="57">
        <f ca="1">CELL("row",Table2234210234567[[#This Row],[Position]])</f>
        <v>126</v>
      </c>
      <c r="S126" s="4">
        <f>Table2234210234567[[#This Row],[REF]]-D$13</f>
        <v>2.3400001499999998</v>
      </c>
      <c r="T126" s="4">
        <f>ABS(Table2234210234567[[#This Row],[lab-med]])</f>
        <v>2.3400001499999998</v>
      </c>
      <c r="U126" s="4">
        <f>Table2234210234567[[#This Row],[Lucas D]]-F$13</f>
        <v>2.64397740199695</v>
      </c>
      <c r="V126" s="4">
        <f>ABS(Table2234210234567[[#This Row],[anl-med]])</f>
        <v>2.64397740199695</v>
      </c>
      <c r="W126" s="4">
        <f>Table2234210234567[[#This Row],[lab-med]]*Table2234210234567[[#This Row],[anl-med]]</f>
        <v>6.1869075172694732</v>
      </c>
    </row>
    <row r="127" spans="2:23" x14ac:dyDescent="0.25">
      <c r="B127" s="46">
        <f ca="1">VALUE((Table2234210234567[[#This Row],[Column3]]-62))</f>
        <v>65</v>
      </c>
      <c r="C127" t="s">
        <v>133</v>
      </c>
      <c r="D127">
        <v>12.6599998</v>
      </c>
      <c r="E127"/>
      <c r="F127">
        <v>6.6291203890753803</v>
      </c>
      <c r="G127" s="29">
        <f>Table2234210234567[[#This Row],[Lucas D]]-Table2234210234567[[#This Row],[REF]]</f>
        <v>-6.0308794109246193</v>
      </c>
      <c r="H127" s="29">
        <f>Table2234210234567[[#This Row],[X-Y]]-E$20</f>
        <v>0.18401903144644827</v>
      </c>
      <c r="I127" s="29">
        <f>Table2234210234567[[#This Row],[Lucas D]]-E$20</f>
        <v>12.844018831446448</v>
      </c>
      <c r="J127" s="29">
        <f>Table2234210234567[[#This Row],[Lucas D]]*E$21+E$22</f>
        <v>12.621591663481997</v>
      </c>
      <c r="K127" s="56">
        <f>Table2234210234567[[#This Row],[Yest]]-Table2234210234567[[#This Row],[REF]]</f>
        <v>-3.8408136518002678E-2</v>
      </c>
      <c r="L127" s="56">
        <f>ABS(Table2234210234567[[#This Row],[RESyx]])</f>
        <v>3.8408136518002678E-2</v>
      </c>
      <c r="M127" s="29">
        <f>Table2234210234567[[#This Row],[Lucas D]]*E$25+E$26</f>
        <v>12.808979105326888</v>
      </c>
      <c r="N127" s="29">
        <f>Table2234210234567[[#This Row],[X-Y]]^2</f>
        <v>36.371506469114486</v>
      </c>
      <c r="O127" s="57">
        <f>Table2234210234567[[#This Row],[yest_rect]]-Table2234210234567[[#This Row],[REF]]</f>
        <v>0.14897930532688797</v>
      </c>
      <c r="P127" s="57">
        <f>Table2234210234567[[#This Row],[dif rec]]^2</f>
        <v>2.2194833415682111E-2</v>
      </c>
      <c r="Q127" s="57">
        <f>ABS(Table2234210234567[[#This Row],[diff-bias]])</f>
        <v>0.18401903144644827</v>
      </c>
      <c r="R127" s="57">
        <f ca="1">CELL("row",Table2234210234567[[#This Row],[Position]])</f>
        <v>127</v>
      </c>
      <c r="S127" s="4">
        <f>Table2234210234567[[#This Row],[REF]]-D$13</f>
        <v>1.6499995499999986</v>
      </c>
      <c r="T127" s="4">
        <f>ABS(Table2234210234567[[#This Row],[lab-med]])</f>
        <v>1.6499995499999986</v>
      </c>
      <c r="U127" s="4">
        <f>Table2234210234567[[#This Row],[Lucas D]]-F$13</f>
        <v>1.9430133350330401</v>
      </c>
      <c r="V127" s="4">
        <f>ABS(Table2234210234567[[#This Row],[anl-med]])</f>
        <v>1.9430133350330401</v>
      </c>
      <c r="W127" s="4">
        <f>Table2234210234567[[#This Row],[lab-med]]*Table2234210234567[[#This Row],[anl-med]]</f>
        <v>3.2059711284485126</v>
      </c>
    </row>
    <row r="128" spans="2:23" x14ac:dyDescent="0.25">
      <c r="B128" s="46">
        <f ca="1">VALUE((Table2234210234567[[#This Row],[Column3]]-62))</f>
        <v>66</v>
      </c>
      <c r="C128" t="s">
        <v>134</v>
      </c>
      <c r="D128">
        <v>11.9899998</v>
      </c>
      <c r="E128"/>
      <c r="F128">
        <v>5.8670428891950896</v>
      </c>
      <c r="G128" s="29">
        <f>Table2234210234567[[#This Row],[Lucas D]]-Table2234210234567[[#This Row],[REF]]</f>
        <v>-6.12295691080491</v>
      </c>
      <c r="H128" s="29">
        <f>Table2234210234567[[#This Row],[X-Y]]-E$20</f>
        <v>9.1941531566157586E-2</v>
      </c>
      <c r="I128" s="29">
        <f>Table2234210234567[[#This Row],[Lucas D]]-E$20</f>
        <v>12.081941331566156</v>
      </c>
      <c r="J128" s="29">
        <f>Table2234210234567[[#This Row],[Lucas D]]*E$21+E$22</f>
        <v>11.957239674008497</v>
      </c>
      <c r="K128" s="56">
        <f>Table2234210234567[[#This Row],[Yest]]-Table2234210234567[[#This Row],[REF]]</f>
        <v>-3.2760125991503131E-2</v>
      </c>
      <c r="L128" s="56">
        <f>ABS(Table2234210234567[[#This Row],[RESyx]])</f>
        <v>3.2760125991503131E-2</v>
      </c>
      <c r="M128" s="29">
        <f>Table2234210234567[[#This Row],[Lucas D]]*E$25+E$26</f>
        <v>12.062296645319133</v>
      </c>
      <c r="N128" s="29">
        <f>Table2234210234567[[#This Row],[X-Y]]^2</f>
        <v>37.490601331573608</v>
      </c>
      <c r="O128" s="57">
        <f>Table2234210234567[[#This Row],[yest_rect]]-Table2234210234567[[#This Row],[REF]]</f>
        <v>7.2296845319133496E-2</v>
      </c>
      <c r="P128" s="57">
        <f>Table2234210234567[[#This Row],[dif rec]]^2</f>
        <v>5.2268338430987151E-3</v>
      </c>
      <c r="Q128" s="57">
        <f>ABS(Table2234210234567[[#This Row],[diff-bias]])</f>
        <v>9.1941531566157586E-2</v>
      </c>
      <c r="R128" s="57">
        <f ca="1">CELL("row",Table2234210234567[[#This Row],[Position]])</f>
        <v>128</v>
      </c>
      <c r="S128" s="4">
        <f>Table2234210234567[[#This Row],[REF]]-D$13</f>
        <v>0.97999954999999872</v>
      </c>
      <c r="T128" s="4">
        <f>ABS(Table2234210234567[[#This Row],[lab-med]])</f>
        <v>0.97999954999999872</v>
      </c>
      <c r="U128" s="4">
        <f>Table2234210234567[[#This Row],[Lucas D]]-F$13</f>
        <v>1.1809358351527495</v>
      </c>
      <c r="V128" s="4">
        <f>ABS(Table2234210234567[[#This Row],[anl-med]])</f>
        <v>1.1809358351527495</v>
      </c>
      <c r="W128" s="4">
        <f>Table2234210234567[[#This Row],[lab-med]]*Table2234210234567[[#This Row],[anl-med]]</f>
        <v>1.1573165870285671</v>
      </c>
    </row>
    <row r="129" spans="2:23" x14ac:dyDescent="0.25">
      <c r="B129" s="46">
        <f ca="1">VALUE((Table2234210234567[[#This Row],[Column3]]-62))</f>
        <v>67</v>
      </c>
      <c r="C129" t="s">
        <v>135</v>
      </c>
      <c r="D129">
        <v>12</v>
      </c>
      <c r="E129"/>
      <c r="F129">
        <v>5.8972890601066403</v>
      </c>
      <c r="G129" s="29">
        <f>Table2234210234567[[#This Row],[Lucas D]]-Table2234210234567[[#This Row],[REF]]</f>
        <v>-6.1027109398933597</v>
      </c>
      <c r="H129" s="29">
        <f>Table2234210234567[[#This Row],[X-Y]]-E$20</f>
        <v>0.11218750247770792</v>
      </c>
      <c r="I129" s="29">
        <f>Table2234210234567[[#This Row],[Lucas D]]-E$20</f>
        <v>12.112187502477708</v>
      </c>
      <c r="J129" s="29">
        <f>Table2234210234567[[#This Row],[Lucas D]]*E$21+E$22</f>
        <v>11.983607207260956</v>
      </c>
      <c r="K129" s="56">
        <f>Table2234210234567[[#This Row],[Yest]]-Table2234210234567[[#This Row],[REF]]</f>
        <v>-1.6392792739043927E-2</v>
      </c>
      <c r="L129" s="56">
        <f>ABS(Table2234210234567[[#This Row],[RESyx]])</f>
        <v>1.6392792739043927E-2</v>
      </c>
      <c r="M129" s="29">
        <f>Table2234210234567[[#This Row],[Lucas D]]*E$25+E$26</f>
        <v>12.091931800937296</v>
      </c>
      <c r="N129" s="29">
        <f>Table2234210234567[[#This Row],[X-Y]]^2</f>
        <v>37.243080815894096</v>
      </c>
      <c r="O129" s="57">
        <f>Table2234210234567[[#This Row],[yest_rect]]-Table2234210234567[[#This Row],[REF]]</f>
        <v>9.1931800937295804E-2</v>
      </c>
      <c r="P129" s="57">
        <f>Table2234210234567[[#This Row],[dif rec]]^2</f>
        <v>8.4514560235745811E-3</v>
      </c>
      <c r="Q129" s="57">
        <f>ABS(Table2234210234567[[#This Row],[diff-bias]])</f>
        <v>0.11218750247770792</v>
      </c>
      <c r="R129" s="57">
        <f ca="1">CELL("row",Table2234210234567[[#This Row],[Position]])</f>
        <v>129</v>
      </c>
      <c r="S129" s="4">
        <f>Table2234210234567[[#This Row],[REF]]-D$13</f>
        <v>0.98999974999999907</v>
      </c>
      <c r="T129" s="4">
        <f>ABS(Table2234210234567[[#This Row],[lab-med]])</f>
        <v>0.98999974999999907</v>
      </c>
      <c r="U129" s="4">
        <f>Table2234210234567[[#This Row],[Lucas D]]-F$13</f>
        <v>1.2111820060643002</v>
      </c>
      <c r="V129" s="4">
        <f>ABS(Table2234210234567[[#This Row],[anl-med]])</f>
        <v>1.2111820060643002</v>
      </c>
      <c r="W129" s="4">
        <f>Table2234210234567[[#This Row],[lab-med]]*Table2234210234567[[#This Row],[anl-med]]</f>
        <v>1.1990698832081546</v>
      </c>
    </row>
    <row r="130" spans="2:23" x14ac:dyDescent="0.25">
      <c r="B130" s="46">
        <f ca="1">VALUE((Table2234210234567[[#This Row],[Column3]]-62))</f>
        <v>68</v>
      </c>
      <c r="C130" t="s">
        <v>136</v>
      </c>
      <c r="D130">
        <v>12</v>
      </c>
      <c r="E130"/>
      <c r="F130">
        <v>5.5837675076602302</v>
      </c>
      <c r="G130" s="29">
        <f>Table2234210234567[[#This Row],[Lucas D]]-Table2234210234567[[#This Row],[REF]]</f>
        <v>-6.4162324923397698</v>
      </c>
      <c r="H130" s="29">
        <f>Table2234210234567[[#This Row],[X-Y]]-E$20</f>
        <v>-0.20133404996870219</v>
      </c>
      <c r="I130" s="29">
        <f>Table2234210234567[[#This Row],[Lucas D]]-E$20</f>
        <v>11.798665950031298</v>
      </c>
      <c r="J130" s="29">
        <f>Table2234210234567[[#This Row],[Lucas D]]*E$21+E$22</f>
        <v>11.710290297703448</v>
      </c>
      <c r="K130" s="56">
        <f>Table2234210234567[[#This Row],[Yest]]-Table2234210234567[[#This Row],[REF]]</f>
        <v>-0.2897097022965518</v>
      </c>
      <c r="L130" s="56">
        <f>ABS(Table2234210234567[[#This Row],[RESyx]])</f>
        <v>0.2897097022965518</v>
      </c>
      <c r="M130" s="29">
        <f>Table2234210234567[[#This Row],[Lucas D]]*E$25+E$26</f>
        <v>11.784743825852203</v>
      </c>
      <c r="N130" s="29">
        <f>Table2234210234567[[#This Row],[X-Y]]^2</f>
        <v>41.168039395756615</v>
      </c>
      <c r="O130" s="57">
        <f>Table2234210234567[[#This Row],[yest_rect]]-Table2234210234567[[#This Row],[REF]]</f>
        <v>-0.21525617414779674</v>
      </c>
      <c r="P130" s="57">
        <f>Table2234210234567[[#This Row],[dif rec]]^2</f>
        <v>4.6335220508746597E-2</v>
      </c>
      <c r="Q130" s="57">
        <f>ABS(Table2234210234567[[#This Row],[diff-bias]])</f>
        <v>0.20133404996870219</v>
      </c>
      <c r="R130" s="57">
        <f ca="1">CELL("row",Table2234210234567[[#This Row],[Position]])</f>
        <v>130</v>
      </c>
      <c r="S130" s="4">
        <f>Table2234210234567[[#This Row],[REF]]-D$13</f>
        <v>0.98999974999999907</v>
      </c>
      <c r="T130" s="4">
        <f>ABS(Table2234210234567[[#This Row],[lab-med]])</f>
        <v>0.98999974999999907</v>
      </c>
      <c r="U130" s="4">
        <f>Table2234210234567[[#This Row],[Lucas D]]-F$13</f>
        <v>0.89766045361789004</v>
      </c>
      <c r="V130" s="4">
        <f>ABS(Table2234210234567[[#This Row],[anl-med]])</f>
        <v>0.89766045361789004</v>
      </c>
      <c r="W130" s="4">
        <f>Table2234210234567[[#This Row],[lab-med]]*Table2234210234567[[#This Row],[anl-med]]</f>
        <v>0.88868362466659689</v>
      </c>
    </row>
    <row r="131" spans="2:23" x14ac:dyDescent="0.25">
      <c r="B131" s="46">
        <f ca="1">VALUE((Table2234210234567[[#This Row],[Column3]]-62))</f>
        <v>69</v>
      </c>
      <c r="C131" t="s">
        <v>137</v>
      </c>
      <c r="D131">
        <v>13.1599998</v>
      </c>
      <c r="E131"/>
      <c r="F131">
        <v>6.87806501081268</v>
      </c>
      <c r="G131" s="29">
        <f>Table2234210234567[[#This Row],[Lucas D]]-Table2234210234567[[#This Row],[REF]]</f>
        <v>-6.2819347891873196</v>
      </c>
      <c r="H131" s="29">
        <f>Table2234210234567[[#This Row],[X-Y]]-E$20</f>
        <v>-6.7036346816252035E-2</v>
      </c>
      <c r="I131" s="29">
        <f>Table2234210234567[[#This Row],[Lucas D]]-E$20</f>
        <v>13.092963453183748</v>
      </c>
      <c r="J131" s="29">
        <f>Table2234210234567[[#This Row],[Lucas D]]*E$21+E$22</f>
        <v>12.838612707596123</v>
      </c>
      <c r="K131" s="56">
        <f>Table2234210234567[[#This Row],[Yest]]-Table2234210234567[[#This Row],[REF]]</f>
        <v>-0.3213870924038762</v>
      </c>
      <c r="L131" s="56">
        <f>ABS(Table2234210234567[[#This Row],[RESyx]])</f>
        <v>0.3213870924038762</v>
      </c>
      <c r="M131" s="29">
        <f>Table2234210234567[[#This Row],[Lucas D]]*E$25+E$26</f>
        <v>13.052894694743589</v>
      </c>
      <c r="N131" s="29">
        <f>Table2234210234567[[#This Row],[X-Y]]^2</f>
        <v>39.462704695601936</v>
      </c>
      <c r="O131" s="57">
        <f>Table2234210234567[[#This Row],[yest_rect]]-Table2234210234567[[#This Row],[REF]]</f>
        <v>-0.10710510525641048</v>
      </c>
      <c r="P131" s="57">
        <f>Table2234210234567[[#This Row],[dif rec]]^2</f>
        <v>1.1471503571986768E-2</v>
      </c>
      <c r="Q131" s="57">
        <f>ABS(Table2234210234567[[#This Row],[diff-bias]])</f>
        <v>6.7036346816252035E-2</v>
      </c>
      <c r="R131" s="57">
        <f ca="1">CELL("row",Table2234210234567[[#This Row],[Position]])</f>
        <v>131</v>
      </c>
      <c r="S131" s="4">
        <f>Table2234210234567[[#This Row],[REF]]-D$13</f>
        <v>2.1499995499999986</v>
      </c>
      <c r="T131" s="4">
        <f>ABS(Table2234210234567[[#This Row],[lab-med]])</f>
        <v>2.1499995499999986</v>
      </c>
      <c r="U131" s="4">
        <f>Table2234210234567[[#This Row],[Lucas D]]-F$13</f>
        <v>2.1919579567703398</v>
      </c>
      <c r="V131" s="4">
        <f>ABS(Table2234210234567[[#This Row],[anl-med]])</f>
        <v>2.1919579567703398</v>
      </c>
      <c r="W131" s="4">
        <f>Table2234210234567[[#This Row],[lab-med]]*Table2234210234567[[#This Row],[anl-med]]</f>
        <v>4.712708620675147</v>
      </c>
    </row>
    <row r="132" spans="2:23" x14ac:dyDescent="0.25">
      <c r="B132" s="46">
        <f ca="1">VALUE((Table2234210234567[[#This Row],[Column3]]-62))</f>
        <v>70</v>
      </c>
      <c r="C132" t="s">
        <v>138</v>
      </c>
      <c r="D132">
        <v>12.170000099999999</v>
      </c>
      <c r="E132"/>
      <c r="F132">
        <v>4.8034882294286199</v>
      </c>
      <c r="G132" s="29">
        <f>Table2234210234567[[#This Row],[Lucas D]]-Table2234210234567[[#This Row],[REF]]</f>
        <v>-7.3665118705713795</v>
      </c>
      <c r="H132" s="29">
        <f>Table2234210234567[[#This Row],[X-Y]]-E$20</f>
        <v>-1.1516134282003119</v>
      </c>
      <c r="I132" s="29">
        <f>Table2234210234567[[#This Row],[Lucas D]]-E$20</f>
        <v>11.018386671799687</v>
      </c>
      <c r="J132" s="29">
        <f>Table2234210234567[[#This Row],[Lucas D]]*E$21+E$22</f>
        <v>11.030070646920493</v>
      </c>
      <c r="K132" s="56">
        <f>Table2234210234567[[#This Row],[Yest]]-Table2234210234567[[#This Row],[REF]]</f>
        <v>-1.1399294530795068</v>
      </c>
      <c r="L132" s="56">
        <f>ABS(Table2234210234567[[#This Row],[RESyx]])</f>
        <v>1.1399294530795068</v>
      </c>
      <c r="M132" s="29">
        <f>Table2234210234567[[#This Row],[Lucas D]]*E$25+E$26</f>
        <v>11.020227289076647</v>
      </c>
      <c r="N132" s="29">
        <f>Table2234210234567[[#This Row],[X-Y]]^2</f>
        <v>54.265497139269044</v>
      </c>
      <c r="O132" s="57">
        <f>Table2234210234567[[#This Row],[yest_rect]]-Table2234210234567[[#This Row],[REF]]</f>
        <v>-1.149772810923352</v>
      </c>
      <c r="P132" s="57">
        <f>Table2234210234567[[#This Row],[dif rec]]^2</f>
        <v>1.3219775167385863</v>
      </c>
      <c r="Q132" s="57">
        <f>ABS(Table2234210234567[[#This Row],[diff-bias]])</f>
        <v>1.1516134282003119</v>
      </c>
      <c r="R132" s="57">
        <f ca="1">CELL("row",Table2234210234567[[#This Row],[Position]])</f>
        <v>132</v>
      </c>
      <c r="S132" s="4">
        <f>Table2234210234567[[#This Row],[REF]]-D$13</f>
        <v>1.1599998499999984</v>
      </c>
      <c r="T132" s="4">
        <f>ABS(Table2234210234567[[#This Row],[lab-med]])</f>
        <v>1.1599998499999984</v>
      </c>
      <c r="U132" s="4">
        <f>Table2234210234567[[#This Row],[Lucas D]]-F$13</f>
        <v>0.11738117538627968</v>
      </c>
      <c r="V132" s="4">
        <f>ABS(Table2234210234567[[#This Row],[anl-med]])</f>
        <v>0.11738117538627968</v>
      </c>
      <c r="W132" s="4">
        <f>Table2234210234567[[#This Row],[lab-med]]*Table2234210234567[[#This Row],[anl-med]]</f>
        <v>0.13616214584090794</v>
      </c>
    </row>
    <row r="133" spans="2:23" x14ac:dyDescent="0.25">
      <c r="B133" s="46">
        <f ca="1">VALUE((Table2234210234567[[#This Row],[Column3]]-62))</f>
        <v>71</v>
      </c>
      <c r="C133" t="s">
        <v>139</v>
      </c>
      <c r="D133">
        <v>10.970000300000001</v>
      </c>
      <c r="E133"/>
      <c r="F133">
        <v>5.3923575109734001</v>
      </c>
      <c r="G133" s="29">
        <f>Table2234210234567[[#This Row],[Lucas D]]-Table2234210234567[[#This Row],[REF]]</f>
        <v>-5.5776427890266005</v>
      </c>
      <c r="H133" s="29">
        <f>Table2234210234567[[#This Row],[X-Y]]-E$20</f>
        <v>0.6372556533444671</v>
      </c>
      <c r="I133" s="29">
        <f>Table2234210234567[[#This Row],[Lucas D]]-E$20</f>
        <v>11.607255953344467</v>
      </c>
      <c r="J133" s="29">
        <f>Table2234210234567[[#This Row],[Lucas D]]*E$21+E$22</f>
        <v>11.543425888081083</v>
      </c>
      <c r="K133" s="56">
        <f>Table2234210234567[[#This Row],[Yest]]-Table2234210234567[[#This Row],[REF]]</f>
        <v>0.57342558808108279</v>
      </c>
      <c r="L133" s="56">
        <f>ABS(Table2234210234567[[#This Row],[RESyx]])</f>
        <v>0.57342558808108279</v>
      </c>
      <c r="M133" s="29">
        <f>Table2234210234567[[#This Row],[Lucas D]]*E$25+E$26</f>
        <v>11.597200580947781</v>
      </c>
      <c r="N133" s="29">
        <f>Table2234210234567[[#This Row],[X-Y]]^2</f>
        <v>31.110099081980433</v>
      </c>
      <c r="O133" s="57">
        <f>Table2234210234567[[#This Row],[yest_rect]]-Table2234210234567[[#This Row],[REF]]</f>
        <v>0.6272002809477808</v>
      </c>
      <c r="P133" s="57">
        <f>Table2234210234567[[#This Row],[dif rec]]^2</f>
        <v>0.39338019242097516</v>
      </c>
      <c r="Q133" s="57">
        <f>ABS(Table2234210234567[[#This Row],[diff-bias]])</f>
        <v>0.6372556533444671</v>
      </c>
      <c r="R133" s="57">
        <f ca="1">CELL("row",Table2234210234567[[#This Row],[Position]])</f>
        <v>133</v>
      </c>
      <c r="S133" s="4">
        <f>Table2234210234567[[#This Row],[REF]]-D$13</f>
        <v>-3.9999950000000339E-2</v>
      </c>
      <c r="T133" s="4">
        <f>ABS(Table2234210234567[[#This Row],[lab-med]])</f>
        <v>3.9999950000000339E-2</v>
      </c>
      <c r="U133" s="4">
        <f>Table2234210234567[[#This Row],[Lucas D]]-F$13</f>
        <v>0.70625045693105992</v>
      </c>
      <c r="V133" s="4">
        <f>ABS(Table2234210234567[[#This Row],[anl-med]])</f>
        <v>0.70625045693105992</v>
      </c>
      <c r="W133" s="4">
        <f>Table2234210234567[[#This Row],[lab-med]]*Table2234210234567[[#This Row],[anl-med]]</f>
        <v>-2.824998296471979E-2</v>
      </c>
    </row>
    <row r="134" spans="2:23" x14ac:dyDescent="0.25">
      <c r="B134" s="46">
        <f ca="1">VALUE((Table2234210234567[[#This Row],[Column3]]-62))</f>
        <v>72</v>
      </c>
      <c r="C134" t="s">
        <v>140</v>
      </c>
      <c r="D134">
        <v>12.2600002</v>
      </c>
      <c r="E134"/>
      <c r="F134">
        <v>6.28391934469684</v>
      </c>
      <c r="G134" s="29">
        <f>Table2234210234567[[#This Row],[Lucas D]]-Table2234210234567[[#This Row],[REF]]</f>
        <v>-5.9760808553031604</v>
      </c>
      <c r="H134" s="29">
        <f>Table2234210234567[[#This Row],[X-Y]]-E$20</f>
        <v>0.23881758706790723</v>
      </c>
      <c r="I134" s="29">
        <f>Table2234210234567[[#This Row],[Lucas D]]-E$20</f>
        <v>12.498817787067907</v>
      </c>
      <c r="J134" s="29">
        <f>Table2234210234567[[#This Row],[Lucas D]]*E$21+E$22</f>
        <v>12.320657702517085</v>
      </c>
      <c r="K134" s="56">
        <f>Table2234210234567[[#This Row],[Yest]]-Table2234210234567[[#This Row],[REF]]</f>
        <v>6.0657502517084794E-2</v>
      </c>
      <c r="L134" s="56">
        <f>ABS(Table2234210234567[[#This Row],[RESyx]])</f>
        <v>6.0657502517084794E-2</v>
      </c>
      <c r="M134" s="29">
        <f>Table2234210234567[[#This Row],[Lucas D]]*E$25+E$26</f>
        <v>12.470751608708364</v>
      </c>
      <c r="N134" s="29">
        <f>Table2234210234567[[#This Row],[X-Y]]^2</f>
        <v>35.713542389120953</v>
      </c>
      <c r="O134" s="57">
        <f>Table2234210234567[[#This Row],[yest_rect]]-Table2234210234567[[#This Row],[REF]]</f>
        <v>0.21075140870836329</v>
      </c>
      <c r="P134" s="57">
        <f>Table2234210234567[[#This Row],[dif rec]]^2</f>
        <v>4.4416156272559584E-2</v>
      </c>
      <c r="Q134" s="57">
        <f>ABS(Table2234210234567[[#This Row],[diff-bias]])</f>
        <v>0.23881758706790723</v>
      </c>
      <c r="R134" s="57">
        <f ca="1">CELL("row",Table2234210234567[[#This Row],[Position]])</f>
        <v>134</v>
      </c>
      <c r="S134" s="4">
        <f>Table2234210234567[[#This Row],[REF]]-D$13</f>
        <v>1.2499999499999994</v>
      </c>
      <c r="T134" s="4">
        <f>ABS(Table2234210234567[[#This Row],[lab-med]])</f>
        <v>1.2499999499999994</v>
      </c>
      <c r="U134" s="4">
        <f>Table2234210234567[[#This Row],[Lucas D]]-F$13</f>
        <v>1.5978122906544998</v>
      </c>
      <c r="V134" s="4">
        <f>ABS(Table2234210234567[[#This Row],[anl-med]])</f>
        <v>1.5978122906544998</v>
      </c>
      <c r="W134" s="4">
        <f>Table2234210234567[[#This Row],[lab-med]]*Table2234210234567[[#This Row],[anl-med]]</f>
        <v>1.9972652834275093</v>
      </c>
    </row>
    <row r="135" spans="2:23" x14ac:dyDescent="0.25">
      <c r="B135" s="46">
        <f ca="1">VALUE((Table2234210234567[[#This Row],[Column3]]-62))</f>
        <v>73</v>
      </c>
      <c r="C135" t="s">
        <v>141</v>
      </c>
      <c r="D135">
        <v>13.029999699999999</v>
      </c>
      <c r="E135"/>
      <c r="F135">
        <v>6.9797345424951001</v>
      </c>
      <c r="G135" s="29">
        <f>Table2234210234567[[#This Row],[Lucas D]]-Table2234210234567[[#This Row],[REF]]</f>
        <v>-6.0502651575048993</v>
      </c>
      <c r="H135" s="29">
        <f>Table2234210234567[[#This Row],[X-Y]]-E$20</f>
        <v>0.16463328486616824</v>
      </c>
      <c r="I135" s="29">
        <f>Table2234210234567[[#This Row],[Lucas D]]-E$20</f>
        <v>13.194632984866168</v>
      </c>
      <c r="J135" s="29">
        <f>Table2234210234567[[#This Row],[Lucas D]]*E$21+E$22</f>
        <v>12.927244579882952</v>
      </c>
      <c r="K135" s="56">
        <f>Table2234210234567[[#This Row],[Yest]]-Table2234210234567[[#This Row],[REF]]</f>
        <v>-0.10275512011704713</v>
      </c>
      <c r="L135" s="56">
        <f>ABS(Table2234210234567[[#This Row],[RESyx]])</f>
        <v>0.10275512011704713</v>
      </c>
      <c r="M135" s="29">
        <f>Table2234210234567[[#This Row],[Lucas D]]*E$25+E$26</f>
        <v>13.152510358552572</v>
      </c>
      <c r="N135" s="29">
        <f>Table2234210234567[[#This Row],[X-Y]]^2</f>
        <v>36.605708476117783</v>
      </c>
      <c r="O135" s="57">
        <f>Table2234210234567[[#This Row],[yest_rect]]-Table2234210234567[[#This Row],[REF]]</f>
        <v>0.12251065855257259</v>
      </c>
      <c r="P135" s="57">
        <f>Table2234210234567[[#This Row],[dif rec]]^2</f>
        <v>1.5008861458985029E-2</v>
      </c>
      <c r="Q135" s="57">
        <f>ABS(Table2234210234567[[#This Row],[diff-bias]])</f>
        <v>0.16463328486616824</v>
      </c>
      <c r="R135" s="57">
        <f ca="1">CELL("row",Table2234210234567[[#This Row],[Position]])</f>
        <v>135</v>
      </c>
      <c r="S135" s="4">
        <f>Table2234210234567[[#This Row],[REF]]-D$13</f>
        <v>2.0199994499999985</v>
      </c>
      <c r="T135" s="4">
        <f>ABS(Table2234210234567[[#This Row],[lab-med]])</f>
        <v>2.0199994499999985</v>
      </c>
      <c r="U135" s="4">
        <f>Table2234210234567[[#This Row],[Lucas D]]-F$13</f>
        <v>2.2936274884527599</v>
      </c>
      <c r="V135" s="4">
        <f>ABS(Table2234210234567[[#This Row],[anl-med]])</f>
        <v>2.2936274884527599</v>
      </c>
      <c r="W135" s="4">
        <f>Table2234210234567[[#This Row],[lab-med]]*Table2234210234567[[#This Row],[anl-med]]</f>
        <v>4.6331262651794525</v>
      </c>
    </row>
    <row r="136" spans="2:23" x14ac:dyDescent="0.25">
      <c r="B136" s="46">
        <f ca="1">VALUE((Table2234210234567[[#This Row],[Column3]]-62))</f>
        <v>74</v>
      </c>
      <c r="C136" t="s">
        <v>142</v>
      </c>
      <c r="D136">
        <v>12.359999699999999</v>
      </c>
      <c r="E136"/>
      <c r="F136">
        <v>6.9574624819608601</v>
      </c>
      <c r="G136" s="29">
        <f>Table2234210234567[[#This Row],[Lucas D]]-Table2234210234567[[#This Row],[REF]]</f>
        <v>-5.4025372180391393</v>
      </c>
      <c r="H136" s="29">
        <f>Table2234210234567[[#This Row],[X-Y]]-E$20</f>
        <v>0.81236122433192826</v>
      </c>
      <c r="I136" s="29">
        <f>Table2234210234567[[#This Row],[Lucas D]]-E$20</f>
        <v>13.172360924331928</v>
      </c>
      <c r="J136" s="29">
        <f>Table2234210234567[[#This Row],[Lucas D]]*E$21+E$22</f>
        <v>12.907828591708624</v>
      </c>
      <c r="K136" s="56">
        <f>Table2234210234567[[#This Row],[Yest]]-Table2234210234567[[#This Row],[REF]]</f>
        <v>0.54782889170862425</v>
      </c>
      <c r="L136" s="56">
        <f>ABS(Table2234210234567[[#This Row],[RESyx]])</f>
        <v>0.54782889170862425</v>
      </c>
      <c r="M136" s="29">
        <f>Table2234210234567[[#This Row],[Lucas D]]*E$25+E$26</f>
        <v>13.130688225040219</v>
      </c>
      <c r="N136" s="29">
        <f>Table2234210234567[[#This Row],[X-Y]]^2</f>
        <v>29.187408392298082</v>
      </c>
      <c r="O136" s="57">
        <f>Table2234210234567[[#This Row],[yest_rect]]-Table2234210234567[[#This Row],[REF]]</f>
        <v>0.77068852504021912</v>
      </c>
      <c r="P136" s="57">
        <f>Table2234210234567[[#This Row],[dif rec]]^2</f>
        <v>0.59396080262866846</v>
      </c>
      <c r="Q136" s="57">
        <f>ABS(Table2234210234567[[#This Row],[diff-bias]])</f>
        <v>0.81236122433192826</v>
      </c>
      <c r="R136" s="57">
        <f ca="1">CELL("row",Table2234210234567[[#This Row],[Position]])</f>
        <v>136</v>
      </c>
      <c r="S136" s="4">
        <f>Table2234210234567[[#This Row],[REF]]-D$13</f>
        <v>1.3499994499999985</v>
      </c>
      <c r="T136" s="4">
        <f>ABS(Table2234210234567[[#This Row],[lab-med]])</f>
        <v>1.3499994499999985</v>
      </c>
      <c r="U136" s="4">
        <f>Table2234210234567[[#This Row],[Lucas D]]-F$13</f>
        <v>2.27135542791852</v>
      </c>
      <c r="V136" s="4">
        <f>ABS(Table2234210234567[[#This Row],[anl-med]])</f>
        <v>2.27135542791852</v>
      </c>
      <c r="W136" s="4">
        <f>Table2234210234567[[#This Row],[lab-med]]*Table2234210234567[[#This Row],[anl-med]]</f>
        <v>3.0663285784445131</v>
      </c>
    </row>
    <row r="137" spans="2:23" x14ac:dyDescent="0.25">
      <c r="B137" s="46">
        <f ca="1">VALUE((Table2234210234567[[#This Row],[Column3]]-62))</f>
        <v>75</v>
      </c>
      <c r="C137" t="s">
        <v>143</v>
      </c>
      <c r="D137">
        <v>12.399999599999999</v>
      </c>
      <c r="E137"/>
      <c r="F137">
        <v>6.57756121807558</v>
      </c>
      <c r="G137" s="29">
        <f>Table2234210234567[[#This Row],[Lucas D]]-Table2234210234567[[#This Row],[REF]]</f>
        <v>-5.8224383819244192</v>
      </c>
      <c r="H137" s="29">
        <f>Table2234210234567[[#This Row],[X-Y]]-E$20</f>
        <v>0.39246006044664838</v>
      </c>
      <c r="I137" s="29">
        <f>Table2234210234567[[#This Row],[Lucas D]]-E$20</f>
        <v>12.792459660446648</v>
      </c>
      <c r="J137" s="29">
        <f>Table2234210234567[[#This Row],[Lucas D]]*E$21+E$22</f>
        <v>12.576644216752889</v>
      </c>
      <c r="K137" s="56">
        <f>Table2234210234567[[#This Row],[Yest]]-Table2234210234567[[#This Row],[REF]]</f>
        <v>0.17664461675289012</v>
      </c>
      <c r="L137" s="56">
        <f>ABS(Table2234210234567[[#This Row],[RESyx]])</f>
        <v>0.17664461675289012</v>
      </c>
      <c r="M137" s="29">
        <f>Table2234210234567[[#This Row],[Lucas D]]*E$25+E$26</f>
        <v>12.758461502269274</v>
      </c>
      <c r="N137" s="29">
        <f>Table2234210234567[[#This Row],[X-Y]]^2</f>
        <v>33.900788711306646</v>
      </c>
      <c r="O137" s="57">
        <f>Table2234210234567[[#This Row],[yest_rect]]-Table2234210234567[[#This Row],[REF]]</f>
        <v>0.35846190226927455</v>
      </c>
      <c r="P137" s="57">
        <f>Table2234210234567[[#This Row],[dif rec]]^2</f>
        <v>0.12849493537850692</v>
      </c>
      <c r="Q137" s="57">
        <f>ABS(Table2234210234567[[#This Row],[diff-bias]])</f>
        <v>0.39246006044664838</v>
      </c>
      <c r="R137" s="57">
        <f ca="1">CELL("row",Table2234210234567[[#This Row],[Position]])</f>
        <v>137</v>
      </c>
      <c r="S137" s="4">
        <f>Table2234210234567[[#This Row],[REF]]-D$13</f>
        <v>1.3899993499999983</v>
      </c>
      <c r="T137" s="4">
        <f>ABS(Table2234210234567[[#This Row],[lab-med]])</f>
        <v>1.3899993499999983</v>
      </c>
      <c r="U137" s="4">
        <f>Table2234210234567[[#This Row],[Lucas D]]-F$13</f>
        <v>1.8914541640332398</v>
      </c>
      <c r="V137" s="4">
        <f>ABS(Table2234210234567[[#This Row],[anl-med]])</f>
        <v>1.8914541640332398</v>
      </c>
      <c r="W137" s="4">
        <f>Table2234210234567[[#This Row],[lab-med]]*Table2234210234567[[#This Row],[anl-med]]</f>
        <v>2.6291200585609937</v>
      </c>
    </row>
    <row r="138" spans="2:23" x14ac:dyDescent="0.25">
      <c r="B138" s="46">
        <f ca="1">VALUE((Table2234210234567[[#This Row],[Column3]]-62))</f>
        <v>76</v>
      </c>
      <c r="C138" t="s">
        <v>144</v>
      </c>
      <c r="D138">
        <v>12.5</v>
      </c>
      <c r="E138"/>
      <c r="F138">
        <v>5.9269135185416699</v>
      </c>
      <c r="G138" s="29">
        <f>Table2234210234567[[#This Row],[Lucas D]]-Table2234210234567[[#This Row],[REF]]</f>
        <v>-6.5730864814583301</v>
      </c>
      <c r="H138" s="29">
        <f>Table2234210234567[[#This Row],[X-Y]]-E$20</f>
        <v>-0.35818803908726249</v>
      </c>
      <c r="I138" s="29">
        <f>Table2234210234567[[#This Row],[Lucas D]]-E$20</f>
        <v>12.141811960912737</v>
      </c>
      <c r="J138" s="29">
        <f>Table2234210234567[[#This Row],[Lucas D]]*E$21+E$22</f>
        <v>12.009432753746029</v>
      </c>
      <c r="K138" s="56">
        <f>Table2234210234567[[#This Row],[Yest]]-Table2234210234567[[#This Row],[REF]]</f>
        <v>-0.49056724625397052</v>
      </c>
      <c r="L138" s="56">
        <f>ABS(Table2234210234567[[#This Row],[RESyx]])</f>
        <v>0.49056724625397052</v>
      </c>
      <c r="M138" s="29">
        <f>Table2234210234567[[#This Row],[Lucas D]]*E$25+E$26</f>
        <v>12.120957803547448</v>
      </c>
      <c r="N138" s="29">
        <f>Table2234210234567[[#This Row],[X-Y]]^2</f>
        <v>43.205465892730253</v>
      </c>
      <c r="O138" s="57">
        <f>Table2234210234567[[#This Row],[yest_rect]]-Table2234210234567[[#This Row],[REF]]</f>
        <v>-0.3790421964525521</v>
      </c>
      <c r="P138" s="57">
        <f>Table2234210234567[[#This Row],[dif rec]]^2</f>
        <v>0.14367298669157511</v>
      </c>
      <c r="Q138" s="57">
        <f>ABS(Table2234210234567[[#This Row],[diff-bias]])</f>
        <v>0.35818803908726249</v>
      </c>
      <c r="R138" s="57">
        <f ca="1">CELL("row",Table2234210234567[[#This Row],[Position]])</f>
        <v>138</v>
      </c>
      <c r="S138" s="4">
        <f>Table2234210234567[[#This Row],[REF]]-D$13</f>
        <v>1.4899997499999991</v>
      </c>
      <c r="T138" s="4">
        <f>ABS(Table2234210234567[[#This Row],[lab-med]])</f>
        <v>1.4899997499999991</v>
      </c>
      <c r="U138" s="4">
        <f>Table2234210234567[[#This Row],[Lucas D]]-F$13</f>
        <v>1.2408064644993297</v>
      </c>
      <c r="V138" s="4">
        <f>ABS(Table2234210234567[[#This Row],[anl-med]])</f>
        <v>1.2408064644993297</v>
      </c>
      <c r="W138" s="4">
        <f>Table2234210234567[[#This Row],[lab-med]]*Table2234210234567[[#This Row],[anl-med]]</f>
        <v>1.848801321902384</v>
      </c>
    </row>
    <row r="139" spans="2:23" x14ac:dyDescent="0.25">
      <c r="B139" s="46">
        <f ca="1">VALUE((Table2234210234567[[#This Row],[Column3]]-62))</f>
        <v>77</v>
      </c>
      <c r="C139" t="s">
        <v>145</v>
      </c>
      <c r="D139">
        <v>12.600000400000001</v>
      </c>
      <c r="E139"/>
      <c r="F139">
        <v>6.6885742546985396</v>
      </c>
      <c r="G139" s="29">
        <f>Table2234210234567[[#This Row],[Lucas D]]-Table2234210234567[[#This Row],[REF]]</f>
        <v>-5.9114261453014612</v>
      </c>
      <c r="H139" s="29">
        <f>Table2234210234567[[#This Row],[X-Y]]-E$20</f>
        <v>0.30347229706960643</v>
      </c>
      <c r="I139" s="29">
        <f>Table2234210234567[[#This Row],[Lucas D]]-E$20</f>
        <v>12.903472697069606</v>
      </c>
      <c r="J139" s="29">
        <f>Table2234210234567[[#This Row],[Lucas D]]*E$21+E$22</f>
        <v>12.673421423466829</v>
      </c>
      <c r="K139" s="56">
        <f>Table2234210234567[[#This Row],[Yest]]-Table2234210234567[[#This Row],[REF]]</f>
        <v>7.3421023466828217E-2</v>
      </c>
      <c r="L139" s="56">
        <f>ABS(Table2234210234567[[#This Row],[RESyx]])</f>
        <v>7.3421023466828217E-2</v>
      </c>
      <c r="M139" s="29">
        <f>Table2234210234567[[#This Row],[Lucas D]]*E$25+E$26</f>
        <v>12.867231919046548</v>
      </c>
      <c r="N139" s="29">
        <f>Table2234210234567[[#This Row],[X-Y]]^2</f>
        <v>34.944959071353694</v>
      </c>
      <c r="O139" s="57">
        <f>Table2234210234567[[#This Row],[yest_rect]]-Table2234210234567[[#This Row],[REF]]</f>
        <v>0.26723151904654685</v>
      </c>
      <c r="P139" s="57">
        <f>Table2234210234567[[#This Row],[dif rec]]^2</f>
        <v>7.1412684771924931E-2</v>
      </c>
      <c r="Q139" s="57">
        <f>ABS(Table2234210234567[[#This Row],[diff-bias]])</f>
        <v>0.30347229706960643</v>
      </c>
      <c r="R139" s="57">
        <f ca="1">CELL("row",Table2234210234567[[#This Row],[Position]])</f>
        <v>139</v>
      </c>
      <c r="S139" s="4">
        <f>Table2234210234567[[#This Row],[REF]]-D$13</f>
        <v>1.5900001499999998</v>
      </c>
      <c r="T139" s="4">
        <f>ABS(Table2234210234567[[#This Row],[lab-med]])</f>
        <v>1.5900001499999998</v>
      </c>
      <c r="U139" s="4">
        <f>Table2234210234567[[#This Row],[Lucas D]]-F$13</f>
        <v>2.0024672006561994</v>
      </c>
      <c r="V139" s="4">
        <f>ABS(Table2234210234567[[#This Row],[anl-med]])</f>
        <v>2.0024672006561994</v>
      </c>
      <c r="W139" s="4">
        <f>Table2234210234567[[#This Row],[lab-med]]*Table2234210234567[[#This Row],[anl-med]]</f>
        <v>3.1839231494134368</v>
      </c>
    </row>
    <row r="140" spans="2:23" x14ac:dyDescent="0.25">
      <c r="B140" s="46">
        <f ca="1">VALUE((Table2234210234567[[#This Row],[Column3]]-62))</f>
        <v>78</v>
      </c>
      <c r="C140" t="s">
        <v>146</v>
      </c>
      <c r="D140">
        <v>12.670000099999999</v>
      </c>
      <c r="E140"/>
      <c r="F140">
        <v>6.51009536979742</v>
      </c>
      <c r="G140" s="29">
        <f>Table2234210234567[[#This Row],[Lucas D]]-Table2234210234567[[#This Row],[REF]]</f>
        <v>-6.1599047302025793</v>
      </c>
      <c r="H140" s="29">
        <f>Table2234210234567[[#This Row],[X-Y]]-E$20</f>
        <v>5.4993712168488251E-2</v>
      </c>
      <c r="I140" s="29">
        <f>Table2234210234567[[#This Row],[Lucas D]]-E$20</f>
        <v>12.724993812168488</v>
      </c>
      <c r="J140" s="29">
        <f>Table2234210234567[[#This Row],[Lucas D]]*E$21+E$22</f>
        <v>12.517829895988722</v>
      </c>
      <c r="K140" s="56">
        <f>Table2234210234567[[#This Row],[Yest]]-Table2234210234567[[#This Row],[REF]]</f>
        <v>-0.15217020401127712</v>
      </c>
      <c r="L140" s="56">
        <f>ABS(Table2234210234567[[#This Row],[RESyx]])</f>
        <v>0.15217020401127712</v>
      </c>
      <c r="M140" s="29">
        <f>Table2234210234567[[#This Row],[Lucas D]]*E$25+E$26</f>
        <v>12.692358559239516</v>
      </c>
      <c r="N140" s="29">
        <f>Table2234210234567[[#This Row],[X-Y]]^2</f>
        <v>37.944426285172113</v>
      </c>
      <c r="O140" s="57">
        <f>Table2234210234567[[#This Row],[yest_rect]]-Table2234210234567[[#This Row],[REF]]</f>
        <v>2.2358459239516293E-2</v>
      </c>
      <c r="P140" s="57">
        <f>Table2234210234567[[#This Row],[dif rec]]^2</f>
        <v>4.9990069956511152E-4</v>
      </c>
      <c r="Q140" s="57">
        <f>ABS(Table2234210234567[[#This Row],[diff-bias]])</f>
        <v>5.4993712168488251E-2</v>
      </c>
      <c r="R140" s="57">
        <f ca="1">CELL("row",Table2234210234567[[#This Row],[Position]])</f>
        <v>140</v>
      </c>
      <c r="S140" s="4">
        <f>Table2234210234567[[#This Row],[REF]]-D$13</f>
        <v>1.6599998499999984</v>
      </c>
      <c r="T140" s="4">
        <f>ABS(Table2234210234567[[#This Row],[lab-med]])</f>
        <v>1.6599998499999984</v>
      </c>
      <c r="U140" s="4">
        <f>Table2234210234567[[#This Row],[Lucas D]]-F$13</f>
        <v>1.8239883157550798</v>
      </c>
      <c r="V140" s="4">
        <f>ABS(Table2234210234567[[#This Row],[anl-med]])</f>
        <v>1.8239883157550798</v>
      </c>
      <c r="W140" s="4">
        <f>Table2234210234567[[#This Row],[lab-med]]*Table2234210234567[[#This Row],[anl-med]]</f>
        <v>3.0278203305551821</v>
      </c>
    </row>
    <row r="141" spans="2:23" x14ac:dyDescent="0.25">
      <c r="B141" s="46">
        <f ca="1">VALUE((Table2234210234567[[#This Row],[Column3]]-62))</f>
        <v>79</v>
      </c>
      <c r="C141" t="s">
        <v>147</v>
      </c>
      <c r="D141">
        <v>12.699999800000001</v>
      </c>
      <c r="E141"/>
      <c r="F141">
        <v>6.39876348217732</v>
      </c>
      <c r="G141" s="29">
        <f>Table2234210234567[[#This Row],[Lucas D]]-Table2234210234567[[#This Row],[REF]]</f>
        <v>-6.3012363178226805</v>
      </c>
      <c r="H141" s="29">
        <f>Table2234210234567[[#This Row],[X-Y]]-E$20</f>
        <v>-8.6337875451612867E-2</v>
      </c>
      <c r="I141" s="29">
        <f>Table2234210234567[[#This Row],[Lucas D]]-E$20</f>
        <v>12.613661924548389</v>
      </c>
      <c r="J141" s="29">
        <f>Table2234210234567[[#This Row],[Lucas D]]*E$21+E$22</f>
        <v>12.420774726345384</v>
      </c>
      <c r="K141" s="56">
        <f>Table2234210234567[[#This Row],[Yest]]-Table2234210234567[[#This Row],[REF]]</f>
        <v>-0.27922507365461691</v>
      </c>
      <c r="L141" s="56">
        <f>ABS(Table2234210234567[[#This Row],[RESyx]])</f>
        <v>0.27922507365461691</v>
      </c>
      <c r="M141" s="29">
        <f>Table2234210234567[[#This Row],[Lucas D]]*E$25+E$26</f>
        <v>12.58327573270476</v>
      </c>
      <c r="N141" s="29">
        <f>Table2234210234567[[#This Row],[X-Y]]^2</f>
        <v>39.705579133047536</v>
      </c>
      <c r="O141" s="57">
        <f>Table2234210234567[[#This Row],[yest_rect]]-Table2234210234567[[#This Row],[REF]]</f>
        <v>-0.11672406729524099</v>
      </c>
      <c r="P141" s="57">
        <f>Table2234210234567[[#This Row],[dif rec]]^2</f>
        <v>1.3624507885943946E-2</v>
      </c>
      <c r="Q141" s="57">
        <f>ABS(Table2234210234567[[#This Row],[diff-bias]])</f>
        <v>8.6337875451612867E-2</v>
      </c>
      <c r="R141" s="57">
        <f ca="1">CELL("row",Table2234210234567[[#This Row],[Position]])</f>
        <v>141</v>
      </c>
      <c r="S141" s="4">
        <f>Table2234210234567[[#This Row],[REF]]-D$13</f>
        <v>1.6899995499999996</v>
      </c>
      <c r="T141" s="4">
        <f>ABS(Table2234210234567[[#This Row],[lab-med]])</f>
        <v>1.6899995499999996</v>
      </c>
      <c r="U141" s="4">
        <f>Table2234210234567[[#This Row],[Lucas D]]-F$13</f>
        <v>1.7126564281349799</v>
      </c>
      <c r="V141" s="4">
        <f>ABS(Table2234210234567[[#This Row],[anl-med]])</f>
        <v>1.7126564281349799</v>
      </c>
      <c r="W141" s="4">
        <f>Table2234210234567[[#This Row],[lab-med]]*Table2234210234567[[#This Row],[anl-med]]</f>
        <v>2.8943885928527227</v>
      </c>
    </row>
    <row r="142" spans="2:23" x14ac:dyDescent="0.25">
      <c r="B142" s="46">
        <f ca="1">VALUE((Table2234210234567[[#This Row],[Column3]]-62))</f>
        <v>80</v>
      </c>
      <c r="C142" t="s">
        <v>148</v>
      </c>
      <c r="D142">
        <v>14.4300003</v>
      </c>
      <c r="E142"/>
      <c r="F142">
        <v>8.2866521952096601</v>
      </c>
      <c r="G142" s="29">
        <f>Table2234210234567[[#This Row],[Lucas D]]-Table2234210234567[[#This Row],[REF]]</f>
        <v>-6.1433481047903395</v>
      </c>
      <c r="H142" s="29">
        <f>Table2234210234567[[#This Row],[X-Y]]-E$20</f>
        <v>7.1550337580728041E-2</v>
      </c>
      <c r="I142" s="29">
        <f>Table2234210234567[[#This Row],[Lucas D]]-E$20</f>
        <v>14.501550637580728</v>
      </c>
      <c r="J142" s="29">
        <f>Table2234210234567[[#This Row],[Lucas D]]*E$21+E$22</f>
        <v>14.066568786141953</v>
      </c>
      <c r="K142" s="56">
        <f>Table2234210234567[[#This Row],[Yest]]-Table2234210234567[[#This Row],[REF]]</f>
        <v>-0.36343151385804617</v>
      </c>
      <c r="L142" s="56">
        <f>ABS(Table2234210234567[[#This Row],[RESyx]])</f>
        <v>0.36343151385804617</v>
      </c>
      <c r="M142" s="29">
        <f>Table2234210234567[[#This Row],[Lucas D]]*E$25+E$26</f>
        <v>14.433026432193056</v>
      </c>
      <c r="N142" s="29">
        <f>Table2234210234567[[#This Row],[X-Y]]^2</f>
        <v>37.740725936631058</v>
      </c>
      <c r="O142" s="57">
        <f>Table2234210234567[[#This Row],[yest_rect]]-Table2234210234567[[#This Row],[REF]]</f>
        <v>3.0261321930566965E-3</v>
      </c>
      <c r="P142" s="57">
        <f>Table2234210234567[[#This Row],[dif rec]]^2</f>
        <v>9.1574760498541309E-6</v>
      </c>
      <c r="Q142" s="57">
        <f>ABS(Table2234210234567[[#This Row],[diff-bias]])</f>
        <v>7.1550337580728041E-2</v>
      </c>
      <c r="R142" s="57">
        <f ca="1">CELL("row",Table2234210234567[[#This Row],[Position]])</f>
        <v>142</v>
      </c>
      <c r="S142" s="4">
        <f>Table2234210234567[[#This Row],[REF]]-D$13</f>
        <v>3.4200000499999987</v>
      </c>
      <c r="T142" s="4">
        <f>ABS(Table2234210234567[[#This Row],[lab-med]])</f>
        <v>3.4200000499999987</v>
      </c>
      <c r="U142" s="4">
        <f>Table2234210234567[[#This Row],[Lucas D]]-F$13</f>
        <v>3.6005451411673199</v>
      </c>
      <c r="V142" s="4">
        <f>ABS(Table2234210234567[[#This Row],[anl-med]])</f>
        <v>3.6005451411673199</v>
      </c>
      <c r="W142" s="4">
        <f>Table2234210234567[[#This Row],[lab-med]]*Table2234210234567[[#This Row],[anl-med]]</f>
        <v>12.313864562819486</v>
      </c>
    </row>
  </sheetData>
  <mergeCells count="1">
    <mergeCell ref="C3:K3"/>
  </mergeCells>
  <conditionalFormatting sqref="F63:F142">
    <cfRule type="expression" dxfId="174" priority="2" stopIfTrue="1">
      <formula>ABS(F63-#REF!)/#REF!&gt;3</formula>
    </cfRule>
  </conditionalFormatting>
  <conditionalFormatting sqref="D68:D72">
    <cfRule type="expression" dxfId="173" priority="1" stopIfTrue="1">
      <formula>ABS(D68-#REF!)/#REF!&gt;3</formula>
    </cfRule>
  </conditionalFormatting>
  <pageMargins left="0.75" right="0.75" top="1" bottom="1" header="0.5" footer="0.5"/>
  <pageSetup paperSize="9" scale="65" orientation="portrait" r:id="rId1"/>
  <headerFooter alignWithMargins="0">
    <oddHeader>&amp;A</oddHeader>
    <oddFooter>&amp;F</oddFooter>
  </headerFooter>
  <rowBreaks count="1" manualBreakCount="1">
    <brk id="58" max="16383" man="1"/>
  </rowBreaks>
  <drawing r:id="rId2"/>
  <legacyDrawing r:id="rId3"/>
  <tableParts count="1">
    <tablePart r:id="rId4"/>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24FCB-4076-40E1-A70A-82F482D9B1D3}">
  <sheetPr>
    <pageSetUpPr fitToPage="1"/>
  </sheetPr>
  <dimension ref="B1:AB142"/>
  <sheetViews>
    <sheetView topLeftCell="A6" zoomScale="80" zoomScaleNormal="80" workbookViewId="0">
      <selection activeCell="E23" sqref="E23"/>
    </sheetView>
  </sheetViews>
  <sheetFormatPr defaultColWidth="8.88671875" defaultRowHeight="13.2" x14ac:dyDescent="0.25"/>
  <cols>
    <col min="1" max="1" width="3.109375" style="2" customWidth="1"/>
    <col min="2" max="2" width="9.44140625" style="2" customWidth="1"/>
    <col min="3" max="3" width="20.88671875" style="2" customWidth="1"/>
    <col min="4" max="4" width="15.44140625" style="61" customWidth="1"/>
    <col min="5" max="5" width="10.88671875" style="61" customWidth="1"/>
    <col min="6" max="6" width="13.5546875" style="61" customWidth="1"/>
    <col min="7" max="7" width="10.33203125" style="2" customWidth="1"/>
    <col min="8" max="8" width="13.33203125" style="2" customWidth="1"/>
    <col min="9" max="9" width="10.5546875" style="2" customWidth="1"/>
    <col min="10" max="10" width="15" style="2" customWidth="1"/>
    <col min="11" max="11" width="12.109375" style="3" customWidth="1"/>
    <col min="12" max="12" width="9.109375" style="3" customWidth="1"/>
    <col min="13" max="13" width="7.6640625" style="2" customWidth="1"/>
    <col min="14" max="14" width="7" style="2" customWidth="1"/>
    <col min="15" max="15" width="11.109375" style="2" customWidth="1"/>
    <col min="16" max="16" width="10.109375" style="2" customWidth="1"/>
    <col min="17" max="17" width="6.33203125" style="2" customWidth="1"/>
    <col min="18" max="20" width="8.88671875" style="2"/>
    <col min="21" max="21" width="9.33203125" style="2" customWidth="1"/>
    <col min="22" max="23" width="8.88671875" style="2"/>
    <col min="24" max="24" width="9.109375" style="2" customWidth="1"/>
    <col min="25" max="16384" width="8.88671875" style="2"/>
  </cols>
  <sheetData>
    <row r="1" spans="2:28" ht="15.6" customHeight="1" x14ac:dyDescent="0.25">
      <c r="B1" s="1"/>
      <c r="C1" s="1"/>
      <c r="D1" s="2"/>
      <c r="E1" s="1"/>
      <c r="F1" s="2"/>
      <c r="M1" s="3"/>
      <c r="N1" s="3"/>
      <c r="O1" s="3"/>
      <c r="P1" s="3"/>
      <c r="Q1" s="3"/>
      <c r="R1" s="3"/>
      <c r="S1" s="3"/>
      <c r="T1" s="3"/>
      <c r="U1" s="3"/>
      <c r="V1" s="3"/>
      <c r="W1" s="1" t="s">
        <v>53</v>
      </c>
    </row>
    <row r="2" spans="2:28" ht="6.6" customHeight="1" x14ac:dyDescent="0.3">
      <c r="D2" s="4"/>
      <c r="E2" s="4"/>
      <c r="F2" s="4"/>
      <c r="G2" s="5"/>
      <c r="H2" s="4"/>
      <c r="I2" s="4"/>
      <c r="J2" s="4"/>
      <c r="K2" s="6"/>
      <c r="L2" s="6"/>
      <c r="M2" s="6"/>
      <c r="N2" s="6"/>
      <c r="O2" s="6"/>
      <c r="P2" s="6"/>
      <c r="Q2" s="6"/>
      <c r="R2" s="6"/>
      <c r="S2" s="6"/>
      <c r="T2" s="6"/>
      <c r="U2" s="6"/>
      <c r="V2" s="6"/>
      <c r="W2" s="3"/>
    </row>
    <row r="3" spans="2:28" ht="20.399999999999999" x14ac:dyDescent="0.35">
      <c r="C3" s="98" t="s">
        <v>173</v>
      </c>
      <c r="D3" s="98"/>
      <c r="E3" s="98"/>
      <c r="F3" s="98"/>
      <c r="G3" s="98"/>
      <c r="H3" s="98"/>
      <c r="I3" s="98"/>
      <c r="J3" s="98"/>
      <c r="K3" s="98"/>
      <c r="L3" s="6"/>
      <c r="M3" s="6"/>
      <c r="N3" s="6"/>
      <c r="O3" s="6"/>
      <c r="P3" s="6"/>
      <c r="Q3" s="6"/>
      <c r="R3" s="6"/>
      <c r="S3" s="6"/>
      <c r="T3" s="6"/>
      <c r="U3" s="6"/>
      <c r="V3" s="6"/>
      <c r="W3" s="3"/>
    </row>
    <row r="4" spans="2:28" ht="7.2" customHeight="1" x14ac:dyDescent="0.25">
      <c r="D4" s="4"/>
      <c r="E4" s="4"/>
      <c r="F4" s="4"/>
      <c r="G4" s="4"/>
      <c r="H4" s="4"/>
      <c r="I4" s="4"/>
      <c r="J4" s="4"/>
      <c r="K4" s="6"/>
      <c r="L4" s="6"/>
      <c r="M4" s="6"/>
      <c r="N4" s="6"/>
      <c r="O4" s="6"/>
      <c r="P4" s="6"/>
      <c r="Q4" s="6"/>
      <c r="R4" s="6"/>
      <c r="S4" s="6"/>
      <c r="T4" s="6"/>
      <c r="U4" s="6"/>
      <c r="V4" s="6"/>
      <c r="W4" s="36"/>
      <c r="X4" s="30"/>
      <c r="Y4" s="30"/>
      <c r="Z4" s="30"/>
      <c r="AA4" s="30"/>
      <c r="AB4" s="30"/>
    </row>
    <row r="5" spans="2:28" ht="7.95" customHeight="1" thickBot="1" x14ac:dyDescent="0.3">
      <c r="D5" s="4"/>
      <c r="E5" s="4"/>
      <c r="F5" s="4"/>
      <c r="G5" s="4"/>
      <c r="H5" s="4"/>
      <c r="I5" s="4"/>
      <c r="J5" s="4"/>
      <c r="K5" s="6"/>
      <c r="L5" s="6"/>
      <c r="M5" s="6"/>
      <c r="N5" s="6"/>
      <c r="O5" s="6"/>
      <c r="P5" s="6"/>
      <c r="Q5" s="6"/>
      <c r="R5" s="6"/>
      <c r="S5" s="6"/>
      <c r="T5" s="6"/>
      <c r="U5" s="6"/>
      <c r="V5" s="6"/>
      <c r="W5" s="36"/>
      <c r="X5" s="30"/>
      <c r="Y5" s="30"/>
      <c r="Z5" s="30"/>
      <c r="AA5" s="30"/>
      <c r="AB5" s="30"/>
    </row>
    <row r="6" spans="2:28" ht="17.399999999999999" x14ac:dyDescent="0.3">
      <c r="B6" s="47"/>
      <c r="C6" s="48" t="str">
        <f>CONCATENATE(D62," = f (",F62," )")</f>
        <v>REF = f (Florent  )</v>
      </c>
      <c r="D6" s="49"/>
      <c r="E6" s="48"/>
      <c r="F6" s="48"/>
      <c r="G6" s="8"/>
      <c r="H6" s="65" t="s">
        <v>38</v>
      </c>
      <c r="I6" s="7"/>
      <c r="J6" s="8"/>
      <c r="M6" s="3"/>
      <c r="N6" s="3"/>
      <c r="O6" s="3"/>
      <c r="P6" s="3"/>
      <c r="Q6" s="3"/>
      <c r="R6" s="3"/>
      <c r="S6" s="3"/>
      <c r="T6" s="3"/>
      <c r="U6" s="3"/>
      <c r="V6" s="3"/>
      <c r="W6" s="36"/>
      <c r="X6" s="30"/>
      <c r="Y6" s="30"/>
      <c r="Z6" s="30"/>
      <c r="AA6" s="30"/>
      <c r="AB6" s="30"/>
    </row>
    <row r="7" spans="2:28" ht="17.399999999999999" x14ac:dyDescent="0.3">
      <c r="B7" s="50"/>
      <c r="C7" s="36"/>
      <c r="D7" s="45" t="str">
        <f>D62</f>
        <v>REF</v>
      </c>
      <c r="E7" s="45"/>
      <c r="F7" s="45" t="str">
        <f>F62</f>
        <v xml:space="preserve">Florent </v>
      </c>
      <c r="G7" s="10"/>
      <c r="H7" s="66" t="s">
        <v>22</v>
      </c>
      <c r="I7" s="9">
        <v>500</v>
      </c>
      <c r="J7" s="10"/>
      <c r="M7" s="3"/>
      <c r="N7" s="3"/>
      <c r="O7" s="3"/>
      <c r="P7" s="3"/>
      <c r="Q7" s="3"/>
      <c r="R7" s="3"/>
      <c r="S7" s="3"/>
      <c r="T7" s="3"/>
      <c r="U7" s="3"/>
      <c r="V7" s="3"/>
      <c r="W7" s="36"/>
      <c r="X7" s="30" t="s">
        <v>30</v>
      </c>
      <c r="Y7" s="30"/>
      <c r="Z7" s="30"/>
      <c r="AA7" s="30"/>
      <c r="AB7" s="30"/>
    </row>
    <row r="8" spans="2:28" ht="17.399999999999999" x14ac:dyDescent="0.3">
      <c r="B8" s="50"/>
      <c r="C8" s="51" t="s">
        <v>22</v>
      </c>
      <c r="D8" s="23"/>
      <c r="E8" s="45">
        <f>COUNT(Table22342102345678[REF])</f>
        <v>80</v>
      </c>
      <c r="F8" s="23"/>
      <c r="G8" s="10"/>
      <c r="H8" s="66" t="s">
        <v>39</v>
      </c>
      <c r="I8" s="9">
        <v>1.2</v>
      </c>
      <c r="J8" s="10"/>
      <c r="M8" s="3"/>
      <c r="N8" s="3"/>
      <c r="O8" s="3"/>
      <c r="P8" s="3"/>
      <c r="Q8" s="3"/>
      <c r="R8" s="3"/>
      <c r="S8" s="3"/>
      <c r="T8" s="3"/>
      <c r="U8" s="3"/>
      <c r="V8" s="3"/>
      <c r="W8" s="36"/>
      <c r="X8" s="37">
        <f>62+E8</f>
        <v>142</v>
      </c>
      <c r="Y8" s="30"/>
      <c r="Z8" s="38"/>
      <c r="AA8" s="30"/>
      <c r="AB8" s="30"/>
    </row>
    <row r="9" spans="2:28" ht="16.2" thickBot="1" x14ac:dyDescent="0.35">
      <c r="B9" s="50"/>
      <c r="C9" s="51" t="s">
        <v>6</v>
      </c>
      <c r="D9" s="24">
        <f>AVERAGE(Table22342102345678[REF])</f>
        <v>11.109499980000002</v>
      </c>
      <c r="E9" s="24"/>
      <c r="F9" s="24">
        <f>AVERAGE(Table22342102345678[[Florent ]])</f>
        <v>10.817137561376459</v>
      </c>
      <c r="G9" s="69"/>
      <c r="H9" s="67" t="s">
        <v>43</v>
      </c>
      <c r="I9" s="13"/>
      <c r="J9" s="14">
        <v>12</v>
      </c>
      <c r="M9" s="3"/>
      <c r="N9" s="3"/>
      <c r="O9" s="3"/>
      <c r="P9" s="3"/>
      <c r="Q9" s="3"/>
      <c r="R9" s="3"/>
      <c r="S9" s="3"/>
      <c r="T9" s="3"/>
      <c r="U9" s="3"/>
      <c r="V9" s="3"/>
      <c r="W9" s="56"/>
      <c r="X9" s="30"/>
      <c r="Y9" s="30"/>
      <c r="Z9" s="30"/>
      <c r="AA9" s="30"/>
      <c r="AB9" s="30"/>
    </row>
    <row r="10" spans="2:28" ht="16.2" thickBot="1" x14ac:dyDescent="0.35">
      <c r="B10" s="50"/>
      <c r="C10" s="51" t="s">
        <v>7</v>
      </c>
      <c r="D10" s="24">
        <f>MIN(Table22342102345678[REF])</f>
        <v>8.9700003000000006</v>
      </c>
      <c r="E10" s="24">
        <f>ROUNDDOWN(MIN(D10,F10),0)</f>
        <v>7</v>
      </c>
      <c r="F10" s="24">
        <f>MIN(Table22342102345678[[Florent ]])</f>
        <v>7.2312106955643003</v>
      </c>
      <c r="G10" s="70"/>
      <c r="H10" s="68" t="s">
        <v>40</v>
      </c>
      <c r="I10" s="15">
        <v>0.05</v>
      </c>
      <c r="J10" s="16"/>
      <c r="M10" s="3"/>
      <c r="N10" s="3"/>
      <c r="O10" s="3"/>
      <c r="P10" s="3"/>
      <c r="Q10" s="3"/>
      <c r="R10" s="3"/>
      <c r="S10" s="3"/>
      <c r="T10" s="3"/>
      <c r="U10" s="3"/>
      <c r="V10" s="3"/>
      <c r="W10" s="56">
        <f>E10+E20</f>
        <v>6.7076375813764564</v>
      </c>
      <c r="X10" s="30"/>
      <c r="Y10" s="30"/>
      <c r="Z10" s="30"/>
      <c r="AA10" s="30"/>
      <c r="AB10" s="30"/>
    </row>
    <row r="11" spans="2:28" ht="15.6" x14ac:dyDescent="0.3">
      <c r="B11" s="50"/>
      <c r="C11" s="51" t="s">
        <v>8</v>
      </c>
      <c r="D11" s="24">
        <f>MAX(Table22342102345678[REF])</f>
        <v>14.4300003</v>
      </c>
      <c r="E11" s="24">
        <f>ROUNDUP(MAX(D11,F11),0)+1</f>
        <v>17</v>
      </c>
      <c r="F11" s="24">
        <f>MAX(Table22342102345678[[Florent ]])</f>
        <v>15.565314589798099</v>
      </c>
      <c r="G11" s="70"/>
      <c r="H11" s="28" t="s">
        <v>41</v>
      </c>
      <c r="I11" s="29">
        <f>TINV(I10,E8)</f>
        <v>1.9900634212544475</v>
      </c>
      <c r="J11" s="29"/>
      <c r="K11" s="36"/>
      <c r="M11" s="3"/>
      <c r="N11" s="3"/>
      <c r="O11" s="3"/>
      <c r="P11" s="3"/>
      <c r="Q11" s="3"/>
      <c r="R11" s="3"/>
      <c r="S11" s="3"/>
      <c r="T11" s="3"/>
      <c r="U11" s="3"/>
      <c r="V11" s="3"/>
      <c r="W11" s="56">
        <f>E11+E20</f>
        <v>16.707637581376456</v>
      </c>
      <c r="X11" s="30"/>
      <c r="Y11" s="30"/>
      <c r="Z11" s="30"/>
      <c r="AA11" s="30"/>
      <c r="AB11" s="30"/>
    </row>
    <row r="12" spans="2:28" ht="15.6" x14ac:dyDescent="0.3">
      <c r="B12" s="50"/>
      <c r="C12" s="51" t="s">
        <v>9</v>
      </c>
      <c r="D12" s="25">
        <f>STDEV(Table22342102345678[REF])</f>
        <v>1.1729049824811564</v>
      </c>
      <c r="E12" s="25"/>
      <c r="F12" s="24">
        <f>STDEV(Table22342102345678[[Florent ]])</f>
        <v>1.9315732790320999</v>
      </c>
      <c r="G12" s="69"/>
      <c r="H12" s="28" t="s">
        <v>42</v>
      </c>
      <c r="I12" s="29">
        <f>FINV(I10,E8-1,I7-1-J9)</f>
        <v>1.305795130911809</v>
      </c>
      <c r="J12" s="30"/>
      <c r="K12" s="36"/>
      <c r="M12" s="3"/>
      <c r="N12" s="3"/>
      <c r="O12" s="3"/>
      <c r="P12" s="3"/>
      <c r="Q12" s="3"/>
      <c r="R12" s="3"/>
      <c r="S12" s="3"/>
      <c r="T12" s="3"/>
      <c r="U12" s="3"/>
      <c r="V12" s="3"/>
      <c r="W12" s="36"/>
      <c r="X12" s="30"/>
      <c r="Y12" s="30"/>
      <c r="Z12" s="30"/>
      <c r="AA12" s="30"/>
      <c r="AB12" s="30"/>
    </row>
    <row r="13" spans="2:28" ht="15.6" x14ac:dyDescent="0.3">
      <c r="B13" s="50"/>
      <c r="C13" s="51" t="s">
        <v>56</v>
      </c>
      <c r="D13" s="24">
        <f>MEDIAN(Table22342102345678[REF])</f>
        <v>11.010000250000001</v>
      </c>
      <c r="E13" s="25"/>
      <c r="F13" s="24">
        <f>MEDIAN(Table22342102345678[[Florent ]])</f>
        <v>10.648168194248701</v>
      </c>
      <c r="G13" s="69"/>
      <c r="H13" s="28"/>
      <c r="I13" s="29"/>
      <c r="J13" s="30"/>
      <c r="K13" s="36"/>
      <c r="M13" s="3"/>
      <c r="N13" s="3"/>
      <c r="O13" s="3"/>
      <c r="P13" s="3"/>
      <c r="Q13" s="3"/>
      <c r="R13" s="3"/>
      <c r="S13" s="3"/>
      <c r="T13" s="3"/>
      <c r="U13" s="3"/>
      <c r="V13" s="3"/>
      <c r="W13" s="36"/>
      <c r="X13" s="30"/>
      <c r="Y13" s="30"/>
      <c r="Z13" s="30"/>
      <c r="AA13" s="30"/>
      <c r="AB13" s="30"/>
    </row>
    <row r="14" spans="2:28" ht="15.6" x14ac:dyDescent="0.3">
      <c r="B14" s="50"/>
      <c r="C14" s="51" t="s">
        <v>57</v>
      </c>
      <c r="D14" s="25">
        <f>1.4826*(MEDIAN(Table22342102345678[abs(lab)]))</f>
        <v>1.4677736293499986</v>
      </c>
      <c r="E14" s="25"/>
      <c r="F14" s="24">
        <f>1.4826*MEDIAN(Table22342102345678[abs(anl)])</f>
        <v>2.1425179662157414</v>
      </c>
      <c r="G14" s="75"/>
      <c r="H14" s="28"/>
      <c r="I14" s="29"/>
      <c r="J14" s="30"/>
      <c r="K14" s="36"/>
      <c r="M14" s="3"/>
      <c r="N14" s="3"/>
      <c r="O14" s="3"/>
      <c r="P14" s="3"/>
      <c r="Q14" s="3"/>
      <c r="R14" s="3"/>
      <c r="S14" s="3"/>
      <c r="T14" s="3"/>
      <c r="U14" s="3"/>
      <c r="V14" s="3"/>
      <c r="W14" s="36"/>
      <c r="X14" s="30"/>
      <c r="Y14" s="30"/>
      <c r="Z14" s="30"/>
      <c r="AA14" s="30"/>
      <c r="AB14" s="30"/>
    </row>
    <row r="15" spans="2:28" ht="15.6" x14ac:dyDescent="0.3">
      <c r="B15" s="50"/>
      <c r="C15" s="51"/>
      <c r="D15" s="25"/>
      <c r="E15" s="25"/>
      <c r="F15" s="24" t="s">
        <v>63</v>
      </c>
      <c r="G15" s="69"/>
      <c r="H15" s="28"/>
      <c r="I15" s="29"/>
      <c r="J15" s="30"/>
      <c r="K15" s="36"/>
      <c r="M15" s="3"/>
      <c r="N15" s="3"/>
      <c r="O15" s="3"/>
      <c r="P15" s="3"/>
      <c r="Q15" s="3"/>
      <c r="R15" s="3"/>
      <c r="S15" s="3"/>
      <c r="T15" s="3"/>
      <c r="U15" s="3"/>
      <c r="V15" s="3"/>
      <c r="W15" s="36"/>
      <c r="X15" s="30"/>
      <c r="Y15" s="30"/>
      <c r="Z15" s="30"/>
      <c r="AA15" s="30"/>
      <c r="AB15" s="30"/>
    </row>
    <row r="16" spans="2:28" ht="17.399999999999999" x14ac:dyDescent="0.3">
      <c r="B16" s="50"/>
      <c r="C16" s="51" t="s">
        <v>10</v>
      </c>
      <c r="D16" s="25"/>
      <c r="E16" s="26">
        <f>SQRT(AVERAGE(Table22342102345678[dif^2]))</f>
        <v>1.507227263573153</v>
      </c>
      <c r="F16" s="72">
        <f>SQRT(F18^2+E20^2)</f>
        <v>1.7724437685468655</v>
      </c>
      <c r="G16" s="10"/>
      <c r="H16" s="31"/>
      <c r="I16" s="30"/>
      <c r="J16" s="31"/>
      <c r="K16" s="44"/>
      <c r="M16" s="3"/>
      <c r="N16" s="3"/>
      <c r="O16" s="3"/>
      <c r="P16" s="3"/>
      <c r="Q16" s="3"/>
      <c r="R16" s="3"/>
      <c r="S16" s="3"/>
      <c r="T16" s="3"/>
      <c r="U16" s="3"/>
      <c r="V16" s="3"/>
      <c r="W16" s="36"/>
      <c r="X16" s="30"/>
      <c r="Y16" s="30"/>
      <c r="Z16" s="30"/>
      <c r="AA16" s="30"/>
      <c r="AB16" s="30"/>
    </row>
    <row r="17" spans="2:28" ht="21" x14ac:dyDescent="0.4">
      <c r="B17" s="50"/>
      <c r="C17" s="51" t="s">
        <v>55</v>
      </c>
      <c r="D17" s="3"/>
      <c r="E17" s="26"/>
      <c r="F17" s="26">
        <f>MEDIAN(Table22342102345678[abs_errors])</f>
        <v>1.1791211890090398</v>
      </c>
      <c r="G17" s="10"/>
      <c r="H17" s="32"/>
      <c r="I17" s="33"/>
      <c r="J17" s="34"/>
      <c r="K17" s="54"/>
      <c r="M17" s="3"/>
      <c r="N17" s="3"/>
      <c r="O17" s="3"/>
      <c r="P17" s="3"/>
      <c r="Q17" s="3"/>
      <c r="R17" s="3"/>
      <c r="S17" s="3"/>
      <c r="T17" s="3"/>
      <c r="U17" s="3"/>
      <c r="V17" s="3"/>
      <c r="W17" s="36"/>
      <c r="X17" s="30"/>
      <c r="Y17" s="30"/>
      <c r="Z17" s="30"/>
      <c r="AA17" s="30"/>
      <c r="AB17" s="30"/>
    </row>
    <row r="18" spans="2:28" ht="21" x14ac:dyDescent="0.4">
      <c r="B18" s="50"/>
      <c r="C18" s="51" t="s">
        <v>11</v>
      </c>
      <c r="D18" s="25"/>
      <c r="E18" s="26">
        <f>STDEV(Table22342102345678[X-Y])</f>
        <v>1.4879288945290661</v>
      </c>
      <c r="F18" s="26">
        <f>1.4826*MEDIAN(Table22342102345678[abs_errors])</f>
        <v>1.7481650748248023</v>
      </c>
      <c r="G18" s="10"/>
      <c r="H18" s="32" t="s">
        <v>44</v>
      </c>
      <c r="I18" s="33">
        <f>I8*I12</f>
        <v>1.5669541570941707</v>
      </c>
      <c r="J18" s="34" t="str">
        <f>IF(E18&gt;I18,"S"," ns ")</f>
        <v xml:space="preserve"> ns </v>
      </c>
      <c r="K18" s="36"/>
      <c r="M18" s="3"/>
      <c r="N18" s="3"/>
      <c r="O18" s="3"/>
      <c r="P18" s="3"/>
      <c r="Q18" s="3"/>
      <c r="R18" s="3"/>
      <c r="S18" s="3"/>
      <c r="T18" s="3"/>
      <c r="U18" s="3"/>
      <c r="V18" s="3"/>
      <c r="W18" s="36"/>
      <c r="X18" s="30" t="s">
        <v>28</v>
      </c>
      <c r="Y18" s="30" t="s">
        <v>27</v>
      </c>
      <c r="Z18" s="30"/>
      <c r="AA18" s="30"/>
      <c r="AB18" s="30"/>
    </row>
    <row r="19" spans="2:28" ht="17.399999999999999" x14ac:dyDescent="0.3">
      <c r="B19" s="50"/>
      <c r="C19" s="51" t="s">
        <v>12</v>
      </c>
      <c r="D19" s="25"/>
      <c r="E19" s="26">
        <f>STEYX(Table22342102345678[REF],Table22342102345678[[Florent ]])</f>
        <v>0.9085393012899412</v>
      </c>
      <c r="F19" s="26">
        <f>1.4826*MEDIAN(Table22342102345678[Abs_erroryx])</f>
        <v>0.93476111943078266</v>
      </c>
      <c r="G19" s="10"/>
      <c r="H19" s="32"/>
      <c r="I19" s="33"/>
      <c r="J19" s="30"/>
      <c r="K19" s="36"/>
      <c r="M19" s="3"/>
      <c r="N19" s="3"/>
      <c r="O19" s="3"/>
      <c r="P19" s="3"/>
      <c r="Q19" s="3"/>
      <c r="R19" s="3"/>
      <c r="S19" s="3"/>
      <c r="T19" s="3"/>
      <c r="U19" s="3"/>
      <c r="V19" s="3"/>
      <c r="W19" s="36" t="s">
        <v>24</v>
      </c>
      <c r="X19" s="35">
        <f>E$26+E$25*E10</f>
        <v>8.7916279566316291</v>
      </c>
      <c r="Y19" s="30">
        <f>E10</f>
        <v>7</v>
      </c>
      <c r="Z19" s="30"/>
      <c r="AA19" s="30"/>
      <c r="AB19" s="30"/>
    </row>
    <row r="20" spans="2:28" ht="21" x14ac:dyDescent="0.4">
      <c r="B20" s="50"/>
      <c r="C20" s="51" t="s">
        <v>16</v>
      </c>
      <c r="D20" s="25"/>
      <c r="E20" s="72">
        <f>F9-D9</f>
        <v>-0.29236241862354362</v>
      </c>
      <c r="F20" s="26">
        <f>F13-D13</f>
        <v>-0.36183205575130017</v>
      </c>
      <c r="G20" s="10"/>
      <c r="H20" s="32" t="s">
        <v>46</v>
      </c>
      <c r="I20" s="33">
        <f>ABS(E20/(SQRT(SUM(Table22342102345678[dif^2])/(E8*(E8-1)))))</f>
        <v>1.7240757779833926</v>
      </c>
      <c r="J20" s="34" t="str">
        <f>IF(I20&gt;I11,"S","ns")</f>
        <v>ns</v>
      </c>
      <c r="K20" s="36"/>
      <c r="M20" s="3"/>
      <c r="N20" s="3"/>
      <c r="O20" s="3"/>
      <c r="P20" s="3"/>
      <c r="Q20" s="3"/>
      <c r="R20" s="3"/>
      <c r="S20" s="3"/>
      <c r="T20" s="3"/>
      <c r="U20" s="3"/>
      <c r="V20" s="3"/>
      <c r="W20" s="36" t="s">
        <v>25</v>
      </c>
      <c r="X20" s="35">
        <f>E$26+E$25*E11</f>
        <v>14.863905903388545</v>
      </c>
      <c r="Y20" s="30">
        <f>E11</f>
        <v>17</v>
      </c>
      <c r="Z20" s="30"/>
      <c r="AA20" s="30"/>
      <c r="AB20" s="30"/>
    </row>
    <row r="21" spans="2:28" ht="21" x14ac:dyDescent="0.4">
      <c r="B21" s="50"/>
      <c r="C21" s="51" t="s">
        <v>13</v>
      </c>
      <c r="D21" s="25"/>
      <c r="E21" s="26">
        <f>SLOPE(Table22342102345678[REF],Table22342102345678[[Florent ]])</f>
        <v>0.38766659886556598</v>
      </c>
      <c r="F21" s="26"/>
      <c r="G21" s="10"/>
      <c r="H21" s="32" t="s">
        <v>45</v>
      </c>
      <c r="I21" s="33">
        <f>ABS(E21-1)*SQRT((E8-1)*F12^2/E19^2)</f>
        <v>11.570948630690426</v>
      </c>
      <c r="J21" s="34" t="str">
        <f>IF(I21&gt;I11,"S"," ns  ")</f>
        <v>S</v>
      </c>
      <c r="K21" s="55"/>
      <c r="M21" s="3"/>
      <c r="N21" s="3"/>
      <c r="O21" s="3"/>
      <c r="P21" s="3"/>
      <c r="Q21" s="3"/>
      <c r="R21" s="3"/>
      <c r="S21" s="3"/>
      <c r="T21" s="3"/>
      <c r="U21" s="3"/>
      <c r="V21" s="3"/>
      <c r="W21" s="36" t="s">
        <v>26</v>
      </c>
      <c r="X21" s="30">
        <f>E$26+E$25*F9</f>
        <v>11.109499980000002</v>
      </c>
      <c r="Y21" s="29">
        <f>F9</f>
        <v>10.817137561376459</v>
      </c>
      <c r="Z21" s="30"/>
      <c r="AA21" s="30"/>
      <c r="AB21" s="30"/>
    </row>
    <row r="22" spans="2:28" ht="17.399999999999999" x14ac:dyDescent="0.3">
      <c r="B22" s="50"/>
      <c r="C22" s="51" t="s">
        <v>14</v>
      </c>
      <c r="D22" s="25"/>
      <c r="E22" s="26">
        <f>INTERCEPT(Table22342102345678[REF],Table22342102345678[[Florent ]])</f>
        <v>6.9160570521202285</v>
      </c>
      <c r="F22" s="26"/>
      <c r="G22" s="10"/>
      <c r="H22" s="30"/>
      <c r="I22" s="30"/>
      <c r="J22" s="30"/>
      <c r="K22" s="36"/>
      <c r="M22" s="3"/>
      <c r="N22" s="3"/>
      <c r="O22" s="3"/>
      <c r="P22" s="3"/>
      <c r="Q22" s="3"/>
      <c r="R22" s="3"/>
      <c r="S22" s="3"/>
      <c r="T22" s="3"/>
      <c r="U22" s="3"/>
      <c r="V22" s="3"/>
      <c r="W22" s="36"/>
      <c r="X22" s="30"/>
      <c r="Y22" s="30"/>
      <c r="Z22" s="30"/>
      <c r="AA22" s="30"/>
      <c r="AB22" s="30"/>
    </row>
    <row r="23" spans="2:28" ht="22.8" x14ac:dyDescent="0.4">
      <c r="B23" s="50"/>
      <c r="C23" s="51" t="s">
        <v>15</v>
      </c>
      <c r="D23" s="25"/>
      <c r="E23" s="80">
        <f>RSQ(Table22342102345678[REF],Table22342102345678[[Florent ]])</f>
        <v>0.40758058042630851</v>
      </c>
      <c r="F23" s="26">
        <f>(D12^2-F19^2)/D12^2</f>
        <v>0.36485100144950572</v>
      </c>
      <c r="G23" s="10"/>
      <c r="H23" s="32"/>
      <c r="I23" s="33"/>
      <c r="J23" s="30"/>
      <c r="K23" s="36"/>
      <c r="M23" s="3"/>
      <c r="N23" s="3"/>
      <c r="O23" s="3"/>
      <c r="P23" s="3"/>
      <c r="Q23" s="3"/>
      <c r="R23" s="3"/>
      <c r="S23" s="3"/>
      <c r="T23" s="3"/>
      <c r="U23" s="3"/>
      <c r="V23" s="3"/>
      <c r="W23" s="36"/>
      <c r="X23" s="30"/>
      <c r="Y23" s="30"/>
      <c r="Z23" s="30"/>
      <c r="AA23" s="30"/>
      <c r="AB23" s="30"/>
    </row>
    <row r="24" spans="2:28" ht="17.399999999999999" x14ac:dyDescent="0.3">
      <c r="B24" s="50"/>
      <c r="C24" s="51" t="s">
        <v>29</v>
      </c>
      <c r="D24" s="23"/>
      <c r="E24" s="26">
        <f>1/SQRT(1-E23)</f>
        <v>1.2992279558957163</v>
      </c>
      <c r="F24" s="26">
        <f>1/SQRT(1-F23)</f>
        <v>1.2547644078258091</v>
      </c>
      <c r="G24" s="10"/>
      <c r="H24" s="76" t="s">
        <v>64</v>
      </c>
      <c r="I24" s="77">
        <f>D12/E19</f>
        <v>1.2909788061076386</v>
      </c>
      <c r="J24" s="30"/>
      <c r="K24" s="36"/>
      <c r="M24" s="3"/>
      <c r="N24" s="3"/>
      <c r="O24" s="3"/>
      <c r="P24" s="3"/>
      <c r="Q24" s="3"/>
      <c r="R24" s="3"/>
      <c r="S24" s="3"/>
      <c r="T24" s="3"/>
      <c r="U24" s="3"/>
      <c r="V24" s="3"/>
      <c r="W24" s="36"/>
      <c r="X24" s="30"/>
      <c r="Y24" s="30"/>
      <c r="Z24" s="30"/>
      <c r="AA24" s="30"/>
      <c r="AB24" s="30"/>
    </row>
    <row r="25" spans="2:28" ht="17.399999999999999" x14ac:dyDescent="0.3">
      <c r="B25" s="50"/>
      <c r="C25" s="51" t="s">
        <v>17</v>
      </c>
      <c r="D25" s="23"/>
      <c r="E25" s="26">
        <f>(D12/F12)</f>
        <v>0.60722779467569166</v>
      </c>
      <c r="F25" s="45"/>
      <c r="G25" s="10"/>
      <c r="H25" s="32" t="s">
        <v>47</v>
      </c>
      <c r="I25" s="62">
        <f>QUARTILE(Table22342102345678[abs_errors],3)</f>
        <v>1.6707105014173889</v>
      </c>
      <c r="J25" s="30"/>
      <c r="K25" s="36"/>
      <c r="M25" s="3"/>
      <c r="N25" s="3"/>
      <c r="O25" s="3"/>
      <c r="P25" s="3"/>
      <c r="Q25" s="3"/>
      <c r="R25" s="3"/>
      <c r="S25" s="3"/>
      <c r="T25" s="3"/>
      <c r="U25" s="3"/>
      <c r="V25" s="3"/>
      <c r="W25" s="36" t="s">
        <v>19</v>
      </c>
      <c r="X25" s="30">
        <f>COVAR(Table22342102345678[REF],Table22342102345678[[Florent ]])</f>
        <v>1.4282948360438321</v>
      </c>
      <c r="Y25" s="30"/>
      <c r="Z25" s="30"/>
      <c r="AA25" s="30"/>
      <c r="AB25" s="30"/>
    </row>
    <row r="26" spans="2:28" ht="17.399999999999999" x14ac:dyDescent="0.3">
      <c r="B26" s="50"/>
      <c r="C26" s="51" t="s">
        <v>18</v>
      </c>
      <c r="D26" s="23"/>
      <c r="E26" s="26">
        <f>D9-E25*F9</f>
        <v>4.5410333939017864</v>
      </c>
      <c r="F26" s="45"/>
      <c r="G26" s="10"/>
      <c r="M26" s="3"/>
      <c r="N26" s="3"/>
      <c r="O26" s="3"/>
      <c r="P26" s="3"/>
      <c r="Q26" s="3"/>
      <c r="R26" s="3"/>
      <c r="S26" s="3"/>
      <c r="T26" s="3"/>
      <c r="U26" s="3"/>
      <c r="V26" s="3"/>
      <c r="W26" s="36" t="s">
        <v>20</v>
      </c>
      <c r="X26" s="30">
        <f>SIGN(X25)</f>
        <v>1</v>
      </c>
      <c r="Y26" s="30"/>
      <c r="Z26" s="30"/>
      <c r="AA26" s="30"/>
      <c r="AB26" s="30"/>
    </row>
    <row r="27" spans="2:28" ht="18" thickBot="1" x14ac:dyDescent="0.35">
      <c r="B27" s="52"/>
      <c r="C27" s="53" t="s">
        <v>21</v>
      </c>
      <c r="D27" s="27"/>
      <c r="E27" s="73">
        <f>SQRT(AVERAGE(Table22342102345678[dif_rec^2]))</f>
        <v>0.99117046794934072</v>
      </c>
      <c r="F27" s="74"/>
      <c r="G27" s="71"/>
      <c r="M27" s="3"/>
      <c r="N27" s="3"/>
      <c r="O27" s="3"/>
      <c r="P27" s="3"/>
      <c r="Q27" s="3"/>
      <c r="R27" s="3"/>
      <c r="S27" s="3"/>
      <c r="T27" s="3"/>
      <c r="U27" s="3"/>
      <c r="V27" s="3"/>
      <c r="W27" s="36"/>
      <c r="X27" s="30"/>
      <c r="Y27" s="30"/>
      <c r="Z27" s="30"/>
      <c r="AA27" s="30"/>
      <c r="AB27" s="30"/>
    </row>
    <row r="28" spans="2:28" ht="15.6" x14ac:dyDescent="0.3">
      <c r="B28" s="3"/>
      <c r="C28" s="11"/>
      <c r="D28" s="12"/>
      <c r="E28" s="18"/>
      <c r="F28" s="12"/>
      <c r="M28" s="3"/>
      <c r="N28" s="3"/>
      <c r="O28" s="3"/>
      <c r="P28" s="3"/>
      <c r="Q28" s="3"/>
      <c r="R28" s="3"/>
      <c r="S28" s="3"/>
      <c r="T28" s="3"/>
      <c r="U28" s="3"/>
      <c r="V28" s="3"/>
      <c r="W28" s="36"/>
      <c r="X28" s="30"/>
      <c r="Y28" s="30"/>
      <c r="Z28" s="30"/>
      <c r="AA28" s="30"/>
      <c r="AB28" s="30"/>
    </row>
    <row r="29" spans="2:28" ht="17.399999999999999" x14ac:dyDescent="0.3">
      <c r="C29" s="19"/>
      <c r="D29" s="3"/>
      <c r="E29" s="17"/>
      <c r="F29" s="3"/>
      <c r="M29" s="3"/>
      <c r="N29" s="3"/>
      <c r="O29" s="3"/>
      <c r="P29" s="3"/>
      <c r="Q29" s="3"/>
      <c r="R29" s="3"/>
      <c r="S29" s="3"/>
      <c r="T29" s="3"/>
      <c r="U29" s="3"/>
      <c r="V29" s="3"/>
      <c r="W29" s="44" t="s">
        <v>54</v>
      </c>
      <c r="X29" s="37">
        <f>MIN(Table22342102345678[X-Y])</f>
        <v>-2.8814068241470601</v>
      </c>
      <c r="Y29" s="30">
        <f>X29</f>
        <v>-2.8814068241470601</v>
      </c>
      <c r="Z29" s="30"/>
      <c r="AA29" s="30"/>
      <c r="AB29" s="30"/>
    </row>
    <row r="30" spans="2:28" ht="17.399999999999999" x14ac:dyDescent="0.3">
      <c r="C30" s="19"/>
      <c r="D30" s="3"/>
      <c r="E30" s="17"/>
      <c r="F30" s="3"/>
      <c r="M30" s="3"/>
      <c r="N30" s="3"/>
      <c r="O30" s="3"/>
      <c r="P30" s="3"/>
      <c r="Q30" s="3"/>
      <c r="R30" s="3"/>
      <c r="S30" s="3"/>
      <c r="T30" s="3"/>
      <c r="U30" s="3"/>
      <c r="V30" s="3"/>
      <c r="W30" s="39" t="s">
        <v>37</v>
      </c>
      <c r="X30" s="63">
        <f>MAX(Table22342102345678[X-Y])</f>
        <v>3.6895891712623001</v>
      </c>
      <c r="Y30" s="30">
        <f>X30</f>
        <v>3.6895891712623001</v>
      </c>
      <c r="Z30" s="30"/>
      <c r="AA30" s="30"/>
      <c r="AB30" s="30"/>
    </row>
    <row r="31" spans="2:28" ht="15.6" x14ac:dyDescent="0.3">
      <c r="C31" s="19"/>
      <c r="D31" s="3"/>
      <c r="E31" s="17"/>
      <c r="F31" s="3"/>
      <c r="M31" s="3"/>
      <c r="N31" s="3"/>
      <c r="O31" s="3"/>
      <c r="P31" s="3"/>
      <c r="Q31" s="3"/>
      <c r="R31" s="3"/>
      <c r="S31" s="3"/>
      <c r="T31" s="3"/>
      <c r="U31" s="3"/>
      <c r="V31" s="3"/>
      <c r="W31" s="36"/>
      <c r="X31" s="30"/>
      <c r="Y31" s="30"/>
      <c r="Z31" s="40"/>
      <c r="AA31" s="30"/>
      <c r="AB31" s="30"/>
    </row>
    <row r="32" spans="2:28" x14ac:dyDescent="0.25">
      <c r="C32" s="19"/>
      <c r="D32" s="3"/>
      <c r="E32" s="17"/>
      <c r="F32" s="3"/>
      <c r="M32" s="3"/>
      <c r="N32" s="3"/>
      <c r="O32" s="3"/>
      <c r="P32" s="3"/>
      <c r="Q32" s="3"/>
      <c r="R32" s="3"/>
      <c r="S32" s="3"/>
      <c r="T32" s="3"/>
      <c r="U32" s="3"/>
      <c r="V32" s="3"/>
      <c r="W32" s="36"/>
      <c r="X32" s="30"/>
      <c r="Y32" s="30"/>
      <c r="Z32" s="30"/>
      <c r="AA32" s="30"/>
      <c r="AB32" s="30"/>
    </row>
    <row r="33" spans="3:28" x14ac:dyDescent="0.25">
      <c r="C33" s="19"/>
      <c r="D33" s="3"/>
      <c r="E33" s="17"/>
      <c r="F33" s="3"/>
      <c r="M33" s="3"/>
      <c r="N33" s="3"/>
      <c r="O33" s="3"/>
      <c r="P33" s="3"/>
      <c r="Q33" s="3"/>
      <c r="R33" s="3"/>
      <c r="S33" s="3"/>
      <c r="T33" s="3"/>
      <c r="U33" s="3"/>
      <c r="V33" s="3"/>
      <c r="W33" s="36"/>
      <c r="X33" s="30"/>
      <c r="Y33" s="30"/>
      <c r="Z33" s="30"/>
      <c r="AA33" s="30"/>
      <c r="AB33" s="30"/>
    </row>
    <row r="34" spans="3:28" x14ac:dyDescent="0.25">
      <c r="C34" s="19"/>
      <c r="D34" s="3"/>
      <c r="E34" s="17"/>
      <c r="F34" s="3"/>
      <c r="M34" s="3"/>
      <c r="N34" s="3"/>
      <c r="O34" s="3"/>
      <c r="P34" s="3"/>
      <c r="Q34" s="3"/>
      <c r="R34" s="3"/>
      <c r="S34" s="3"/>
      <c r="T34" s="3"/>
      <c r="U34" s="3"/>
      <c r="V34" s="3"/>
      <c r="W34" s="36"/>
      <c r="X34" s="30"/>
      <c r="Y34" s="30"/>
      <c r="Z34" s="30"/>
      <c r="AA34" s="30"/>
      <c r="AB34" s="30"/>
    </row>
    <row r="35" spans="3:28" x14ac:dyDescent="0.25">
      <c r="C35" s="19"/>
      <c r="D35" s="3"/>
      <c r="E35" s="17"/>
      <c r="F35" s="3"/>
      <c r="M35" s="3"/>
      <c r="N35" s="3"/>
      <c r="O35" s="3"/>
      <c r="P35" s="3"/>
      <c r="Q35" s="3"/>
      <c r="R35" s="3"/>
      <c r="S35" s="3"/>
      <c r="T35" s="3"/>
      <c r="U35" s="3"/>
      <c r="V35" s="3"/>
      <c r="W35" s="36"/>
      <c r="X35" s="30"/>
      <c r="Y35" s="30"/>
      <c r="Z35" s="30"/>
      <c r="AA35" s="30"/>
      <c r="AB35" s="30"/>
    </row>
    <row r="36" spans="3:28" x14ac:dyDescent="0.25">
      <c r="C36" s="19"/>
      <c r="D36" s="3"/>
      <c r="E36" s="17"/>
      <c r="F36" s="3"/>
      <c r="M36" s="3"/>
      <c r="N36" s="3"/>
      <c r="O36" s="3"/>
      <c r="P36" s="3"/>
      <c r="Q36" s="3"/>
      <c r="R36" s="3"/>
      <c r="S36" s="3"/>
      <c r="T36" s="3"/>
      <c r="U36" s="3"/>
      <c r="V36" s="3"/>
      <c r="W36" s="36"/>
      <c r="X36" s="30"/>
      <c r="Y36" s="30"/>
      <c r="Z36" s="30"/>
      <c r="AA36" s="30"/>
      <c r="AB36" s="30"/>
    </row>
    <row r="37" spans="3:28" x14ac:dyDescent="0.25">
      <c r="C37" s="19"/>
      <c r="D37" s="3"/>
      <c r="E37" s="17"/>
      <c r="F37" s="3"/>
      <c r="M37" s="3"/>
      <c r="N37" s="3"/>
      <c r="O37" s="3"/>
      <c r="P37" s="3"/>
      <c r="Q37" s="3"/>
      <c r="R37" s="3"/>
      <c r="S37" s="3"/>
      <c r="T37" s="3"/>
      <c r="U37" s="3"/>
      <c r="V37" s="3"/>
      <c r="W37" s="36"/>
      <c r="X37" s="30"/>
      <c r="Y37" s="30"/>
      <c r="Z37" s="30"/>
      <c r="AA37" s="30"/>
      <c r="AB37" s="30"/>
    </row>
    <row r="38" spans="3:28" x14ac:dyDescent="0.25">
      <c r="C38" s="19"/>
      <c r="D38" s="3"/>
      <c r="E38" s="17"/>
      <c r="F38" s="3"/>
      <c r="M38" s="3"/>
      <c r="N38" s="3"/>
      <c r="O38" s="3"/>
      <c r="P38" s="3"/>
      <c r="Q38" s="3"/>
      <c r="R38" s="3"/>
      <c r="S38" s="3"/>
      <c r="T38" s="3"/>
      <c r="U38" s="3"/>
      <c r="V38" s="3"/>
      <c r="W38" s="36"/>
      <c r="X38" s="30" t="s">
        <v>30</v>
      </c>
      <c r="Y38" s="30"/>
      <c r="Z38" s="30"/>
      <c r="AA38" s="30"/>
      <c r="AB38" s="30"/>
    </row>
    <row r="39" spans="3:28" ht="17.399999999999999" x14ac:dyDescent="0.3">
      <c r="C39" s="19"/>
      <c r="D39" s="3"/>
      <c r="E39" s="17"/>
      <c r="F39" s="3"/>
      <c r="M39" s="3"/>
      <c r="N39" s="3"/>
      <c r="O39" s="3"/>
      <c r="P39" s="3"/>
      <c r="Q39" s="3"/>
      <c r="R39" s="3"/>
      <c r="S39" s="3"/>
      <c r="T39" s="3"/>
      <c r="U39" s="3"/>
      <c r="V39" s="3"/>
      <c r="W39" s="36"/>
      <c r="X39" s="37">
        <f>X8</f>
        <v>142</v>
      </c>
      <c r="Y39" s="41" t="s">
        <v>34</v>
      </c>
      <c r="Z39" s="30"/>
      <c r="AA39" s="30"/>
      <c r="AB39" s="30"/>
    </row>
    <row r="40" spans="3:28" x14ac:dyDescent="0.25">
      <c r="C40" s="19"/>
      <c r="D40" s="3"/>
      <c r="E40" s="17"/>
      <c r="F40" s="3"/>
      <c r="M40" s="3"/>
      <c r="N40" s="3"/>
      <c r="O40" s="3"/>
      <c r="P40" s="3"/>
      <c r="Q40" s="3"/>
      <c r="R40" s="3"/>
      <c r="S40" s="3"/>
      <c r="T40" s="3"/>
      <c r="U40" s="3"/>
      <c r="V40" s="3"/>
      <c r="W40" s="36"/>
      <c r="X40" s="30"/>
      <c r="Y40" s="30" t="s">
        <v>35</v>
      </c>
      <c r="Z40" s="30"/>
      <c r="AA40" s="30"/>
      <c r="AB40" s="30"/>
    </row>
    <row r="41" spans="3:28" x14ac:dyDescent="0.25">
      <c r="C41" s="19"/>
      <c r="D41" s="3"/>
      <c r="E41" s="17"/>
      <c r="F41" s="3"/>
      <c r="M41" s="3"/>
      <c r="N41" s="3"/>
      <c r="O41" s="3"/>
      <c r="P41" s="3"/>
      <c r="Q41" s="3"/>
      <c r="R41" s="3"/>
      <c r="S41" s="3"/>
      <c r="T41" s="3"/>
      <c r="U41" s="3"/>
      <c r="V41" s="3"/>
      <c r="W41" s="36"/>
      <c r="X41" s="30"/>
      <c r="Y41" s="30" t="s">
        <v>36</v>
      </c>
      <c r="Z41" s="30"/>
      <c r="AA41" s="30"/>
      <c r="AB41" s="30"/>
    </row>
    <row r="42" spans="3:28" x14ac:dyDescent="0.25">
      <c r="C42" s="19"/>
      <c r="D42" s="3"/>
      <c r="E42" s="17"/>
      <c r="F42" s="3"/>
      <c r="M42" s="3"/>
      <c r="N42" s="3"/>
      <c r="O42" s="3"/>
      <c r="P42" s="3"/>
      <c r="Q42" s="3"/>
      <c r="R42" s="3"/>
      <c r="S42" s="3"/>
      <c r="T42" s="3"/>
      <c r="U42" s="3"/>
      <c r="V42" s="3"/>
      <c r="W42" s="36"/>
      <c r="X42" s="30"/>
      <c r="Y42" s="30"/>
      <c r="Z42" s="30"/>
      <c r="AA42" s="30"/>
      <c r="AB42" s="30"/>
    </row>
    <row r="43" spans="3:28" x14ac:dyDescent="0.25">
      <c r="C43" s="19"/>
      <c r="D43" s="3"/>
      <c r="E43" s="17"/>
      <c r="F43" s="3"/>
      <c r="M43" s="3"/>
      <c r="N43" s="3"/>
      <c r="O43" s="3"/>
      <c r="P43" s="3"/>
      <c r="Q43" s="3"/>
      <c r="R43" s="3"/>
      <c r="S43" s="3"/>
      <c r="T43" s="3"/>
      <c r="U43" s="3"/>
      <c r="V43" s="3"/>
      <c r="W43" s="36"/>
      <c r="X43" s="30"/>
      <c r="Y43" s="30"/>
      <c r="Z43" s="30"/>
      <c r="AA43" s="30"/>
      <c r="AB43" s="30"/>
    </row>
    <row r="44" spans="3:28" x14ac:dyDescent="0.25">
      <c r="C44" s="19"/>
      <c r="D44" s="3"/>
      <c r="E44" s="17"/>
      <c r="F44" s="3"/>
      <c r="M44" s="3"/>
      <c r="N44" s="3"/>
      <c r="O44" s="3"/>
      <c r="P44" s="3"/>
      <c r="Q44" s="3"/>
      <c r="R44" s="3"/>
      <c r="S44" s="3"/>
      <c r="T44" s="3"/>
      <c r="U44" s="3"/>
      <c r="V44" s="3"/>
      <c r="W44" s="36"/>
      <c r="X44" s="30"/>
      <c r="Y44" s="30"/>
      <c r="Z44" s="30"/>
      <c r="AA44" s="30"/>
      <c r="AB44" s="30"/>
    </row>
    <row r="45" spans="3:28" ht="15" x14ac:dyDescent="0.25">
      <c r="C45" s="19"/>
      <c r="D45" s="3"/>
      <c r="E45" s="17"/>
      <c r="F45" s="3"/>
      <c r="M45" s="3"/>
      <c r="N45" s="3"/>
      <c r="O45" s="3"/>
      <c r="P45" s="3"/>
      <c r="Q45" s="3"/>
      <c r="R45" s="3"/>
      <c r="S45" s="3"/>
      <c r="T45" s="3"/>
      <c r="U45" s="3"/>
      <c r="V45" s="3"/>
      <c r="W45" s="36"/>
      <c r="X45" s="58"/>
      <c r="Y45" s="30"/>
      <c r="Z45" s="30"/>
      <c r="AA45" s="30"/>
      <c r="AB45" s="30"/>
    </row>
    <row r="46" spans="3:28" x14ac:dyDescent="0.25">
      <c r="C46" s="19"/>
      <c r="D46" s="3"/>
      <c r="E46" s="17"/>
      <c r="F46" s="3"/>
      <c r="M46" s="3"/>
      <c r="N46" s="3"/>
      <c r="O46" s="3"/>
      <c r="P46" s="3"/>
      <c r="Q46" s="3"/>
      <c r="R46" s="3"/>
      <c r="S46" s="3"/>
      <c r="T46" s="3"/>
      <c r="U46" s="3"/>
      <c r="V46" s="3"/>
      <c r="W46" s="36"/>
      <c r="X46" s="30"/>
      <c r="Y46" s="30"/>
      <c r="Z46" s="30"/>
      <c r="AA46" s="30"/>
      <c r="AB46" s="30"/>
    </row>
    <row r="47" spans="3:28" x14ac:dyDescent="0.25">
      <c r="C47" s="19"/>
      <c r="D47" s="3"/>
      <c r="E47" s="17"/>
      <c r="F47" s="3"/>
      <c r="M47" s="3"/>
      <c r="N47" s="3"/>
      <c r="O47" s="3"/>
      <c r="P47" s="3"/>
      <c r="Q47" s="3"/>
      <c r="R47" s="3"/>
      <c r="S47" s="3"/>
      <c r="T47" s="3"/>
      <c r="U47" s="3"/>
      <c r="V47" s="3"/>
      <c r="W47" s="36"/>
      <c r="X47" s="30"/>
      <c r="Y47" s="30"/>
      <c r="Z47" s="30"/>
      <c r="AA47" s="30"/>
      <c r="AB47" s="30"/>
    </row>
    <row r="48" spans="3:28" x14ac:dyDescent="0.25">
      <c r="C48" s="19"/>
      <c r="D48" s="3"/>
      <c r="E48" s="17"/>
      <c r="F48" s="3"/>
      <c r="M48" s="3"/>
      <c r="N48" s="3"/>
      <c r="O48" s="3"/>
      <c r="P48" s="3"/>
      <c r="Q48" s="3"/>
      <c r="R48" s="3"/>
      <c r="S48" s="3"/>
      <c r="T48" s="3"/>
      <c r="U48" s="3"/>
      <c r="V48" s="3"/>
      <c r="W48" s="36"/>
      <c r="X48" s="30"/>
      <c r="Y48" s="30"/>
      <c r="Z48" s="30"/>
      <c r="AA48" s="30"/>
      <c r="AB48" s="30"/>
    </row>
    <row r="49" spans="2:28" x14ac:dyDescent="0.25">
      <c r="C49" s="19"/>
      <c r="D49" s="3"/>
      <c r="E49" s="17"/>
      <c r="F49" s="3"/>
      <c r="M49" s="3"/>
      <c r="N49" s="3"/>
      <c r="O49" s="3"/>
      <c r="P49" s="3"/>
      <c r="Q49" s="3"/>
      <c r="R49" s="3"/>
      <c r="S49" s="3"/>
      <c r="T49" s="3"/>
      <c r="U49" s="3"/>
      <c r="V49" s="3"/>
      <c r="W49" s="36"/>
      <c r="X49" s="30"/>
      <c r="Y49" s="30"/>
      <c r="Z49" s="30"/>
      <c r="AA49" s="30"/>
      <c r="AB49" s="30"/>
    </row>
    <row r="50" spans="2:28" x14ac:dyDescent="0.25">
      <c r="C50" s="19"/>
      <c r="D50" s="3"/>
      <c r="E50" s="17"/>
      <c r="F50" s="3"/>
      <c r="M50" s="3"/>
      <c r="N50" s="3"/>
      <c r="O50" s="3"/>
      <c r="P50" s="3"/>
      <c r="Q50" s="3"/>
      <c r="R50" s="3"/>
      <c r="S50" s="3"/>
      <c r="T50" s="3"/>
      <c r="U50" s="3"/>
      <c r="V50" s="3"/>
      <c r="W50" s="36"/>
      <c r="X50" s="30"/>
      <c r="Y50" s="30"/>
      <c r="Z50" s="30"/>
      <c r="AA50" s="30"/>
      <c r="AB50" s="30"/>
    </row>
    <row r="51" spans="2:28" x14ac:dyDescent="0.25">
      <c r="C51" s="19"/>
      <c r="D51" s="3"/>
      <c r="E51" s="17"/>
      <c r="F51" s="3"/>
      <c r="M51" s="3"/>
      <c r="N51" s="3"/>
      <c r="O51" s="3"/>
      <c r="P51" s="3"/>
      <c r="Q51" s="3"/>
      <c r="R51" s="3"/>
      <c r="S51" s="3"/>
      <c r="T51" s="3"/>
      <c r="U51" s="3"/>
      <c r="V51" s="3"/>
      <c r="W51" s="36"/>
      <c r="X51" s="30"/>
      <c r="Y51" s="30"/>
      <c r="Z51" s="30"/>
      <c r="AA51" s="30"/>
      <c r="AB51" s="30"/>
    </row>
    <row r="52" spans="2:28" x14ac:dyDescent="0.25">
      <c r="C52" s="19"/>
      <c r="D52" s="3"/>
      <c r="E52" s="17"/>
      <c r="F52" s="3"/>
      <c r="M52" s="3"/>
      <c r="N52" s="3"/>
      <c r="O52" s="3"/>
      <c r="P52" s="3"/>
      <c r="Q52" s="3"/>
      <c r="R52" s="3"/>
      <c r="S52" s="3"/>
      <c r="T52" s="3"/>
      <c r="U52" s="3"/>
      <c r="V52" s="3"/>
      <c r="W52" s="36"/>
      <c r="X52" s="30"/>
      <c r="Y52" s="30"/>
      <c r="Z52" s="30"/>
      <c r="AA52" s="30"/>
      <c r="AB52" s="30"/>
    </row>
    <row r="53" spans="2:28" x14ac:dyDescent="0.25">
      <c r="C53" s="19"/>
      <c r="D53" s="3"/>
      <c r="E53" s="17"/>
      <c r="F53" s="3"/>
      <c r="M53" s="3"/>
      <c r="N53" s="3"/>
      <c r="O53" s="3"/>
      <c r="P53" s="3"/>
      <c r="Q53" s="3"/>
      <c r="R53" s="3"/>
      <c r="S53" s="3"/>
      <c r="T53" s="3"/>
      <c r="U53" s="3"/>
      <c r="V53" s="3"/>
      <c r="W53" s="36"/>
      <c r="X53" s="30"/>
      <c r="Y53" s="30"/>
      <c r="Z53" s="30"/>
      <c r="AA53" s="30"/>
      <c r="AB53" s="30"/>
    </row>
    <row r="54" spans="2:28" x14ac:dyDescent="0.25">
      <c r="C54" s="19"/>
      <c r="D54" s="3"/>
      <c r="E54" s="17"/>
      <c r="F54" s="3"/>
      <c r="M54" s="3"/>
      <c r="N54" s="3"/>
      <c r="O54" s="3"/>
      <c r="P54" s="3"/>
      <c r="Q54" s="3"/>
      <c r="R54" s="3"/>
      <c r="S54" s="3"/>
      <c r="T54" s="3"/>
      <c r="U54" s="3"/>
      <c r="V54" s="3"/>
      <c r="W54" s="36"/>
      <c r="X54" s="30"/>
      <c r="Y54" s="30"/>
      <c r="Z54" s="30"/>
      <c r="AA54" s="30"/>
      <c r="AB54" s="30"/>
    </row>
    <row r="55" spans="2:28" ht="15.75" customHeight="1" x14ac:dyDescent="0.3">
      <c r="C55" s="19"/>
      <c r="D55" s="3"/>
      <c r="E55" s="17"/>
      <c r="F55" s="3"/>
      <c r="M55" s="3"/>
      <c r="N55" s="3"/>
      <c r="O55" s="3"/>
      <c r="P55" s="3"/>
      <c r="Q55" s="3"/>
      <c r="R55" s="3"/>
      <c r="S55" s="3"/>
      <c r="T55" s="3"/>
      <c r="U55" s="3"/>
      <c r="V55" s="3"/>
      <c r="W55" s="36"/>
      <c r="X55" s="30"/>
      <c r="Y55" s="30"/>
      <c r="Z55" s="40"/>
      <c r="AA55" s="30"/>
      <c r="AB55" s="30"/>
    </row>
    <row r="56" spans="2:28" ht="15.75" customHeight="1" x14ac:dyDescent="0.3">
      <c r="C56" s="19"/>
      <c r="D56" s="3"/>
      <c r="E56" s="17"/>
      <c r="F56" s="3"/>
      <c r="M56" s="3"/>
      <c r="N56" s="3"/>
      <c r="O56" s="3"/>
      <c r="P56" s="3"/>
      <c r="Q56" s="3"/>
      <c r="R56" s="3"/>
      <c r="S56" s="3"/>
      <c r="T56" s="3"/>
      <c r="U56" s="3"/>
      <c r="V56" s="3"/>
      <c r="W56" s="36"/>
      <c r="X56" s="30"/>
      <c r="Y56" s="30"/>
      <c r="Z56" s="59"/>
      <c r="AA56" s="30"/>
      <c r="AB56" s="30"/>
    </row>
    <row r="57" spans="2:28" ht="15.75" customHeight="1" x14ac:dyDescent="0.3">
      <c r="C57" s="19"/>
      <c r="D57" s="3"/>
      <c r="E57" s="17"/>
      <c r="F57" s="3"/>
      <c r="M57" s="3"/>
      <c r="N57" s="3"/>
      <c r="O57" s="3"/>
      <c r="P57" s="3"/>
      <c r="Q57" s="3"/>
      <c r="R57" s="3"/>
      <c r="S57" s="3"/>
      <c r="T57" s="3"/>
      <c r="U57" s="3"/>
      <c r="V57" s="3"/>
      <c r="W57" s="36"/>
      <c r="X57" s="30"/>
      <c r="Y57" s="30"/>
      <c r="Z57" s="59"/>
      <c r="AA57" s="30"/>
      <c r="AB57" s="30"/>
    </row>
    <row r="58" spans="2:28" ht="15.75" customHeight="1" x14ac:dyDescent="0.3">
      <c r="C58" s="19"/>
      <c r="D58" s="3"/>
      <c r="E58" s="17"/>
      <c r="F58" s="3"/>
      <c r="M58" s="3"/>
      <c r="N58" s="3"/>
      <c r="O58" s="3"/>
      <c r="P58" s="3"/>
      <c r="Q58" s="3"/>
      <c r="R58" s="3"/>
      <c r="S58" s="3"/>
      <c r="T58" s="3"/>
      <c r="U58" s="3"/>
      <c r="V58" s="3"/>
      <c r="W58" s="36"/>
      <c r="X58" s="30" t="s">
        <v>30</v>
      </c>
      <c r="Y58" s="30"/>
      <c r="Z58" s="60"/>
      <c r="AA58" s="30"/>
      <c r="AB58" s="30"/>
    </row>
    <row r="59" spans="2:28" ht="17.399999999999999" x14ac:dyDescent="0.3">
      <c r="C59" s="19"/>
      <c r="D59" s="3"/>
      <c r="E59" s="17"/>
      <c r="F59" s="3"/>
      <c r="M59" s="3"/>
      <c r="N59" s="3"/>
      <c r="O59" s="3"/>
      <c r="P59" s="3"/>
      <c r="Q59" s="3"/>
      <c r="R59" s="3"/>
      <c r="S59" s="3"/>
      <c r="T59" s="3"/>
      <c r="U59" s="3"/>
      <c r="V59" s="3"/>
      <c r="W59" s="36">
        <f>W60*E8</f>
        <v>56.182353418038971</v>
      </c>
      <c r="X59" s="37">
        <f>X39</f>
        <v>142</v>
      </c>
      <c r="Y59" s="30"/>
      <c r="Z59" s="30"/>
      <c r="AA59" s="30"/>
      <c r="AB59" s="30"/>
    </row>
    <row r="60" spans="2:28" ht="17.399999999999999" x14ac:dyDescent="0.3">
      <c r="C60" s="19"/>
      <c r="D60" s="3"/>
      <c r="E60" s="17"/>
      <c r="F60" s="3"/>
      <c r="M60" s="3"/>
      <c r="N60" s="42"/>
      <c r="O60" s="3"/>
      <c r="P60" s="3"/>
      <c r="Q60" s="3"/>
      <c r="R60" s="3"/>
      <c r="S60" s="3"/>
      <c r="T60" s="3">
        <f>MEDIAN(Table22342102345678[abs(lab)])</f>
        <v>0.98999974999999907</v>
      </c>
      <c r="U60" s="3"/>
      <c r="V60" s="3">
        <f>MEDIAN(Table22342102345678[abs(anl)])</f>
        <v>1.4451085702251056</v>
      </c>
      <c r="W60" s="2">
        <f>MEDIAN(Table22342102345678[Produits Lab x Anl])</f>
        <v>0.70227941772548719</v>
      </c>
      <c r="X60" s="37"/>
      <c r="Z60" s="60"/>
      <c r="AA60" s="30"/>
      <c r="AB60" s="30"/>
    </row>
    <row r="61" spans="2:28" ht="13.8" x14ac:dyDescent="0.25">
      <c r="D61" s="43" t="s">
        <v>1</v>
      </c>
      <c r="E61" s="1"/>
      <c r="F61" s="43" t="s">
        <v>2</v>
      </c>
      <c r="G61" s="4"/>
      <c r="M61" s="3"/>
      <c r="W61" s="22"/>
      <c r="Y61" s="22"/>
    </row>
    <row r="62" spans="2:28" s="22" customFormat="1" ht="42.75" customHeight="1" x14ac:dyDescent="0.25">
      <c r="B62" s="20" t="s">
        <v>0</v>
      </c>
      <c r="C62" t="s">
        <v>67</v>
      </c>
      <c r="D62" t="s">
        <v>65</v>
      </c>
      <c r="E62" t="s">
        <v>66</v>
      </c>
      <c r="F62" s="82" t="s">
        <v>174</v>
      </c>
      <c r="G62" s="20" t="s">
        <v>48</v>
      </c>
      <c r="H62" s="20" t="s">
        <v>3</v>
      </c>
      <c r="I62" s="20" t="s">
        <v>23</v>
      </c>
      <c r="J62" s="20" t="s">
        <v>4</v>
      </c>
      <c r="K62" s="20" t="s">
        <v>51</v>
      </c>
      <c r="L62" s="20" t="s">
        <v>52</v>
      </c>
      <c r="M62" s="21" t="s">
        <v>5</v>
      </c>
      <c r="N62" s="21" t="s">
        <v>32</v>
      </c>
      <c r="O62" s="21" t="s">
        <v>31</v>
      </c>
      <c r="P62" s="21" t="s">
        <v>33</v>
      </c>
      <c r="Q62" s="21" t="s">
        <v>50</v>
      </c>
      <c r="R62" s="21" t="s">
        <v>49</v>
      </c>
      <c r="S62" s="21" t="s">
        <v>58</v>
      </c>
      <c r="T62" s="21" t="s">
        <v>60</v>
      </c>
      <c r="U62" s="64" t="s">
        <v>59</v>
      </c>
      <c r="V62" s="64" t="s">
        <v>61</v>
      </c>
      <c r="W62" s="21" t="s">
        <v>62</v>
      </c>
      <c r="X62" s="22" t="str">
        <f>D62</f>
        <v>REF</v>
      </c>
      <c r="Z62" s="2"/>
      <c r="AA62" s="22" t="str">
        <f>F62</f>
        <v xml:space="preserve">Florent </v>
      </c>
      <c r="AB62" s="2"/>
    </row>
    <row r="63" spans="2:28" x14ac:dyDescent="0.25">
      <c r="B63" s="46">
        <f ca="1">VALUE((Table22342102345678[[#This Row],[Column3]]-62))</f>
        <v>1</v>
      </c>
      <c r="C63" t="s">
        <v>69</v>
      </c>
      <c r="D63">
        <v>9.9399996000000002</v>
      </c>
      <c r="E63"/>
      <c r="F63" s="89">
        <v>9.0625896713696008</v>
      </c>
      <c r="G63" s="29">
        <f>Table22342102345678[[#This Row],[Florent ]]-Table22342102345678[[#This Row],[REF]]</f>
        <v>-0.87740992863039935</v>
      </c>
      <c r="H63" s="29">
        <f>Table22342102345678[[#This Row],[X-Y]]-E$20</f>
        <v>-0.58504751000685573</v>
      </c>
      <c r="I63" s="29">
        <f>Table22342102345678[[#This Row],[Florent ]]-E$20</f>
        <v>9.3549520899931444</v>
      </c>
      <c r="J63" s="29">
        <f>Table22342102345678[[#This Row],[Florent ]]*E$21+E$22</f>
        <v>10.429320366934288</v>
      </c>
      <c r="K63" s="56">
        <f>Table22342102345678[[#This Row],[Yest]]-Table22342102345678[[#This Row],[REF]]</f>
        <v>0.48932076693428783</v>
      </c>
      <c r="L63" s="56">
        <f>ABS(Table22342102345678[[#This Row],[RESyx]])</f>
        <v>0.48932076693428783</v>
      </c>
      <c r="M63" s="29">
        <f>Table22342102345678[[#This Row],[Florent ]]*E$25+E$26</f>
        <v>10.04408973409825</v>
      </c>
      <c r="N63" s="29">
        <f>Table22342102345678[[#This Row],[X-Y]]^2</f>
        <v>0.76984818285920253</v>
      </c>
      <c r="O63" s="57">
        <f>Table22342102345678[[#This Row],[yest_rect]]-Table22342102345678[[#This Row],[REF]]</f>
        <v>0.10409013409825008</v>
      </c>
      <c r="P63" s="57">
        <f>Table22342102345678[[#This Row],[dif rec]]^2</f>
        <v>1.0834756016591684E-2</v>
      </c>
      <c r="Q63" s="57">
        <f>ABS(Table22342102345678[[#This Row],[diff-bias]])</f>
        <v>0.58504751000685573</v>
      </c>
      <c r="R63" s="57">
        <f ca="1">CELL("row",Table22342102345678[[#This Row],[Position]])</f>
        <v>63</v>
      </c>
      <c r="S63" s="4">
        <f>Table22342102345678[[#This Row],[REF]]-D$13</f>
        <v>-1.0700006500000008</v>
      </c>
      <c r="T63" s="4">
        <f>ABS(Table22342102345678[[#This Row],[lab-med]])</f>
        <v>1.0700006500000008</v>
      </c>
      <c r="U63" s="4">
        <f>Table22342102345678[[#This Row],[Florent ]]-F$13</f>
        <v>-1.5855785228790999</v>
      </c>
      <c r="V63" s="4">
        <f>ABS(Table22342102345678[[#This Row],[anl-med]])</f>
        <v>1.5855785228790999</v>
      </c>
      <c r="W63" s="4">
        <f>Table22342102345678[[#This Row],[lab-med]]*Table22342102345678[[#This Row],[anl-med]]</f>
        <v>1.6965700501066781</v>
      </c>
    </row>
    <row r="64" spans="2:28" x14ac:dyDescent="0.25">
      <c r="B64" s="46">
        <f ca="1">VALUE((Table22342102345678[[#This Row],[Column3]]-62))</f>
        <v>2</v>
      </c>
      <c r="C64" t="s">
        <v>70</v>
      </c>
      <c r="D64">
        <v>10.0200005</v>
      </c>
      <c r="E64"/>
      <c r="F64" s="89">
        <v>10.5420423201424</v>
      </c>
      <c r="G64" s="29">
        <f>Table22342102345678[[#This Row],[Florent ]]-Table22342102345678[[#This Row],[REF]]</f>
        <v>0.52204182014239997</v>
      </c>
      <c r="H64" s="29">
        <f>Table22342102345678[[#This Row],[X-Y]]-E$20</f>
        <v>0.81440423876594359</v>
      </c>
      <c r="I64" s="29">
        <f>Table22342102345678[[#This Row],[Florent ]]-E$20</f>
        <v>10.834404738765944</v>
      </c>
      <c r="J64" s="29">
        <f>Table22342102345678[[#This Row],[Florent ]]*E$21+E$22</f>
        <v>11.002854743466692</v>
      </c>
      <c r="K64" s="56">
        <f>Table22342102345678[[#This Row],[Yest]]-Table22342102345678[[#This Row],[REF]]</f>
        <v>0.98285424346669181</v>
      </c>
      <c r="L64" s="56">
        <f>ABS(Table22342102345678[[#This Row],[RESyx]])</f>
        <v>0.98285424346669181</v>
      </c>
      <c r="M64" s="29">
        <f>Table22342102345678[[#This Row],[Florent ]]*E$25+E$26</f>
        <v>10.942454503339668</v>
      </c>
      <c r="N64" s="29">
        <f>Table22342102345678[[#This Row],[X-Y]]^2</f>
        <v>0.27252766197758987</v>
      </c>
      <c r="O64" s="57">
        <f>Table22342102345678[[#This Row],[yest_rect]]-Table22342102345678[[#This Row],[REF]]</f>
        <v>0.9224540033396682</v>
      </c>
      <c r="P64" s="57">
        <f>Table22342102345678[[#This Row],[dif rec]]^2</f>
        <v>0.85092138827738062</v>
      </c>
      <c r="Q64" s="57">
        <f>ABS(Table22342102345678[[#This Row],[diff-bias]])</f>
        <v>0.81440423876594359</v>
      </c>
      <c r="R64" s="57">
        <f ca="1">CELL("row",Table22342102345678[[#This Row],[Position]])</f>
        <v>64</v>
      </c>
      <c r="S64" s="4">
        <f>Table22342102345678[[#This Row],[REF]]-D$13</f>
        <v>-0.98999975000000084</v>
      </c>
      <c r="T64" s="4">
        <f>ABS(Table22342102345678[[#This Row],[lab-med]])</f>
        <v>0.98999975000000084</v>
      </c>
      <c r="U64" s="4">
        <f>Table22342102345678[[#This Row],[Florent ]]-F$13</f>
        <v>-0.1061258741063007</v>
      </c>
      <c r="V64" s="4">
        <f>ABS(Table22342102345678[[#This Row],[anl-med]])</f>
        <v>0.1061258741063007</v>
      </c>
      <c r="W64" s="4">
        <f>Table22342102345678[[#This Row],[lab-med]]*Table22342102345678[[#This Row],[anl-med]]</f>
        <v>0.10506458883376925</v>
      </c>
    </row>
    <row r="65" spans="2:23" x14ac:dyDescent="0.25">
      <c r="B65" s="46">
        <f ca="1">VALUE((Table22342102345678[[#This Row],[Column3]]-62))</f>
        <v>3</v>
      </c>
      <c r="C65" t="s">
        <v>71</v>
      </c>
      <c r="D65">
        <v>10</v>
      </c>
      <c r="E65"/>
      <c r="F65" s="89">
        <v>13.6895891712623</v>
      </c>
      <c r="G65" s="29">
        <f>Table22342102345678[[#This Row],[Florent ]]-Table22342102345678[[#This Row],[REF]]</f>
        <v>3.6895891712623001</v>
      </c>
      <c r="H65" s="29">
        <f>Table22342102345678[[#This Row],[X-Y]]-E$20</f>
        <v>3.9819515898858437</v>
      </c>
      <c r="I65" s="29">
        <f>Table22342102345678[[#This Row],[Florent ]]-E$20</f>
        <v>13.981951589885844</v>
      </c>
      <c r="J65" s="29">
        <f>Table22342102345678[[#This Row],[Florent ]]*E$21+E$22</f>
        <v>12.223053526010366</v>
      </c>
      <c r="K65" s="56">
        <f>Table22342102345678[[#This Row],[Yest]]-Table22342102345678[[#This Row],[REF]]</f>
        <v>2.2230535260103661</v>
      </c>
      <c r="L65" s="56">
        <f>ABS(Table22342102345678[[#This Row],[RESyx]])</f>
        <v>2.2230535260103661</v>
      </c>
      <c r="M65" s="29">
        <f>Table22342102345678[[#This Row],[Florent ]]*E$25+E$26</f>
        <v>12.853732436383622</v>
      </c>
      <c r="N65" s="29">
        <f>Table22342102345678[[#This Row],[X-Y]]^2</f>
        <v>13.613068252696026</v>
      </c>
      <c r="O65" s="57">
        <f>Table22342102345678[[#This Row],[yest_rect]]-Table22342102345678[[#This Row],[REF]]</f>
        <v>2.8537324363836216</v>
      </c>
      <c r="P65" s="57">
        <f>Table22342102345678[[#This Row],[dif rec]]^2</f>
        <v>8.1437888184680016</v>
      </c>
      <c r="Q65" s="57">
        <f>ABS(Table22342102345678[[#This Row],[diff-bias]])</f>
        <v>3.9819515898858437</v>
      </c>
      <c r="R65" s="57">
        <f ca="1">CELL("row",Table22342102345678[[#This Row],[Position]])</f>
        <v>65</v>
      </c>
      <c r="S65" s="4">
        <f>Table22342102345678[[#This Row],[REF]]-D$13</f>
        <v>-1.0100002500000009</v>
      </c>
      <c r="T65" s="4">
        <f>ABS(Table22342102345678[[#This Row],[lab-med]])</f>
        <v>1.0100002500000009</v>
      </c>
      <c r="U65" s="4">
        <f>Table22342102345678[[#This Row],[Florent ]]-F$13</f>
        <v>3.0414209770135994</v>
      </c>
      <c r="V65" s="4">
        <f>ABS(Table22342102345678[[#This Row],[anl-med]])</f>
        <v>3.0414209770135994</v>
      </c>
      <c r="W65" s="4">
        <f>Table22342102345678[[#This Row],[lab-med]]*Table22342102345678[[#This Row],[anl-med]]</f>
        <v>-3.0718359471389824</v>
      </c>
    </row>
    <row r="66" spans="2:23" x14ac:dyDescent="0.25">
      <c r="B66" s="46">
        <f ca="1">VALUE((Table22342102345678[[#This Row],[Column3]]-62))</f>
        <v>4</v>
      </c>
      <c r="C66" t="s">
        <v>72</v>
      </c>
      <c r="D66">
        <v>10.5</v>
      </c>
      <c r="E66"/>
      <c r="F66" s="89">
        <v>10.8685303111828</v>
      </c>
      <c r="G66" s="29">
        <f>Table22342102345678[[#This Row],[Florent ]]-Table22342102345678[[#This Row],[REF]]</f>
        <v>0.36853031118280022</v>
      </c>
      <c r="H66" s="29">
        <f>Table22342102345678[[#This Row],[X-Y]]-E$20</f>
        <v>0.66089272980634384</v>
      </c>
      <c r="I66" s="29">
        <f>Table22342102345678[[#This Row],[Florent ]]-E$20</f>
        <v>11.160892729806344</v>
      </c>
      <c r="J66" s="29">
        <f>Table22342102345678[[#This Row],[Florent ]]*E$21+E$22</f>
        <v>11.129423232523777</v>
      </c>
      <c r="K66" s="56">
        <f>Table22342102345678[[#This Row],[Yest]]-Table22342102345678[[#This Row],[REF]]</f>
        <v>0.62942323252377719</v>
      </c>
      <c r="L66" s="56">
        <f>ABS(Table22342102345678[[#This Row],[RESyx]])</f>
        <v>0.62942323252377719</v>
      </c>
      <c r="M66" s="29">
        <f>Table22342102345678[[#This Row],[Florent ]]*E$25+E$26</f>
        <v>11.140707086127227</v>
      </c>
      <c r="N66" s="29">
        <f>Table22342102345678[[#This Row],[X-Y]]^2</f>
        <v>0.13581459026049156</v>
      </c>
      <c r="O66" s="57">
        <f>Table22342102345678[[#This Row],[yest_rect]]-Table22342102345678[[#This Row],[REF]]</f>
        <v>0.64070708612722704</v>
      </c>
      <c r="P66" s="57">
        <f>Table22342102345678[[#This Row],[dif rec]]^2</f>
        <v>0.41050557021364192</v>
      </c>
      <c r="Q66" s="57">
        <f>ABS(Table22342102345678[[#This Row],[diff-bias]])</f>
        <v>0.66089272980634384</v>
      </c>
      <c r="R66" s="57">
        <f ca="1">CELL("row",Table22342102345678[[#This Row],[Position]])</f>
        <v>66</v>
      </c>
      <c r="S66" s="4">
        <f>Table22342102345678[[#This Row],[REF]]-D$13</f>
        <v>-0.51000025000000093</v>
      </c>
      <c r="T66" s="4">
        <f>ABS(Table22342102345678[[#This Row],[lab-med]])</f>
        <v>0.51000025000000093</v>
      </c>
      <c r="U66" s="4">
        <f>Table22342102345678[[#This Row],[Florent ]]-F$13</f>
        <v>0.22036211693409946</v>
      </c>
      <c r="V66" s="4">
        <f>ABS(Table22342102345678[[#This Row],[anl-med]])</f>
        <v>0.22036211693409946</v>
      </c>
      <c r="W66" s="4">
        <f>Table22342102345678[[#This Row],[lab-med]]*Table22342102345678[[#This Row],[anl-med]]</f>
        <v>-0.11238473472692016</v>
      </c>
    </row>
    <row r="67" spans="2:23" x14ac:dyDescent="0.25">
      <c r="B67" s="46">
        <f ca="1">VALUE((Table22342102345678[[#This Row],[Column3]]-62))</f>
        <v>5</v>
      </c>
      <c r="C67" t="s">
        <v>73</v>
      </c>
      <c r="D67">
        <v>10.779999699999999</v>
      </c>
      <c r="E67"/>
      <c r="F67" s="89">
        <v>10.41710269855</v>
      </c>
      <c r="G67" s="29">
        <f>Table22342102345678[[#This Row],[Florent ]]-Table22342102345678[[#This Row],[REF]]</f>
        <v>-0.36289700144999948</v>
      </c>
      <c r="H67" s="29">
        <f>Table22342102345678[[#This Row],[X-Y]]-E$20</f>
        <v>-7.0534582826455861E-2</v>
      </c>
      <c r="I67" s="29">
        <f>Table22342102345678[[#This Row],[Florent ]]-E$20</f>
        <v>10.709465117173544</v>
      </c>
      <c r="J67" s="29">
        <f>Table22342102345678[[#This Row],[Florent ]]*E$21+E$22</f>
        <v>10.954419825300416</v>
      </c>
      <c r="K67" s="56">
        <f>Table22342102345678[[#This Row],[Yest]]-Table22342102345678[[#This Row],[REF]]</f>
        <v>0.17442012530041673</v>
      </c>
      <c r="L67" s="56">
        <f>ABS(Table22342102345678[[#This Row],[RESyx]])</f>
        <v>0.17442012530041673</v>
      </c>
      <c r="M67" s="29">
        <f>Table22342102345678[[#This Row],[Florent ]]*E$25+E$26</f>
        <v>10.866587692452498</v>
      </c>
      <c r="N67" s="29">
        <f>Table22342102345678[[#This Row],[X-Y]]^2</f>
        <v>0.13169423366140093</v>
      </c>
      <c r="O67" s="57">
        <f>Table22342102345678[[#This Row],[yest_rect]]-Table22342102345678[[#This Row],[REF]]</f>
        <v>8.6587992452498597E-2</v>
      </c>
      <c r="P67" s="57">
        <f>Table22342102345678[[#This Row],[dif rec]]^2</f>
        <v>7.4974804369539539E-3</v>
      </c>
      <c r="Q67" s="57">
        <f>ABS(Table22342102345678[[#This Row],[diff-bias]])</f>
        <v>7.0534582826455861E-2</v>
      </c>
      <c r="R67" s="57">
        <f ca="1">CELL("row",Table22342102345678[[#This Row],[Position]])</f>
        <v>67</v>
      </c>
      <c r="S67" s="4">
        <f>Table22342102345678[[#This Row],[REF]]-D$13</f>
        <v>-0.23000055000000152</v>
      </c>
      <c r="T67" s="4">
        <f>ABS(Table22342102345678[[#This Row],[lab-med]])</f>
        <v>0.23000055000000152</v>
      </c>
      <c r="U67" s="4">
        <f>Table22342102345678[[#This Row],[Florent ]]-F$13</f>
        <v>-0.23106549569870083</v>
      </c>
      <c r="V67" s="4">
        <f>ABS(Table22342102345678[[#This Row],[anl-med]])</f>
        <v>0.23106549569870083</v>
      </c>
      <c r="W67" s="4">
        <f>Table22342102345678[[#This Row],[lab-med]]*Table22342102345678[[#This Row],[anl-med]]</f>
        <v>5.3145191096724179E-2</v>
      </c>
    </row>
    <row r="68" spans="2:23" x14ac:dyDescent="0.25">
      <c r="B68" s="46">
        <f ca="1">VALUE((Table22342102345678[[#This Row],[Column3]]-62))</f>
        <v>6</v>
      </c>
      <c r="C68" t="s">
        <v>74</v>
      </c>
      <c r="D68">
        <v>10.449999800000001</v>
      </c>
      <c r="E68"/>
      <c r="F68" s="89">
        <v>9.8602687616274807</v>
      </c>
      <c r="G68" s="29">
        <f>Table22342102345678[[#This Row],[Florent ]]-Table22342102345678[[#This Row],[REF]]</f>
        <v>-0.58973103837251983</v>
      </c>
      <c r="H68" s="29">
        <f>Table22342102345678[[#This Row],[X-Y]]-E$20</f>
        <v>-0.29736861974897622</v>
      </c>
      <c r="I68" s="29">
        <f>Table22342102345678[[#This Row],[Florent ]]-E$20</f>
        <v>10.152631180251024</v>
      </c>
      <c r="J68" s="29">
        <f>Table22342102345678[[#This Row],[Florent ]]*E$21+E$22</f>
        <v>10.738553906840739</v>
      </c>
      <c r="K68" s="56">
        <f>Table22342102345678[[#This Row],[Yest]]-Table22342102345678[[#This Row],[REF]]</f>
        <v>0.28855410684073846</v>
      </c>
      <c r="L68" s="56">
        <f>ABS(Table22342102345678[[#This Row],[RESyx]])</f>
        <v>0.28855410684073846</v>
      </c>
      <c r="M68" s="29">
        <f>Table22342102345678[[#This Row],[Florent ]]*E$25+E$26</f>
        <v>10.528462648934454</v>
      </c>
      <c r="N68" s="29">
        <f>Table22342102345678[[#This Row],[X-Y]]^2</f>
        <v>0.34778269761993047</v>
      </c>
      <c r="O68" s="57">
        <f>Table22342102345678[[#This Row],[yest_rect]]-Table22342102345678[[#This Row],[REF]]</f>
        <v>7.8462848934453433E-2</v>
      </c>
      <c r="P68" s="57">
        <f>Table22342102345678[[#This Row],[dif rec]]^2</f>
        <v>6.1564186629108602E-3</v>
      </c>
      <c r="Q68" s="57">
        <f>ABS(Table22342102345678[[#This Row],[diff-bias]])</f>
        <v>0.29736861974897622</v>
      </c>
      <c r="R68" s="57">
        <f ca="1">CELL("row",Table22342102345678[[#This Row],[Position]])</f>
        <v>68</v>
      </c>
      <c r="S68" s="4">
        <f>Table22342102345678[[#This Row],[REF]]-D$13</f>
        <v>-0.56000045000000043</v>
      </c>
      <c r="T68" s="4">
        <f>ABS(Table22342102345678[[#This Row],[lab-med]])</f>
        <v>0.56000045000000043</v>
      </c>
      <c r="U68" s="4">
        <f>Table22342102345678[[#This Row],[Florent ]]-F$13</f>
        <v>-0.78789943262122009</v>
      </c>
      <c r="V68" s="4">
        <f>ABS(Table22342102345678[[#This Row],[anl-med]])</f>
        <v>0.78789943262122009</v>
      </c>
      <c r="W68" s="4">
        <f>Table22342102345678[[#This Row],[lab-med]]*Table22342102345678[[#This Row],[anl-med]]</f>
        <v>0.44122403682262828</v>
      </c>
    </row>
    <row r="69" spans="2:23" x14ac:dyDescent="0.25">
      <c r="B69" s="46">
        <f ca="1">VALUE((Table22342102345678[[#This Row],[Column3]]-62))</f>
        <v>7</v>
      </c>
      <c r="C69" t="s">
        <v>75</v>
      </c>
      <c r="D69">
        <v>11.0200005</v>
      </c>
      <c r="E69"/>
      <c r="F69" s="89">
        <v>9.9977053838128995</v>
      </c>
      <c r="G69" s="29">
        <f>Table22342102345678[[#This Row],[Florent ]]-Table22342102345678[[#This Row],[REF]]</f>
        <v>-1.0222951161871006</v>
      </c>
      <c r="H69" s="29">
        <f>Table22342102345678[[#This Row],[X-Y]]-E$20</f>
        <v>-0.72993269756355694</v>
      </c>
      <c r="I69" s="29">
        <f>Table22342102345678[[#This Row],[Florent ]]-E$20</f>
        <v>10.290067802436443</v>
      </c>
      <c r="J69" s="29">
        <f>Table22342102345678[[#This Row],[Florent ]]*E$21+E$22</f>
        <v>10.791833494722933</v>
      </c>
      <c r="K69" s="56">
        <f>Table22342102345678[[#This Row],[Yest]]-Table22342102345678[[#This Row],[REF]]</f>
        <v>-0.22816700527706679</v>
      </c>
      <c r="L69" s="56">
        <f>ABS(Table22342102345678[[#This Row],[RESyx]])</f>
        <v>0.22816700527706679</v>
      </c>
      <c r="M69" s="29">
        <f>Table22342102345678[[#This Row],[Florent ]]*E$25+E$26</f>
        <v>10.611917985931782</v>
      </c>
      <c r="N69" s="29">
        <f>Table22342102345678[[#This Row],[X-Y]]^2</f>
        <v>1.0450873045799975</v>
      </c>
      <c r="O69" s="57">
        <f>Table22342102345678[[#This Row],[yest_rect]]-Table22342102345678[[#This Row],[REF]]</f>
        <v>-0.40808251406821761</v>
      </c>
      <c r="P69" s="57">
        <f>Table22342102345678[[#This Row],[dif rec]]^2</f>
        <v>0.16653133828823702</v>
      </c>
      <c r="Q69" s="57">
        <f>ABS(Table22342102345678[[#This Row],[diff-bias]])</f>
        <v>0.72993269756355694</v>
      </c>
      <c r="R69" s="57">
        <f ca="1">CELL("row",Table22342102345678[[#This Row],[Position]])</f>
        <v>69</v>
      </c>
      <c r="S69" s="4">
        <f>Table22342102345678[[#This Row],[REF]]-D$13</f>
        <v>1.0000249999999156E-2</v>
      </c>
      <c r="T69" s="4">
        <f>ABS(Table22342102345678[[#This Row],[lab-med]])</f>
        <v>1.0000249999999156E-2</v>
      </c>
      <c r="U69" s="4">
        <f>Table22342102345678[[#This Row],[Florent ]]-F$13</f>
        <v>-0.65046281043580123</v>
      </c>
      <c r="V69" s="4">
        <f>ABS(Table22342102345678[[#This Row],[anl-med]])</f>
        <v>0.65046281043580123</v>
      </c>
      <c r="W69" s="4">
        <f>Table22342102345678[[#This Row],[lab-med]]*Table22342102345678[[#This Row],[anl-med]]</f>
        <v>-6.5047907200600722E-3</v>
      </c>
    </row>
    <row r="70" spans="2:23" x14ac:dyDescent="0.25">
      <c r="B70" s="46">
        <f ca="1">VALUE((Table22342102345678[[#This Row],[Column3]]-62))</f>
        <v>8</v>
      </c>
      <c r="C70" t="s">
        <v>76</v>
      </c>
      <c r="D70">
        <v>10.800000199999999</v>
      </c>
      <c r="E70"/>
      <c r="F70" s="89">
        <v>10.2867588295834</v>
      </c>
      <c r="G70" s="29">
        <f>Table22342102345678[[#This Row],[Florent ]]-Table22342102345678[[#This Row],[REF]]</f>
        <v>-0.51324137041659945</v>
      </c>
      <c r="H70" s="29">
        <f>Table22342102345678[[#This Row],[X-Y]]-E$20</f>
        <v>-0.22087895179305583</v>
      </c>
      <c r="I70" s="29">
        <f>Table22342102345678[[#This Row],[Florent ]]-E$20</f>
        <v>10.579121248206944</v>
      </c>
      <c r="J70" s="29">
        <f>Table22342102345678[[#This Row],[Florent ]]*E$21+E$22</f>
        <v>10.903889860935156</v>
      </c>
      <c r="K70" s="56">
        <f>Table22342102345678[[#This Row],[Yest]]-Table22342102345678[[#This Row],[REF]]</f>
        <v>0.10388966093515606</v>
      </c>
      <c r="L70" s="56">
        <f>ABS(Table22342102345678[[#This Row],[RESyx]])</f>
        <v>0.10388966093515606</v>
      </c>
      <c r="M70" s="29">
        <f>Table22342102345678[[#This Row],[Florent ]]*E$25+E$26</f>
        <v>10.787439272350413</v>
      </c>
      <c r="N70" s="29">
        <f>Table22342102345678[[#This Row],[X-Y]]^2</f>
        <v>0.26341670430710906</v>
      </c>
      <c r="O70" s="57">
        <f>Table22342102345678[[#This Row],[yest_rect]]-Table22342102345678[[#This Row],[REF]]</f>
        <v>-1.2560927649586162E-2</v>
      </c>
      <c r="P70" s="57">
        <f>Table22342102345678[[#This Row],[dif rec]]^2</f>
        <v>1.5777690341813814E-4</v>
      </c>
      <c r="Q70" s="57">
        <f>ABS(Table22342102345678[[#This Row],[diff-bias]])</f>
        <v>0.22087895179305583</v>
      </c>
      <c r="R70" s="57">
        <f ca="1">CELL("row",Table22342102345678[[#This Row],[Position]])</f>
        <v>70</v>
      </c>
      <c r="S70" s="4">
        <f>Table22342102345678[[#This Row],[REF]]-D$13</f>
        <v>-0.21000005000000144</v>
      </c>
      <c r="T70" s="4">
        <f>ABS(Table22342102345678[[#This Row],[lab-med]])</f>
        <v>0.21000005000000144</v>
      </c>
      <c r="U70" s="4">
        <f>Table22342102345678[[#This Row],[Florent ]]-F$13</f>
        <v>-0.36140936466530071</v>
      </c>
      <c r="V70" s="4">
        <f>ABS(Table22342102345678[[#This Row],[anl-med]])</f>
        <v>0.36140936466530071</v>
      </c>
      <c r="W70" s="4">
        <f>Table22342102345678[[#This Row],[lab-med]]*Table22342102345678[[#This Row],[anl-med]]</f>
        <v>7.5895984650181908E-2</v>
      </c>
    </row>
    <row r="71" spans="2:23" x14ac:dyDescent="0.25">
      <c r="B71" s="46">
        <f ca="1">VALUE((Table22342102345678[[#This Row],[Column3]]-62))</f>
        <v>9</v>
      </c>
      <c r="C71" t="s">
        <v>77</v>
      </c>
      <c r="D71">
        <v>10.8800001</v>
      </c>
      <c r="E71"/>
      <c r="F71" s="89">
        <v>10.9237035324185</v>
      </c>
      <c r="G71" s="29">
        <f>Table22342102345678[[#This Row],[Florent ]]-Table22342102345678[[#This Row],[REF]]</f>
        <v>4.3703432418499943E-2</v>
      </c>
      <c r="H71" s="29">
        <f>Table22342102345678[[#This Row],[X-Y]]-E$20</f>
        <v>0.33606585104204356</v>
      </c>
      <c r="I71" s="29">
        <f>Table22342102345678[[#This Row],[Florent ]]-E$20</f>
        <v>11.216065951042044</v>
      </c>
      <c r="J71" s="29">
        <f>Table22342102345678[[#This Row],[Florent ]]*E$21+E$22</f>
        <v>11.150812047548676</v>
      </c>
      <c r="K71" s="56">
        <f>Table22342102345678[[#This Row],[Yest]]-Table22342102345678[[#This Row],[REF]]</f>
        <v>0.2708119475486761</v>
      </c>
      <c r="L71" s="56">
        <f>ABS(Table22342102345678[[#This Row],[RESyx]])</f>
        <v>0.2708119475486761</v>
      </c>
      <c r="M71" s="29">
        <f>Table22342102345678[[#This Row],[Florent ]]*E$25+E$26</f>
        <v>11.174209799583334</v>
      </c>
      <c r="N71" s="29">
        <f>Table22342102345678[[#This Row],[X-Y]]^2</f>
        <v>1.9099900051583918E-3</v>
      </c>
      <c r="O71" s="57">
        <f>Table22342102345678[[#This Row],[yest_rect]]-Table22342102345678[[#This Row],[REF]]</f>
        <v>0.29420969958333387</v>
      </c>
      <c r="P71" s="57">
        <f>Table22342102345678[[#This Row],[dif rec]]^2</f>
        <v>8.655934732891557E-2</v>
      </c>
      <c r="Q71" s="57">
        <f>ABS(Table22342102345678[[#This Row],[diff-bias]])</f>
        <v>0.33606585104204356</v>
      </c>
      <c r="R71" s="57">
        <f ca="1">CELL("row",Table22342102345678[[#This Row],[Position]])</f>
        <v>71</v>
      </c>
      <c r="S71" s="4">
        <f>Table22342102345678[[#This Row],[REF]]-D$13</f>
        <v>-0.13000015000000076</v>
      </c>
      <c r="T71" s="4">
        <f>ABS(Table22342102345678[[#This Row],[lab-med]])</f>
        <v>0.13000015000000076</v>
      </c>
      <c r="U71" s="4">
        <f>Table22342102345678[[#This Row],[Florent ]]-F$13</f>
        <v>0.27553533816979936</v>
      </c>
      <c r="V71" s="4">
        <f>ABS(Table22342102345678[[#This Row],[anl-med]])</f>
        <v>0.27553533816979936</v>
      </c>
      <c r="W71" s="4">
        <f>Table22342102345678[[#This Row],[lab-med]]*Table22342102345678[[#This Row],[anl-med]]</f>
        <v>-3.5819635292374849E-2</v>
      </c>
    </row>
    <row r="72" spans="2:23" x14ac:dyDescent="0.25">
      <c r="B72" s="46">
        <f ca="1">VALUE((Table22342102345678[[#This Row],[Column3]]-62))</f>
        <v>10</v>
      </c>
      <c r="C72" t="s">
        <v>78</v>
      </c>
      <c r="D72">
        <v>11.0600004</v>
      </c>
      <c r="E72"/>
      <c r="F72" s="89">
        <v>8.9305767205936597</v>
      </c>
      <c r="G72" s="29">
        <f>Table22342102345678[[#This Row],[Florent ]]-Table22342102345678[[#This Row],[REF]]</f>
        <v>-2.1294236794063401</v>
      </c>
      <c r="H72" s="29">
        <f>Table22342102345678[[#This Row],[X-Y]]-E$20</f>
        <v>-1.8370612607827965</v>
      </c>
      <c r="I72" s="29">
        <f>Table22342102345678[[#This Row],[Florent ]]-E$20</f>
        <v>9.2229391392172033</v>
      </c>
      <c r="J72" s="29">
        <f>Table22342102345678[[#This Row],[Florent ]]*E$21+E$22</f>
        <v>10.378143355300772</v>
      </c>
      <c r="K72" s="56">
        <f>Table22342102345678[[#This Row],[Yest]]-Table22342102345678[[#This Row],[REF]]</f>
        <v>-0.68185704469922825</v>
      </c>
      <c r="L72" s="56">
        <f>ABS(Table22342102345678[[#This Row],[RESyx]])</f>
        <v>0.68185704469922825</v>
      </c>
      <c r="M72" s="29">
        <f>Table22342102345678[[#This Row],[Florent ]]*E$25+E$26</f>
        <v>9.9639278011299446</v>
      </c>
      <c r="N72" s="29">
        <f>Table22342102345678[[#This Row],[X-Y]]^2</f>
        <v>4.5344452064164358</v>
      </c>
      <c r="O72" s="57">
        <f>Table22342102345678[[#This Row],[yest_rect]]-Table22342102345678[[#This Row],[REF]]</f>
        <v>-1.0960725988700553</v>
      </c>
      <c r="P72" s="57">
        <f>Table22342102345678[[#This Row],[dif rec]]^2</f>
        <v>1.2013751419937571</v>
      </c>
      <c r="Q72" s="57">
        <f>ABS(Table22342102345678[[#This Row],[diff-bias]])</f>
        <v>1.8370612607827965</v>
      </c>
      <c r="R72" s="57">
        <f ca="1">CELL("row",Table22342102345678[[#This Row],[Position]])</f>
        <v>72</v>
      </c>
      <c r="S72" s="4">
        <f>Table22342102345678[[#This Row],[REF]]-D$13</f>
        <v>5.0000149999998911E-2</v>
      </c>
      <c r="T72" s="4">
        <f>ABS(Table22342102345678[[#This Row],[lab-med]])</f>
        <v>5.0000149999998911E-2</v>
      </c>
      <c r="U72" s="4">
        <f>Table22342102345678[[#This Row],[Florent ]]-F$13</f>
        <v>-1.7175914736550411</v>
      </c>
      <c r="V72" s="4">
        <f>ABS(Table22342102345678[[#This Row],[anl-med]])</f>
        <v>1.7175914736550411</v>
      </c>
      <c r="W72" s="4">
        <f>Table22342102345678[[#This Row],[lab-med]]*Table22342102345678[[#This Row],[anl-med]]</f>
        <v>-8.5879831321471228E-2</v>
      </c>
    </row>
    <row r="73" spans="2:23" x14ac:dyDescent="0.25">
      <c r="B73" s="46">
        <f ca="1">VALUE((Table22342102345678[[#This Row],[Column3]]-62))</f>
        <v>11</v>
      </c>
      <c r="C73" t="s">
        <v>79</v>
      </c>
      <c r="D73">
        <v>11.0900002</v>
      </c>
      <c r="E73"/>
      <c r="F73" s="89">
        <v>8.5351220596706607</v>
      </c>
      <c r="G73" s="29">
        <f>Table22342102345678[[#This Row],[Florent ]]-Table22342102345678[[#This Row],[REF]]</f>
        <v>-2.5548781403293397</v>
      </c>
      <c r="H73" s="29">
        <f>Table22342102345678[[#This Row],[X-Y]]-E$20</f>
        <v>-2.2625157217057961</v>
      </c>
      <c r="I73" s="29">
        <f>Table22342102345678[[#This Row],[Florent ]]-E$20</f>
        <v>8.8274844782942044</v>
      </c>
      <c r="J73" s="29">
        <f>Table22342102345678[[#This Row],[Florent ]]*E$21+E$22</f>
        <v>10.224838791895218</v>
      </c>
      <c r="K73" s="56">
        <f>Table22342102345678[[#This Row],[Yest]]-Table22342102345678[[#This Row],[REF]]</f>
        <v>-0.86516140810478248</v>
      </c>
      <c r="L73" s="56">
        <f>ABS(Table22342102345678[[#This Row],[RESyx]])</f>
        <v>0.86516140810478248</v>
      </c>
      <c r="M73" s="29">
        <f>Table22342102345678[[#This Row],[Florent ]]*E$25+E$26</f>
        <v>9.7237967394834488</v>
      </c>
      <c r="N73" s="29">
        <f>Table22342102345678[[#This Row],[X-Y]]^2</f>
        <v>6.5274023119327049</v>
      </c>
      <c r="O73" s="57">
        <f>Table22342102345678[[#This Row],[yest_rect]]-Table22342102345678[[#This Row],[REF]]</f>
        <v>-1.3662034605165516</v>
      </c>
      <c r="P73" s="57">
        <f>Table22342102345678[[#This Row],[dif rec]]^2</f>
        <v>1.8665118955274007</v>
      </c>
      <c r="Q73" s="57">
        <f>ABS(Table22342102345678[[#This Row],[diff-bias]])</f>
        <v>2.2625157217057961</v>
      </c>
      <c r="R73" s="57">
        <f ca="1">CELL("row",Table22342102345678[[#This Row],[Position]])</f>
        <v>73</v>
      </c>
      <c r="S73" s="4">
        <f>Table22342102345678[[#This Row],[REF]]-D$13</f>
        <v>7.9999949999999487E-2</v>
      </c>
      <c r="T73" s="4">
        <f>ABS(Table22342102345678[[#This Row],[lab-med]])</f>
        <v>7.9999949999999487E-2</v>
      </c>
      <c r="U73" s="4">
        <f>Table22342102345678[[#This Row],[Florent ]]-F$13</f>
        <v>-2.11304613457804</v>
      </c>
      <c r="V73" s="4">
        <f>ABS(Table22342102345678[[#This Row],[anl-med]])</f>
        <v>2.11304613457804</v>
      </c>
      <c r="W73" s="4">
        <f>Table22342102345678[[#This Row],[lab-med]]*Table22342102345678[[#This Row],[anl-med]]</f>
        <v>-0.16904358511393539</v>
      </c>
    </row>
    <row r="74" spans="2:23" x14ac:dyDescent="0.25">
      <c r="B74" s="46">
        <f ca="1">VALUE((Table22342102345678[[#This Row],[Column3]]-62))</f>
        <v>12</v>
      </c>
      <c r="C74" t="s">
        <v>80</v>
      </c>
      <c r="D74">
        <v>11.6199999</v>
      </c>
      <c r="E74"/>
      <c r="F74" s="89">
        <v>8.9314769856467002</v>
      </c>
      <c r="G74" s="29">
        <f>Table22342102345678[[#This Row],[Florent ]]-Table22342102345678[[#This Row],[REF]]</f>
        <v>-2.6885229143532996</v>
      </c>
      <c r="H74" s="29">
        <f>Table22342102345678[[#This Row],[X-Y]]-E$20</f>
        <v>-2.396160495729756</v>
      </c>
      <c r="I74" s="29">
        <f>Table22342102345678[[#This Row],[Florent ]]-E$20</f>
        <v>9.2238394042702438</v>
      </c>
      <c r="J74" s="29">
        <f>Table22342102345678[[#This Row],[Florent ]]*E$21+E$22</f>
        <v>10.378492357991963</v>
      </c>
      <c r="K74" s="56">
        <f>Table22342102345678[[#This Row],[Yest]]-Table22342102345678[[#This Row],[REF]]</f>
        <v>-1.241507542008037</v>
      </c>
      <c r="L74" s="56">
        <f>ABS(Table22342102345678[[#This Row],[RESyx]])</f>
        <v>1.241507542008037</v>
      </c>
      <c r="M74" s="29">
        <f>Table22342102345678[[#This Row],[Florent ]]*E$25+E$26</f>
        <v>9.9644744670927263</v>
      </c>
      <c r="N74" s="29">
        <f>Table22342102345678[[#This Row],[X-Y]]^2</f>
        <v>7.2281554610027596</v>
      </c>
      <c r="O74" s="57">
        <f>Table22342102345678[[#This Row],[yest_rect]]-Table22342102345678[[#This Row],[REF]]</f>
        <v>-1.6555254329072735</v>
      </c>
      <c r="P74" s="57">
        <f>Table22342102345678[[#This Row],[dif rec]]^2</f>
        <v>2.7407644590028153</v>
      </c>
      <c r="Q74" s="57">
        <f>ABS(Table22342102345678[[#This Row],[diff-bias]])</f>
        <v>2.396160495729756</v>
      </c>
      <c r="R74" s="57">
        <f ca="1">CELL("row",Table22342102345678[[#This Row],[Position]])</f>
        <v>74</v>
      </c>
      <c r="S74" s="4">
        <f>Table22342102345678[[#This Row],[REF]]-D$13</f>
        <v>0.60999964999999889</v>
      </c>
      <c r="T74" s="4">
        <f>ABS(Table22342102345678[[#This Row],[lab-med]])</f>
        <v>0.60999964999999889</v>
      </c>
      <c r="U74" s="4">
        <f>Table22342102345678[[#This Row],[Florent ]]-F$13</f>
        <v>-1.7166912086020005</v>
      </c>
      <c r="V74" s="4">
        <f>ABS(Table22342102345678[[#This Row],[anl-med]])</f>
        <v>1.7166912086020005</v>
      </c>
      <c r="W74" s="4">
        <f>Table22342102345678[[#This Row],[lab-med]]*Table22342102345678[[#This Row],[anl-med]]</f>
        <v>-1.0471810364052954</v>
      </c>
    </row>
    <row r="75" spans="2:23" x14ac:dyDescent="0.25">
      <c r="B75" s="46">
        <f ca="1">VALUE((Table22342102345678[[#This Row],[Column3]]-62))</f>
        <v>13</v>
      </c>
      <c r="C75" t="s">
        <v>81</v>
      </c>
      <c r="D75">
        <v>9.9600000000000009</v>
      </c>
      <c r="E75"/>
      <c r="F75" s="89">
        <v>7.7655570885551697</v>
      </c>
      <c r="G75" s="29">
        <f>Table22342102345678[[#This Row],[Florent ]]-Table22342102345678[[#This Row],[REF]]</f>
        <v>-2.1944429114448312</v>
      </c>
      <c r="H75" s="29">
        <f>Table22342102345678[[#This Row],[X-Y]]-E$20</f>
        <v>-1.9020804928212875</v>
      </c>
      <c r="I75" s="29">
        <f>Table22342102345678[[#This Row],[Florent ]]-E$20</f>
        <v>8.0579195071787133</v>
      </c>
      <c r="J75" s="29">
        <f>Table22342102345678[[#This Row],[Florent ]]*E$21+E$22</f>
        <v>9.9265041569367973</v>
      </c>
      <c r="K75" s="56">
        <f>Table22342102345678[[#This Row],[Yest]]-Table22342102345678[[#This Row],[REF]]</f>
        <v>-3.3495843063203523E-2</v>
      </c>
      <c r="L75" s="56">
        <f>ABS(Table22342102345678[[#This Row],[RESyx]])</f>
        <v>3.3495843063203523E-2</v>
      </c>
      <c r="M75" s="29">
        <f>Table22342102345678[[#This Row],[Florent ]]*E$25+E$26</f>
        <v>9.2564954992133259</v>
      </c>
      <c r="N75" s="29">
        <f>Table22342102345678[[#This Row],[X-Y]]^2</f>
        <v>4.8155796915904672</v>
      </c>
      <c r="O75" s="57">
        <f>Table22342102345678[[#This Row],[yest_rect]]-Table22342102345678[[#This Row],[REF]]</f>
        <v>-0.70350450078667492</v>
      </c>
      <c r="P75" s="57">
        <f>Table22342102345678[[#This Row],[dif rec]]^2</f>
        <v>0.49491858262710869</v>
      </c>
      <c r="Q75" s="57">
        <f>ABS(Table22342102345678[[#This Row],[diff-bias]])</f>
        <v>1.9020804928212875</v>
      </c>
      <c r="R75" s="57">
        <f ca="1">CELL("row",Table22342102345678[[#This Row],[Position]])</f>
        <v>75</v>
      </c>
      <c r="S75" s="4">
        <f>Table22342102345678[[#This Row],[REF]]-D$13</f>
        <v>-1.0500002500000001</v>
      </c>
      <c r="T75" s="4">
        <f>ABS(Table22342102345678[[#This Row],[lab-med]])</f>
        <v>1.0500002500000001</v>
      </c>
      <c r="U75" s="4">
        <f>Table22342102345678[[#This Row],[Florent ]]-F$13</f>
        <v>-2.8826111056935311</v>
      </c>
      <c r="V75" s="4">
        <f>ABS(Table22342102345678[[#This Row],[anl-med]])</f>
        <v>2.8826111056935311</v>
      </c>
      <c r="W75" s="4">
        <f>Table22342102345678[[#This Row],[lab-med]]*Table22342102345678[[#This Row],[anl-med]]</f>
        <v>3.0267423816309842</v>
      </c>
    </row>
    <row r="76" spans="2:23" x14ac:dyDescent="0.25">
      <c r="B76" s="46">
        <f ca="1">VALUE((Table22342102345678[[#This Row],[Column3]]-62))</f>
        <v>14</v>
      </c>
      <c r="C76" t="s">
        <v>82</v>
      </c>
      <c r="D76">
        <v>9.5</v>
      </c>
      <c r="E76"/>
      <c r="F76" s="89">
        <v>8.0892916795619296</v>
      </c>
      <c r="G76" s="29">
        <f>Table22342102345678[[#This Row],[Florent ]]-Table22342102345678[[#This Row],[REF]]</f>
        <v>-1.4107083204380704</v>
      </c>
      <c r="H76" s="29">
        <f>Table22342102345678[[#This Row],[X-Y]]-E$20</f>
        <v>-1.1183459018145268</v>
      </c>
      <c r="I76" s="29">
        <f>Table22342102345678[[#This Row],[Florent ]]-E$20</f>
        <v>8.3816540981854732</v>
      </c>
      <c r="J76" s="29">
        <f>Table22342102345678[[#This Row],[Florent ]]*E$21+E$22</f>
        <v>10.052005244767523</v>
      </c>
      <c r="K76" s="56">
        <f>Table22342102345678[[#This Row],[Yest]]-Table22342102345678[[#This Row],[REF]]</f>
        <v>0.552005244767523</v>
      </c>
      <c r="L76" s="56">
        <f>ABS(Table22342102345678[[#This Row],[RESyx]])</f>
        <v>0.552005244767523</v>
      </c>
      <c r="M76" s="29">
        <f>Table22342102345678[[#This Row],[Florent ]]*E$25+E$26</f>
        <v>9.4530761409705981</v>
      </c>
      <c r="N76" s="29">
        <f>Table22342102345678[[#This Row],[X-Y]]^2</f>
        <v>1.9900979653532014</v>
      </c>
      <c r="O76" s="57">
        <f>Table22342102345678[[#This Row],[yest_rect]]-Table22342102345678[[#This Row],[REF]]</f>
        <v>-4.6923859029401882E-2</v>
      </c>
      <c r="P76" s="57">
        <f>Table22342102345678[[#This Row],[dif rec]]^2</f>
        <v>2.2018485462111806E-3</v>
      </c>
      <c r="Q76" s="57">
        <f>ABS(Table22342102345678[[#This Row],[diff-bias]])</f>
        <v>1.1183459018145268</v>
      </c>
      <c r="R76" s="57">
        <f ca="1">CELL("row",Table22342102345678[[#This Row],[Position]])</f>
        <v>76</v>
      </c>
      <c r="S76" s="4">
        <f>Table22342102345678[[#This Row],[REF]]-D$13</f>
        <v>-1.5100002500000009</v>
      </c>
      <c r="T76" s="4">
        <f>ABS(Table22342102345678[[#This Row],[lab-med]])</f>
        <v>1.5100002500000009</v>
      </c>
      <c r="U76" s="4">
        <f>Table22342102345678[[#This Row],[Florent ]]-F$13</f>
        <v>-2.5588765146867711</v>
      </c>
      <c r="V76" s="4">
        <f>ABS(Table22342102345678[[#This Row],[anl-med]])</f>
        <v>2.5588765146867711</v>
      </c>
      <c r="W76" s="4">
        <f>Table22342102345678[[#This Row],[lab-med]]*Table22342102345678[[#This Row],[anl-med]]</f>
        <v>3.8639041768961553</v>
      </c>
    </row>
    <row r="77" spans="2:23" x14ac:dyDescent="0.25">
      <c r="B77" s="46">
        <f ca="1">VALUE((Table22342102345678[[#This Row],[Column3]]-62))</f>
        <v>15</v>
      </c>
      <c r="C77" t="s">
        <v>83</v>
      </c>
      <c r="D77">
        <v>9.9899997999999997</v>
      </c>
      <c r="E77"/>
      <c r="F77" s="89">
        <v>11.257513230185101</v>
      </c>
      <c r="G77" s="29">
        <f>Table22342102345678[[#This Row],[Florent ]]-Table22342102345678[[#This Row],[REF]]</f>
        <v>1.267513430185101</v>
      </c>
      <c r="H77" s="29">
        <f>Table22342102345678[[#This Row],[X-Y]]-E$20</f>
        <v>1.5598758488086446</v>
      </c>
      <c r="I77" s="29">
        <f>Table22342102345678[[#This Row],[Florent ]]-E$20</f>
        <v>11.549875648808644</v>
      </c>
      <c r="J77" s="29">
        <f>Table22342102345678[[#This Row],[Florent ]]*E$21+E$22</f>
        <v>11.280218917750197</v>
      </c>
      <c r="K77" s="56">
        <f>Table22342102345678[[#This Row],[Yest]]-Table22342102345678[[#This Row],[REF]]</f>
        <v>1.2902191177501976</v>
      </c>
      <c r="L77" s="56">
        <f>ABS(Table22342102345678[[#This Row],[RESyx]])</f>
        <v>1.2902191177501976</v>
      </c>
      <c r="M77" s="29">
        <f>Table22342102345678[[#This Row],[Florent ]]*E$25+E$26</f>
        <v>11.376908326199507</v>
      </c>
      <c r="N77" s="29">
        <f>Table22342102345678[[#This Row],[X-Y]]^2</f>
        <v>1.6065902956996008</v>
      </c>
      <c r="O77" s="57">
        <f>Table22342102345678[[#This Row],[yest_rect]]-Table22342102345678[[#This Row],[REF]]</f>
        <v>1.3869085261995071</v>
      </c>
      <c r="P77" s="57">
        <f>Table22342102345678[[#This Row],[dif rec]]^2</f>
        <v>1.9235152600448888</v>
      </c>
      <c r="Q77" s="57">
        <f>ABS(Table22342102345678[[#This Row],[diff-bias]])</f>
        <v>1.5598758488086446</v>
      </c>
      <c r="R77" s="57">
        <f ca="1">CELL("row",Table22342102345678[[#This Row],[Position]])</f>
        <v>77</v>
      </c>
      <c r="S77" s="4">
        <f>Table22342102345678[[#This Row],[REF]]-D$13</f>
        <v>-1.0200004500000013</v>
      </c>
      <c r="T77" s="4">
        <f>ABS(Table22342102345678[[#This Row],[lab-med]])</f>
        <v>1.0200004500000013</v>
      </c>
      <c r="U77" s="4">
        <f>Table22342102345678[[#This Row],[Florent ]]-F$13</f>
        <v>0.60934503593639988</v>
      </c>
      <c r="V77" s="4">
        <f>ABS(Table22342102345678[[#This Row],[anl-med]])</f>
        <v>0.60934503593639988</v>
      </c>
      <c r="W77" s="4">
        <f>Table22342102345678[[#This Row],[lab-med]]*Table22342102345678[[#This Row],[anl-med]]</f>
        <v>-0.62153221086039478</v>
      </c>
    </row>
    <row r="78" spans="2:23" x14ac:dyDescent="0.25">
      <c r="B78" s="46">
        <f ca="1">VALUE((Table22342102345678[[#This Row],[Column3]]-62))</f>
        <v>16</v>
      </c>
      <c r="C78" t="s">
        <v>84</v>
      </c>
      <c r="D78">
        <v>10.0100002</v>
      </c>
      <c r="E78"/>
      <c r="F78" s="89">
        <v>10.202233605609001</v>
      </c>
      <c r="G78" s="29">
        <f>Table22342102345678[[#This Row],[Florent ]]-Table22342102345678[[#This Row],[REF]]</f>
        <v>0.19223340560900049</v>
      </c>
      <c r="H78" s="29">
        <f>Table22342102345678[[#This Row],[X-Y]]-E$20</f>
        <v>0.4845958242325441</v>
      </c>
      <c r="I78" s="29">
        <f>Table22342102345678[[#This Row],[Florent ]]-E$20</f>
        <v>10.494596024232544</v>
      </c>
      <c r="J78" s="29">
        <f>Table22342102345678[[#This Row],[Florent ]]*E$21+E$22</f>
        <v>10.871122254838649</v>
      </c>
      <c r="K78" s="56">
        <f>Table22342102345678[[#This Row],[Yest]]-Table22342102345678[[#This Row],[REF]]</f>
        <v>0.86112205483864912</v>
      </c>
      <c r="L78" s="56">
        <f>ABS(Table22342102345678[[#This Row],[RESyx]])</f>
        <v>0.86112205483864912</v>
      </c>
      <c r="M78" s="29">
        <f>Table22342102345678[[#This Row],[Florent ]]*E$25+E$26</f>
        <v>10.736113207001971</v>
      </c>
      <c r="N78" s="29">
        <f>Table22342102345678[[#This Row],[X-Y]]^2</f>
        <v>3.6953682232034497E-2</v>
      </c>
      <c r="O78" s="57">
        <f>Table22342102345678[[#This Row],[yest_rect]]-Table22342102345678[[#This Row],[REF]]</f>
        <v>0.72611300700197035</v>
      </c>
      <c r="P78" s="57">
        <f>Table22342102345678[[#This Row],[dif rec]]^2</f>
        <v>0.52724009893744339</v>
      </c>
      <c r="Q78" s="57">
        <f>ABS(Table22342102345678[[#This Row],[diff-bias]])</f>
        <v>0.4845958242325441</v>
      </c>
      <c r="R78" s="57">
        <f ca="1">CELL("row",Table22342102345678[[#This Row],[Position]])</f>
        <v>78</v>
      </c>
      <c r="S78" s="4">
        <f>Table22342102345678[[#This Row],[REF]]-D$13</f>
        <v>-1.0000000500000006</v>
      </c>
      <c r="T78" s="4">
        <f>ABS(Table22342102345678[[#This Row],[lab-med]])</f>
        <v>1.0000000500000006</v>
      </c>
      <c r="U78" s="4">
        <f>Table22342102345678[[#This Row],[Florent ]]-F$13</f>
        <v>-0.44593458863969992</v>
      </c>
      <c r="V78" s="4">
        <f>ABS(Table22342102345678[[#This Row],[anl-med]])</f>
        <v>0.44593458863969992</v>
      </c>
      <c r="W78" s="4">
        <f>Table22342102345678[[#This Row],[lab-med]]*Table22342102345678[[#This Row],[anl-med]]</f>
        <v>0.44593461093642961</v>
      </c>
    </row>
    <row r="79" spans="2:23" x14ac:dyDescent="0.25">
      <c r="B79" s="46">
        <f ca="1">VALUE((Table22342102345678[[#This Row],[Column3]]-62))</f>
        <v>17</v>
      </c>
      <c r="C79" t="s">
        <v>85</v>
      </c>
      <c r="D79">
        <v>9.8299999000000007</v>
      </c>
      <c r="E79"/>
      <c r="F79" s="89">
        <v>7.7379180220965296</v>
      </c>
      <c r="G79" s="29">
        <f>Table22342102345678[[#This Row],[Florent ]]-Table22342102345678[[#This Row],[REF]]</f>
        <v>-2.0920818779034711</v>
      </c>
      <c r="H79" s="29">
        <f>Table22342102345678[[#This Row],[X-Y]]-E$20</f>
        <v>-1.7997194592799275</v>
      </c>
      <c r="I79" s="29">
        <f>Table22342102345678[[#This Row],[Florent ]]-E$20</f>
        <v>8.0302804407200732</v>
      </c>
      <c r="J79" s="29">
        <f>Table22342102345678[[#This Row],[Florent ]]*E$21+E$22</f>
        <v>9.9157894140469569</v>
      </c>
      <c r="K79" s="56">
        <f>Table22342102345678[[#This Row],[Yest]]-Table22342102345678[[#This Row],[REF]]</f>
        <v>8.5789514046956228E-2</v>
      </c>
      <c r="L79" s="56">
        <f>ABS(Table22342102345678[[#This Row],[RESyx]])</f>
        <v>8.5789514046956228E-2</v>
      </c>
      <c r="M79" s="29">
        <f>Table22342102345678[[#This Row],[Florent ]]*E$25+E$26</f>
        <v>9.2397122898407531</v>
      </c>
      <c r="N79" s="29">
        <f>Table22342102345678[[#This Row],[X-Y]]^2</f>
        <v>4.3768065838521144</v>
      </c>
      <c r="O79" s="57">
        <f>Table22342102345678[[#This Row],[yest_rect]]-Table22342102345678[[#This Row],[REF]]</f>
        <v>-0.59028761015924758</v>
      </c>
      <c r="P79" s="57">
        <f>Table22342102345678[[#This Row],[dif rec]]^2</f>
        <v>0.34843946270751586</v>
      </c>
      <c r="Q79" s="57">
        <f>ABS(Table22342102345678[[#This Row],[diff-bias]])</f>
        <v>1.7997194592799275</v>
      </c>
      <c r="R79" s="57">
        <f ca="1">CELL("row",Table22342102345678[[#This Row],[Position]])</f>
        <v>79</v>
      </c>
      <c r="S79" s="4">
        <f>Table22342102345678[[#This Row],[REF]]-D$13</f>
        <v>-1.1800003500000003</v>
      </c>
      <c r="T79" s="4">
        <f>ABS(Table22342102345678[[#This Row],[lab-med]])</f>
        <v>1.1800003500000003</v>
      </c>
      <c r="U79" s="4">
        <f>Table22342102345678[[#This Row],[Florent ]]-F$13</f>
        <v>-2.9102501721521712</v>
      </c>
      <c r="V79" s="4">
        <f>ABS(Table22342102345678[[#This Row],[anl-med]])</f>
        <v>2.9102501721521712</v>
      </c>
      <c r="W79" s="4">
        <f>Table22342102345678[[#This Row],[lab-med]]*Table22342102345678[[#This Row],[anl-med]]</f>
        <v>3.4340962217271231</v>
      </c>
    </row>
    <row r="80" spans="2:23" x14ac:dyDescent="0.25">
      <c r="B80" s="46">
        <f ca="1">VALUE((Table22342102345678[[#This Row],[Column3]]-62))</f>
        <v>18</v>
      </c>
      <c r="C80" t="s">
        <v>86</v>
      </c>
      <c r="D80">
        <v>9.5699997000000003</v>
      </c>
      <c r="E80"/>
      <c r="F80" s="89">
        <v>7.2312106955643003</v>
      </c>
      <c r="G80" s="29">
        <f>Table22342102345678[[#This Row],[Florent ]]-Table22342102345678[[#This Row],[REF]]</f>
        <v>-2.3387890044357</v>
      </c>
      <c r="H80" s="29">
        <f>Table22342102345678[[#This Row],[X-Y]]-E$20</f>
        <v>-2.0464265858121564</v>
      </c>
      <c r="I80" s="29">
        <f>Table22342102345678[[#This Row],[Florent ]]-E$20</f>
        <v>7.5235731141878439</v>
      </c>
      <c r="J80" s="29">
        <f>Table22342102345678[[#This Row],[Florent ]]*E$21+E$22</f>
        <v>9.7193559081499448</v>
      </c>
      <c r="K80" s="56">
        <f>Table22342102345678[[#This Row],[Yest]]-Table22342102345678[[#This Row],[REF]]</f>
        <v>0.14935620814994444</v>
      </c>
      <c r="L80" s="56">
        <f>ABS(Table22342102345678[[#This Row],[RESyx]])</f>
        <v>0.14935620814994444</v>
      </c>
      <c r="M80" s="29">
        <f>Table22342102345678[[#This Row],[Florent ]]*E$25+E$26</f>
        <v>8.932025517404572</v>
      </c>
      <c r="N80" s="29">
        <f>Table22342102345678[[#This Row],[X-Y]]^2</f>
        <v>5.469934007269333</v>
      </c>
      <c r="O80" s="57">
        <f>Table22342102345678[[#This Row],[yest_rect]]-Table22342102345678[[#This Row],[REF]]</f>
        <v>-0.63797418259542837</v>
      </c>
      <c r="P80" s="57">
        <f>Table22342102345678[[#This Row],[dif rec]]^2</f>
        <v>0.40701105765830498</v>
      </c>
      <c r="Q80" s="57">
        <f>ABS(Table22342102345678[[#This Row],[diff-bias]])</f>
        <v>2.0464265858121564</v>
      </c>
      <c r="R80" s="57">
        <f ca="1">CELL("row",Table22342102345678[[#This Row],[Position]])</f>
        <v>80</v>
      </c>
      <c r="S80" s="4">
        <f>Table22342102345678[[#This Row],[REF]]-D$13</f>
        <v>-1.4400005500000006</v>
      </c>
      <c r="T80" s="4">
        <f>ABS(Table22342102345678[[#This Row],[lab-med]])</f>
        <v>1.4400005500000006</v>
      </c>
      <c r="U80" s="4">
        <f>Table22342102345678[[#This Row],[Florent ]]-F$13</f>
        <v>-3.4169574986844005</v>
      </c>
      <c r="V80" s="4">
        <f>ABS(Table22342102345678[[#This Row],[anl-med]])</f>
        <v>3.4169574986844005</v>
      </c>
      <c r="W80" s="4">
        <f>Table22342102345678[[#This Row],[lab-med]]*Table22342102345678[[#This Row],[anl-med]]</f>
        <v>4.9204206774321628</v>
      </c>
    </row>
    <row r="81" spans="2:23" x14ac:dyDescent="0.25">
      <c r="B81" s="46">
        <f ca="1">VALUE((Table22342102345678[[#This Row],[Column3]]-62))</f>
        <v>19</v>
      </c>
      <c r="C81" t="s">
        <v>87</v>
      </c>
      <c r="D81">
        <v>9.9200000999999993</v>
      </c>
      <c r="E81"/>
      <c r="F81" s="89">
        <v>10.4091173763025</v>
      </c>
      <c r="G81" s="29">
        <f>Table22342102345678[[#This Row],[Florent ]]-Table22342102345678[[#This Row],[REF]]</f>
        <v>0.48911727630250112</v>
      </c>
      <c r="H81" s="29">
        <f>Table22342102345678[[#This Row],[X-Y]]-E$20</f>
        <v>0.78147969492604474</v>
      </c>
      <c r="I81" s="29">
        <f>Table22342102345678[[#This Row],[Florent ]]-E$20</f>
        <v>10.701479794926044</v>
      </c>
      <c r="J81" s="29">
        <f>Table22342102345678[[#This Row],[Florent ]]*E$21+E$22</f>
        <v>10.951324182583882</v>
      </c>
      <c r="K81" s="56">
        <f>Table22342102345678[[#This Row],[Yest]]-Table22342102345678[[#This Row],[REF]]</f>
        <v>1.0313240825838825</v>
      </c>
      <c r="L81" s="56">
        <f>ABS(Table22342102345678[[#This Row],[RESyx]])</f>
        <v>1.0313240825838825</v>
      </c>
      <c r="M81" s="29">
        <f>Table22342102345678[[#This Row],[Florent ]]*E$25+E$26</f>
        <v>10.861738782834376</v>
      </c>
      <c r="N81" s="29">
        <f>Table22342102345678[[#This Row],[X-Y]]^2</f>
        <v>0.23923570997757723</v>
      </c>
      <c r="O81" s="57">
        <f>Table22342102345678[[#This Row],[yest_rect]]-Table22342102345678[[#This Row],[REF]]</f>
        <v>0.94173868283437656</v>
      </c>
      <c r="P81" s="57">
        <f>Table22342102345678[[#This Row],[dif rec]]^2</f>
        <v>0.8868717467466265</v>
      </c>
      <c r="Q81" s="57">
        <f>ABS(Table22342102345678[[#This Row],[diff-bias]])</f>
        <v>0.78147969492604474</v>
      </c>
      <c r="R81" s="57">
        <f ca="1">CELL("row",Table22342102345678[[#This Row],[Position]])</f>
        <v>81</v>
      </c>
      <c r="S81" s="4">
        <f>Table22342102345678[[#This Row],[REF]]-D$13</f>
        <v>-1.0900001500000016</v>
      </c>
      <c r="T81" s="4">
        <f>ABS(Table22342102345678[[#This Row],[lab-med]])</f>
        <v>1.0900001500000016</v>
      </c>
      <c r="U81" s="4">
        <f>Table22342102345678[[#This Row],[Florent ]]-F$13</f>
        <v>-0.23905081794620031</v>
      </c>
      <c r="V81" s="4">
        <f>ABS(Table22342102345678[[#This Row],[anl-med]])</f>
        <v>0.23905081794620031</v>
      </c>
      <c r="W81" s="4">
        <f>Table22342102345678[[#This Row],[lab-med]]*Table22342102345678[[#This Row],[anl-med]]</f>
        <v>0.26056542741898142</v>
      </c>
    </row>
    <row r="82" spans="2:23" x14ac:dyDescent="0.25">
      <c r="B82" s="46">
        <f ca="1">VALUE((Table22342102345678[[#This Row],[Column3]]-62))</f>
        <v>20</v>
      </c>
      <c r="C82" t="s">
        <v>88</v>
      </c>
      <c r="D82">
        <v>11.670000099999999</v>
      </c>
      <c r="E82"/>
      <c r="F82" s="89">
        <v>12.948008854337001</v>
      </c>
      <c r="G82" s="29">
        <f>Table22342102345678[[#This Row],[Florent ]]-Table22342102345678[[#This Row],[REF]]</f>
        <v>1.2780087543370016</v>
      </c>
      <c r="H82" s="29">
        <f>Table22342102345678[[#This Row],[X-Y]]-E$20</f>
        <v>1.5703711729605452</v>
      </c>
      <c r="I82" s="29">
        <f>Table22342102345678[[#This Row],[Florent ]]-E$20</f>
        <v>13.240371272960545</v>
      </c>
      <c r="J82" s="29">
        <f>Table22342102345678[[#This Row],[Florent ]]*E$21+E$22</f>
        <v>11.935567606762287</v>
      </c>
      <c r="K82" s="56">
        <f>Table22342102345678[[#This Row],[Yest]]-Table22342102345678[[#This Row],[REF]]</f>
        <v>0.26556750676228802</v>
      </c>
      <c r="L82" s="56">
        <f>ABS(Table22342102345678[[#This Row],[RESyx]])</f>
        <v>0.26556750676228802</v>
      </c>
      <c r="M82" s="29">
        <f>Table22342102345678[[#This Row],[Florent ]]*E$25+E$26</f>
        <v>12.403424255962172</v>
      </c>
      <c r="N82" s="29">
        <f>Table22342102345678[[#This Row],[X-Y]]^2</f>
        <v>1.6333063761620144</v>
      </c>
      <c r="O82" s="57">
        <f>Table22342102345678[[#This Row],[yest_rect]]-Table22342102345678[[#This Row],[REF]]</f>
        <v>0.73342415596217236</v>
      </c>
      <c r="P82" s="57">
        <f>Table22342102345678[[#This Row],[dif rec]]^2</f>
        <v>0.53791099254882491</v>
      </c>
      <c r="Q82" s="57">
        <f>ABS(Table22342102345678[[#This Row],[diff-bias]])</f>
        <v>1.5703711729605452</v>
      </c>
      <c r="R82" s="57">
        <f ca="1">CELL("row",Table22342102345678[[#This Row],[Position]])</f>
        <v>82</v>
      </c>
      <c r="S82" s="4">
        <f>Table22342102345678[[#This Row],[REF]]-D$13</f>
        <v>0.65999984999999839</v>
      </c>
      <c r="T82" s="4">
        <f>ABS(Table22342102345678[[#This Row],[lab-med]])</f>
        <v>0.65999984999999839</v>
      </c>
      <c r="U82" s="4">
        <f>Table22342102345678[[#This Row],[Florent ]]-F$13</f>
        <v>2.2998406600883001</v>
      </c>
      <c r="V82" s="4">
        <f>ABS(Table22342102345678[[#This Row],[anl-med]])</f>
        <v>2.2998406600883001</v>
      </c>
      <c r="W82" s="4">
        <f>Table22342102345678[[#This Row],[lab-med]]*Table22342102345678[[#This Row],[anl-med]]</f>
        <v>1.5178944906821754</v>
      </c>
    </row>
    <row r="83" spans="2:23" x14ac:dyDescent="0.25">
      <c r="B83" s="46">
        <f ca="1">VALUE((Table22342102345678[[#This Row],[Column3]]-62))</f>
        <v>21</v>
      </c>
      <c r="C83" t="s">
        <v>89</v>
      </c>
      <c r="D83">
        <v>11.5</v>
      </c>
      <c r="E83"/>
      <c r="F83" s="89">
        <v>11.2381123303799</v>
      </c>
      <c r="G83" s="29">
        <f>Table22342102345678[[#This Row],[Florent ]]-Table22342102345678[[#This Row],[REF]]</f>
        <v>-0.26188766962009957</v>
      </c>
      <c r="H83" s="29">
        <f>Table22342102345678[[#This Row],[X-Y]]-E$20</f>
        <v>3.0474749003444046E-2</v>
      </c>
      <c r="I83" s="29">
        <f>Table22342102345678[[#This Row],[Florent ]]-E$20</f>
        <v>11.530474749003444</v>
      </c>
      <c r="J83" s="29">
        <f>Table22342102345678[[#This Row],[Florent ]]*E$21+E$22</f>
        <v>11.272697836907785</v>
      </c>
      <c r="K83" s="56">
        <f>Table22342102345678[[#This Row],[Yest]]-Table22342102345678[[#This Row],[REF]]</f>
        <v>-0.22730216309221518</v>
      </c>
      <c r="L83" s="56">
        <f>ABS(Table22342102345678[[#This Row],[RESyx]])</f>
        <v>0.22730216309221518</v>
      </c>
      <c r="M83" s="29">
        <f>Table22342102345678[[#This Row],[Florent ]]*E$25+E$26</f>
        <v>11.365127560596072</v>
      </c>
      <c r="N83" s="29">
        <f>Table22342102345678[[#This Row],[X-Y]]^2</f>
        <v>6.8585151499046426E-2</v>
      </c>
      <c r="O83" s="57">
        <f>Table22342102345678[[#This Row],[yest_rect]]-Table22342102345678[[#This Row],[REF]]</f>
        <v>-0.13487243940392801</v>
      </c>
      <c r="P83" s="57">
        <f>Table22342102345678[[#This Row],[dif rec]]^2</f>
        <v>1.8190574910766234E-2</v>
      </c>
      <c r="Q83" s="57">
        <f>ABS(Table22342102345678[[#This Row],[diff-bias]])</f>
        <v>3.0474749003444046E-2</v>
      </c>
      <c r="R83" s="57">
        <f ca="1">CELL("row",Table22342102345678[[#This Row],[Position]])</f>
        <v>83</v>
      </c>
      <c r="S83" s="4">
        <f>Table22342102345678[[#This Row],[REF]]-D$13</f>
        <v>0.48999974999999907</v>
      </c>
      <c r="T83" s="4">
        <f>ABS(Table22342102345678[[#This Row],[lab-med]])</f>
        <v>0.48999974999999907</v>
      </c>
      <c r="U83" s="4">
        <f>Table22342102345678[[#This Row],[Florent ]]-F$13</f>
        <v>0.58994413613119967</v>
      </c>
      <c r="V83" s="4">
        <f>ABS(Table22342102345678[[#This Row],[anl-med]])</f>
        <v>0.58994413613119967</v>
      </c>
      <c r="W83" s="4">
        <f>Table22342102345678[[#This Row],[lab-med]]*Table22342102345678[[#This Row],[anl-med]]</f>
        <v>0.28907247921825324</v>
      </c>
    </row>
    <row r="84" spans="2:23" x14ac:dyDescent="0.25">
      <c r="B84" s="46">
        <f ca="1">VALUE((Table22342102345678[[#This Row],[Column3]]-62))</f>
        <v>22</v>
      </c>
      <c r="C84" t="s">
        <v>90</v>
      </c>
      <c r="D84">
        <v>11.3699999</v>
      </c>
      <c r="E84"/>
      <c r="F84" s="89">
        <v>9.8599946883248109</v>
      </c>
      <c r="G84" s="29">
        <f>Table22342102345678[[#This Row],[Florent ]]-Table22342102345678[[#This Row],[REF]]</f>
        <v>-1.510005211675189</v>
      </c>
      <c r="H84" s="29">
        <f>Table22342102345678[[#This Row],[X-Y]]-E$20</f>
        <v>-1.2176427930516454</v>
      </c>
      <c r="I84" s="29">
        <f>Table22342102345678[[#This Row],[Florent ]]-E$20</f>
        <v>10.152357106948354</v>
      </c>
      <c r="J84" s="29">
        <f>Table22342102345678[[#This Row],[Florent ]]*E$21+E$22</f>
        <v>10.738447657775655</v>
      </c>
      <c r="K84" s="56">
        <f>Table22342102345678[[#This Row],[Yest]]-Table22342102345678[[#This Row],[REF]]</f>
        <v>-0.6315522422243447</v>
      </c>
      <c r="L84" s="56">
        <f>ABS(Table22342102345678[[#This Row],[RESyx]])</f>
        <v>0.6315522422243447</v>
      </c>
      <c r="M84" s="29">
        <f>Table22342102345678[[#This Row],[Florent ]]*E$25+E$26</f>
        <v>10.528296224007295</v>
      </c>
      <c r="N84" s="29">
        <f>Table22342102345678[[#This Row],[X-Y]]^2</f>
        <v>2.2801157392862321</v>
      </c>
      <c r="O84" s="57">
        <f>Table22342102345678[[#This Row],[yest_rect]]-Table22342102345678[[#This Row],[REF]]</f>
        <v>-0.84170367599270435</v>
      </c>
      <c r="P84" s="57">
        <f>Table22342102345678[[#This Row],[dif rec]]^2</f>
        <v>0.70846507817963145</v>
      </c>
      <c r="Q84" s="57">
        <f>ABS(Table22342102345678[[#This Row],[diff-bias]])</f>
        <v>1.2176427930516454</v>
      </c>
      <c r="R84" s="57">
        <f ca="1">CELL("row",Table22342102345678[[#This Row],[Position]])</f>
        <v>84</v>
      </c>
      <c r="S84" s="4">
        <f>Table22342102345678[[#This Row],[REF]]-D$13</f>
        <v>0.35999964999999889</v>
      </c>
      <c r="T84" s="4">
        <f>ABS(Table22342102345678[[#This Row],[lab-med]])</f>
        <v>0.35999964999999889</v>
      </c>
      <c r="U84" s="4">
        <f>Table22342102345678[[#This Row],[Florent ]]-F$13</f>
        <v>-0.78817350592388991</v>
      </c>
      <c r="V84" s="4">
        <f>ABS(Table22342102345678[[#This Row],[anl-med]])</f>
        <v>0.78817350592388991</v>
      </c>
      <c r="W84" s="4">
        <f>Table22342102345678[[#This Row],[lab-med]]*Table22342102345678[[#This Row],[anl-med]]</f>
        <v>-0.28374218627187242</v>
      </c>
    </row>
    <row r="85" spans="2:23" x14ac:dyDescent="0.25">
      <c r="B85" s="46">
        <f ca="1">VALUE((Table22342102345678[[#This Row],[Column3]]-62))</f>
        <v>23</v>
      </c>
      <c r="C85" t="s">
        <v>91</v>
      </c>
      <c r="D85">
        <v>11.5900002</v>
      </c>
      <c r="E85"/>
      <c r="F85" s="89">
        <v>10.887315804682499</v>
      </c>
      <c r="G85" s="29">
        <f>Table22342102345678[[#This Row],[Florent ]]-Table22342102345678[[#This Row],[REF]]</f>
        <v>-0.70268439531750104</v>
      </c>
      <c r="H85" s="29">
        <f>Table22342102345678[[#This Row],[X-Y]]-E$20</f>
        <v>-0.41032197669395742</v>
      </c>
      <c r="I85" s="29">
        <f>Table22342102345678[[#This Row],[Florent ]]-E$20</f>
        <v>11.179678223306043</v>
      </c>
      <c r="J85" s="29">
        <f>Table22342102345678[[#This Row],[Florent ]]*E$21+E$22</f>
        <v>11.136705740896815</v>
      </c>
      <c r="K85" s="56">
        <f>Table22342102345678[[#This Row],[Yest]]-Table22342102345678[[#This Row],[REF]]</f>
        <v>-0.45329445910318533</v>
      </c>
      <c r="L85" s="56">
        <f>ABS(Table22342102345678[[#This Row],[RESyx]])</f>
        <v>0.45329445910318533</v>
      </c>
      <c r="M85" s="29">
        <f>Table22342102345678[[#This Row],[Florent ]]*E$25+E$26</f>
        <v>11.152114159916945</v>
      </c>
      <c r="N85" s="29">
        <f>Table22342102345678[[#This Row],[X-Y]]^2</f>
        <v>0.49376535942272209</v>
      </c>
      <c r="O85" s="57">
        <f>Table22342102345678[[#This Row],[yest_rect]]-Table22342102345678[[#This Row],[REF]]</f>
        <v>-0.43788604008305576</v>
      </c>
      <c r="P85" s="57">
        <f>Table22342102345678[[#This Row],[dif rec]]^2</f>
        <v>0.19174418409961952</v>
      </c>
      <c r="Q85" s="57">
        <f>ABS(Table22342102345678[[#This Row],[diff-bias]])</f>
        <v>0.41032197669395742</v>
      </c>
      <c r="R85" s="57">
        <f ca="1">CELL("row",Table22342102345678[[#This Row],[Position]])</f>
        <v>85</v>
      </c>
      <c r="S85" s="4">
        <f>Table22342102345678[[#This Row],[REF]]-D$13</f>
        <v>0.57999994999999949</v>
      </c>
      <c r="T85" s="4">
        <f>ABS(Table22342102345678[[#This Row],[lab-med]])</f>
        <v>0.57999994999999949</v>
      </c>
      <c r="U85" s="4">
        <f>Table22342102345678[[#This Row],[Florent ]]-F$13</f>
        <v>0.23914761043379862</v>
      </c>
      <c r="V85" s="4">
        <f>ABS(Table22342102345678[[#This Row],[anl-med]])</f>
        <v>0.23914761043379862</v>
      </c>
      <c r="W85" s="4">
        <f>Table22342102345678[[#This Row],[lab-med]]*Table22342102345678[[#This Row],[anl-med]]</f>
        <v>0.13870560209422256</v>
      </c>
    </row>
    <row r="86" spans="2:23" x14ac:dyDescent="0.25">
      <c r="B86" s="46">
        <f ca="1">VALUE((Table22342102345678[[#This Row],[Column3]]-62))</f>
        <v>24</v>
      </c>
      <c r="C86" t="s">
        <v>92</v>
      </c>
      <c r="D86">
        <v>9.8800001000000002</v>
      </c>
      <c r="E86"/>
      <c r="F86" s="89">
        <v>7.9129987444256296</v>
      </c>
      <c r="G86" s="29">
        <f>Table22342102345678[[#This Row],[Florent ]]-Table22342102345678[[#This Row],[REF]]</f>
        <v>-1.9670013555743706</v>
      </c>
      <c r="H86" s="29">
        <f>Table22342102345678[[#This Row],[X-Y]]-E$20</f>
        <v>-1.674638936950827</v>
      </c>
      <c r="I86" s="29">
        <f>Table22342102345678[[#This Row],[Florent ]]-E$20</f>
        <v>8.2053611630491723</v>
      </c>
      <c r="J86" s="29">
        <f>Table22342102345678[[#This Row],[Florent ]]*E$21+E$22</f>
        <v>9.9836623621992064</v>
      </c>
      <c r="K86" s="56">
        <f>Table22342102345678[[#This Row],[Yest]]-Table22342102345678[[#This Row],[REF]]</f>
        <v>0.10366226219920627</v>
      </c>
      <c r="L86" s="56">
        <f>ABS(Table22342102345678[[#This Row],[RESyx]])</f>
        <v>0.10366226219920627</v>
      </c>
      <c r="M86" s="29">
        <f>Table22342102345678[[#This Row],[Florent ]]*E$25+E$26</f>
        <v>9.3460261707508785</v>
      </c>
      <c r="N86" s="29">
        <f>Table22342102345678[[#This Row],[X-Y]]^2</f>
        <v>3.8690943328314114</v>
      </c>
      <c r="O86" s="57">
        <f>Table22342102345678[[#This Row],[yest_rect]]-Table22342102345678[[#This Row],[REF]]</f>
        <v>-0.53397392924912168</v>
      </c>
      <c r="P86" s="57">
        <f>Table22342102345678[[#This Row],[dif rec]]^2</f>
        <v>0.28512815711774603</v>
      </c>
      <c r="Q86" s="57">
        <f>ABS(Table22342102345678[[#This Row],[diff-bias]])</f>
        <v>1.674638936950827</v>
      </c>
      <c r="R86" s="57">
        <f ca="1">CELL("row",Table22342102345678[[#This Row],[Position]])</f>
        <v>86</v>
      </c>
      <c r="S86" s="4">
        <f>Table22342102345678[[#This Row],[REF]]-D$13</f>
        <v>-1.1300001500000008</v>
      </c>
      <c r="T86" s="4">
        <f>ABS(Table22342102345678[[#This Row],[lab-med]])</f>
        <v>1.1300001500000008</v>
      </c>
      <c r="U86" s="4">
        <f>Table22342102345678[[#This Row],[Florent ]]-F$13</f>
        <v>-2.7351694498230712</v>
      </c>
      <c r="V86" s="4">
        <f>ABS(Table22342102345678[[#This Row],[anl-med]])</f>
        <v>2.7351694498230712</v>
      </c>
      <c r="W86" s="4">
        <f>Table22342102345678[[#This Row],[lab-med]]*Table22342102345678[[#This Row],[anl-med]]</f>
        <v>3.09074188857549</v>
      </c>
    </row>
    <row r="87" spans="2:23" x14ac:dyDescent="0.25">
      <c r="B87" s="46">
        <f ca="1">VALUE((Table22342102345678[[#This Row],[Column3]]-62))</f>
        <v>25</v>
      </c>
      <c r="C87" t="s">
        <v>93</v>
      </c>
      <c r="D87">
        <v>11.8400002</v>
      </c>
      <c r="E87"/>
      <c r="F87" s="89">
        <v>11.542877601457599</v>
      </c>
      <c r="G87" s="29">
        <f>Table22342102345678[[#This Row],[Florent ]]-Table22342102345678[[#This Row],[REF]]</f>
        <v>-0.29712259854240131</v>
      </c>
      <c r="H87" s="29">
        <f>Table22342102345678[[#This Row],[X-Y]]-E$20</f>
        <v>-4.7601799188576877E-3</v>
      </c>
      <c r="I87" s="29">
        <f>Table22342102345678[[#This Row],[Florent ]]-E$20</f>
        <v>11.835240020081143</v>
      </c>
      <c r="J87" s="29">
        <f>Table22342102345678[[#This Row],[Florent ]]*E$21+E$22</f>
        <v>11.390845152998818</v>
      </c>
      <c r="K87" s="56">
        <f>Table22342102345678[[#This Row],[Yest]]-Table22342102345678[[#This Row],[REF]]</f>
        <v>-0.44915504700118269</v>
      </c>
      <c r="L87" s="56">
        <f>ABS(Table22342102345678[[#This Row],[RESyx]])</f>
        <v>0.44915504700118269</v>
      </c>
      <c r="M87" s="29">
        <f>Table22342102345678[[#This Row],[Florent ]]*E$25+E$26</f>
        <v>11.550189504046322</v>
      </c>
      <c r="N87" s="29">
        <f>Table22342102345678[[#This Row],[X-Y]]^2</f>
        <v>8.8281838564588974E-2</v>
      </c>
      <c r="O87" s="57">
        <f>Table22342102345678[[#This Row],[yest_rect]]-Table22342102345678[[#This Row],[REF]]</f>
        <v>-0.28981069595367792</v>
      </c>
      <c r="P87" s="57">
        <f>Table22342102345678[[#This Row],[dif rec]]^2</f>
        <v>8.3990239489155155E-2</v>
      </c>
      <c r="Q87" s="57">
        <f>ABS(Table22342102345678[[#This Row],[diff-bias]])</f>
        <v>4.7601799188576877E-3</v>
      </c>
      <c r="R87" s="57">
        <f ca="1">CELL("row",Table22342102345678[[#This Row],[Position]])</f>
        <v>87</v>
      </c>
      <c r="S87" s="4">
        <f>Table22342102345678[[#This Row],[REF]]-D$13</f>
        <v>0.82999994999999949</v>
      </c>
      <c r="T87" s="4">
        <f>ABS(Table22342102345678[[#This Row],[lab-med]])</f>
        <v>0.82999994999999949</v>
      </c>
      <c r="U87" s="4">
        <f>Table22342102345678[[#This Row],[Florent ]]-F$13</f>
        <v>0.89470940720889836</v>
      </c>
      <c r="V87" s="4">
        <f>ABS(Table22342102345678[[#This Row],[anl-med]])</f>
        <v>0.89470940720889836</v>
      </c>
      <c r="W87" s="4">
        <f>Table22342102345678[[#This Row],[lab-med]]*Table22342102345678[[#This Row],[anl-med]]</f>
        <v>0.7426087632479148</v>
      </c>
    </row>
    <row r="88" spans="2:23" x14ac:dyDescent="0.25">
      <c r="B88" s="46">
        <f ca="1">VALUE((Table22342102345678[[#This Row],[Column3]]-62))</f>
        <v>26</v>
      </c>
      <c r="C88" t="s">
        <v>94</v>
      </c>
      <c r="D88">
        <v>10</v>
      </c>
      <c r="E88"/>
      <c r="F88" s="89">
        <v>9.8025179137946594</v>
      </c>
      <c r="G88" s="29">
        <f>Table22342102345678[[#This Row],[Florent ]]-Table22342102345678[[#This Row],[REF]]</f>
        <v>-0.19748208620534058</v>
      </c>
      <c r="H88" s="29">
        <f>Table22342102345678[[#This Row],[X-Y]]-E$20</f>
        <v>9.4880332418203039E-2</v>
      </c>
      <c r="I88" s="29">
        <f>Table22342102345678[[#This Row],[Florent ]]-E$20</f>
        <v>10.094880332418203</v>
      </c>
      <c r="J88" s="29">
        <f>Table22342102345678[[#This Row],[Florent ]]*E$21+E$22</f>
        <v>10.716165832079788</v>
      </c>
      <c r="K88" s="56">
        <f>Table22342102345678[[#This Row],[Yest]]-Table22342102345678[[#This Row],[REF]]</f>
        <v>0.71616583207978834</v>
      </c>
      <c r="L88" s="56">
        <f>ABS(Table22342102345678[[#This Row],[RESyx]])</f>
        <v>0.71616583207978834</v>
      </c>
      <c r="M88" s="29">
        <f>Table22342102345678[[#This Row],[Florent ]]*E$25+E$26</f>
        <v>10.493394728964279</v>
      </c>
      <c r="N88" s="29">
        <f>Table22342102345678[[#This Row],[X-Y]]^2</f>
        <v>3.899917437201357E-2</v>
      </c>
      <c r="O88" s="57">
        <f>Table22342102345678[[#This Row],[yest_rect]]-Table22342102345678[[#This Row],[REF]]</f>
        <v>0.49339472896427949</v>
      </c>
      <c r="P88" s="57">
        <f>Table22342102345678[[#This Row],[dif rec]]^2</f>
        <v>0.24343835856973484</v>
      </c>
      <c r="Q88" s="57">
        <f>ABS(Table22342102345678[[#This Row],[diff-bias]])</f>
        <v>9.4880332418203039E-2</v>
      </c>
      <c r="R88" s="57">
        <f ca="1">CELL("row",Table22342102345678[[#This Row],[Position]])</f>
        <v>88</v>
      </c>
      <c r="S88" s="4">
        <f>Table22342102345678[[#This Row],[REF]]-D$13</f>
        <v>-1.0100002500000009</v>
      </c>
      <c r="T88" s="4">
        <f>ABS(Table22342102345678[[#This Row],[lab-med]])</f>
        <v>1.0100002500000009</v>
      </c>
      <c r="U88" s="4">
        <f>Table22342102345678[[#This Row],[Florent ]]-F$13</f>
        <v>-0.84565028045404134</v>
      </c>
      <c r="V88" s="4">
        <f>ABS(Table22342102345678[[#This Row],[anl-med]])</f>
        <v>0.84565028045404134</v>
      </c>
      <c r="W88" s="4">
        <f>Table22342102345678[[#This Row],[lab-med]]*Table22342102345678[[#This Row],[anl-med]]</f>
        <v>0.8541069946711527</v>
      </c>
    </row>
    <row r="89" spans="2:23" x14ac:dyDescent="0.25">
      <c r="B89" s="46">
        <f ca="1">VALUE((Table22342102345678[[#This Row],[Column3]]-62))</f>
        <v>27</v>
      </c>
      <c r="C89" t="s">
        <v>95</v>
      </c>
      <c r="D89">
        <v>10.100000400000001</v>
      </c>
      <c r="E89"/>
      <c r="F89" s="89">
        <v>10.5842338885315</v>
      </c>
      <c r="G89" s="29">
        <f>Table22342102345678[[#This Row],[Florent ]]-Table22342102345678[[#This Row],[REF]]</f>
        <v>0.48423348853149939</v>
      </c>
      <c r="H89" s="29">
        <f>Table22342102345678[[#This Row],[X-Y]]-E$20</f>
        <v>0.77659590715504301</v>
      </c>
      <c r="I89" s="29">
        <f>Table22342102345678[[#This Row],[Florent ]]-E$20</f>
        <v>10.876596307155044</v>
      </c>
      <c r="J89" s="29">
        <f>Table22342102345678[[#This Row],[Florent ]]*E$21+E$22</f>
        <v>11.019211005284898</v>
      </c>
      <c r="K89" s="56">
        <f>Table22342102345678[[#This Row],[Yest]]-Table22342102345678[[#This Row],[REF]]</f>
        <v>0.9192106052848974</v>
      </c>
      <c r="L89" s="56">
        <f>ABS(Table22342102345678[[#This Row],[RESyx]])</f>
        <v>0.9192106052848974</v>
      </c>
      <c r="M89" s="29">
        <f>Table22342102345678[[#This Row],[Florent ]]*E$25+E$26</f>
        <v>10.96807439636649</v>
      </c>
      <c r="N89" s="29">
        <f>Table22342102345678[[#This Row],[X-Y]]^2</f>
        <v>0.23448207141538574</v>
      </c>
      <c r="O89" s="57">
        <f>Table22342102345678[[#This Row],[yest_rect]]-Table22342102345678[[#This Row],[REF]]</f>
        <v>0.86807399636648874</v>
      </c>
      <c r="P89" s="57">
        <f>Table22342102345678[[#This Row],[dif rec]]^2</f>
        <v>0.75355246316768676</v>
      </c>
      <c r="Q89" s="57">
        <f>ABS(Table22342102345678[[#This Row],[diff-bias]])</f>
        <v>0.77659590715504301</v>
      </c>
      <c r="R89" s="57">
        <f ca="1">CELL("row",Table22342102345678[[#This Row],[Position]])</f>
        <v>89</v>
      </c>
      <c r="S89" s="4">
        <f>Table22342102345678[[#This Row],[REF]]-D$13</f>
        <v>-0.90999985000000017</v>
      </c>
      <c r="T89" s="4">
        <f>ABS(Table22342102345678[[#This Row],[lab-med]])</f>
        <v>0.90999985000000017</v>
      </c>
      <c r="U89" s="4">
        <f>Table22342102345678[[#This Row],[Florent ]]-F$13</f>
        <v>-6.3934305717200601E-2</v>
      </c>
      <c r="V89" s="4">
        <f>ABS(Table22342102345678[[#This Row],[anl-med]])</f>
        <v>6.3934305717200601E-2</v>
      </c>
      <c r="W89" s="4">
        <f>Table22342102345678[[#This Row],[lab-med]]*Table22342102345678[[#This Row],[anl-med]]</f>
        <v>5.8180208612506702E-2</v>
      </c>
    </row>
    <row r="90" spans="2:23" x14ac:dyDescent="0.25">
      <c r="B90" s="46">
        <f ca="1">VALUE((Table22342102345678[[#This Row],[Column3]]-62))</f>
        <v>28</v>
      </c>
      <c r="C90" t="s">
        <v>96</v>
      </c>
      <c r="D90">
        <v>11.399999599999999</v>
      </c>
      <c r="E90"/>
      <c r="F90" s="89">
        <v>10.9995087586538</v>
      </c>
      <c r="G90" s="29">
        <f>Table22342102345678[[#This Row],[Florent ]]-Table22342102345678[[#This Row],[REF]]</f>
        <v>-0.40049084134619939</v>
      </c>
      <c r="H90" s="29">
        <f>Table22342102345678[[#This Row],[X-Y]]-E$20</f>
        <v>-0.10812842272265577</v>
      </c>
      <c r="I90" s="29">
        <f>Table22342102345678[[#This Row],[Florent ]]-E$20</f>
        <v>11.291871177277343</v>
      </c>
      <c r="J90" s="29">
        <f>Table22342102345678[[#This Row],[Florent ]]*E$21+E$22</f>
        <v>11.180199201779551</v>
      </c>
      <c r="K90" s="56">
        <f>Table22342102345678[[#This Row],[Yest]]-Table22342102345678[[#This Row],[REF]]</f>
        <v>-0.21980039822044795</v>
      </c>
      <c r="L90" s="56">
        <f>ABS(Table22342102345678[[#This Row],[RESyx]])</f>
        <v>0.21980039822044795</v>
      </c>
      <c r="M90" s="29">
        <f>Table22342102345678[[#This Row],[Florent ]]*E$25+E$26</f>
        <v>11.220240839935087</v>
      </c>
      <c r="N90" s="29">
        <f>Table22342102345678[[#This Row],[X-Y]]^2</f>
        <v>0.16039291400218664</v>
      </c>
      <c r="O90" s="57">
        <f>Table22342102345678[[#This Row],[yest_rect]]-Table22342102345678[[#This Row],[REF]]</f>
        <v>-0.17975876006491198</v>
      </c>
      <c r="P90" s="57">
        <f>Table22342102345678[[#This Row],[dif rec]]^2</f>
        <v>3.2313211820074593E-2</v>
      </c>
      <c r="Q90" s="57">
        <f>ABS(Table22342102345678[[#This Row],[diff-bias]])</f>
        <v>0.10812842272265577</v>
      </c>
      <c r="R90" s="57">
        <f ca="1">CELL("row",Table22342102345678[[#This Row],[Position]])</f>
        <v>90</v>
      </c>
      <c r="S90" s="4">
        <f>Table22342102345678[[#This Row],[REF]]-D$13</f>
        <v>0.3899993499999983</v>
      </c>
      <c r="T90" s="4">
        <f>ABS(Table22342102345678[[#This Row],[lab-med]])</f>
        <v>0.3899993499999983</v>
      </c>
      <c r="U90" s="4">
        <f>Table22342102345678[[#This Row],[Florent ]]-F$13</f>
        <v>0.35134056440509909</v>
      </c>
      <c r="V90" s="4">
        <f>ABS(Table22342102345678[[#This Row],[anl-med]])</f>
        <v>0.35134056440509909</v>
      </c>
      <c r="W90" s="4">
        <f>Table22342102345678[[#This Row],[lab-med]]*Table22342102345678[[#This Row],[anl-med]]</f>
        <v>0.13702259174662118</v>
      </c>
    </row>
    <row r="91" spans="2:23" x14ac:dyDescent="0.25">
      <c r="B91" s="46">
        <f ca="1">VALUE((Table22342102345678[[#This Row],[Column3]]-62))</f>
        <v>29</v>
      </c>
      <c r="C91" t="s">
        <v>97</v>
      </c>
      <c r="D91">
        <v>10.279999699999999</v>
      </c>
      <c r="E91"/>
      <c r="F91" s="89">
        <v>9.0324146579382703</v>
      </c>
      <c r="G91" s="29">
        <f>Table22342102345678[[#This Row],[Florent ]]-Table22342102345678[[#This Row],[REF]]</f>
        <v>-1.2475850420617292</v>
      </c>
      <c r="H91" s="29">
        <f>Table22342102345678[[#This Row],[X-Y]]-E$20</f>
        <v>-0.95522262343818554</v>
      </c>
      <c r="I91" s="29">
        <f>Table22342102345678[[#This Row],[Florent ]]-E$20</f>
        <v>9.3247770765618139</v>
      </c>
      <c r="J91" s="29">
        <f>Table22342102345678[[#This Row],[Florent ]]*E$21+E$22</f>
        <v>10.417622522106642</v>
      </c>
      <c r="K91" s="56">
        <f>Table22342102345678[[#This Row],[Yest]]-Table22342102345678[[#This Row],[REF]]</f>
        <v>0.13762282210664267</v>
      </c>
      <c r="L91" s="56">
        <f>ABS(Table22342102345678[[#This Row],[RESyx]])</f>
        <v>0.13762282210664267</v>
      </c>
      <c r="M91" s="29">
        <f>Table22342102345678[[#This Row],[Florent ]]*E$25+E$26</f>
        <v>10.025766627238035</v>
      </c>
      <c r="N91" s="29">
        <f>Table22342102345678[[#This Row],[X-Y]]^2</f>
        <v>1.5564684371761666</v>
      </c>
      <c r="O91" s="57">
        <f>Table22342102345678[[#This Row],[yest_rect]]-Table22342102345678[[#This Row],[REF]]</f>
        <v>-0.25423307276196461</v>
      </c>
      <c r="P91" s="57">
        <f>Table22342102345678[[#This Row],[dif rec]]^2</f>
        <v>6.4634455285990391E-2</v>
      </c>
      <c r="Q91" s="57">
        <f>ABS(Table22342102345678[[#This Row],[diff-bias]])</f>
        <v>0.95522262343818554</v>
      </c>
      <c r="R91" s="57">
        <f ca="1">CELL("row",Table22342102345678[[#This Row],[Position]])</f>
        <v>91</v>
      </c>
      <c r="S91" s="4">
        <f>Table22342102345678[[#This Row],[REF]]-D$13</f>
        <v>-0.73000055000000152</v>
      </c>
      <c r="T91" s="4">
        <f>ABS(Table22342102345678[[#This Row],[lab-med]])</f>
        <v>0.73000055000000152</v>
      </c>
      <c r="U91" s="4">
        <f>Table22342102345678[[#This Row],[Florent ]]-F$13</f>
        <v>-1.6157535363104305</v>
      </c>
      <c r="V91" s="4">
        <f>ABS(Table22342102345678[[#This Row],[anl-med]])</f>
        <v>1.6157535363104305</v>
      </c>
      <c r="W91" s="4">
        <f>Table22342102345678[[#This Row],[lab-med]]*Table22342102345678[[#This Row],[anl-med]]</f>
        <v>1.1795009701710617</v>
      </c>
    </row>
    <row r="92" spans="2:23" x14ac:dyDescent="0.25">
      <c r="B92" s="46">
        <f ca="1">VALUE((Table22342102345678[[#This Row],[Column3]]-62))</f>
        <v>30</v>
      </c>
      <c r="C92" t="s">
        <v>98</v>
      </c>
      <c r="D92">
        <v>12.21</v>
      </c>
      <c r="E92"/>
      <c r="F92" s="89">
        <v>11.578740314624</v>
      </c>
      <c r="G92" s="29">
        <f>Table22342102345678[[#This Row],[Florent ]]-Table22342102345678[[#This Row],[REF]]</f>
        <v>-0.6312596853760013</v>
      </c>
      <c r="H92" s="29">
        <f>Table22342102345678[[#This Row],[X-Y]]-E$20</f>
        <v>-0.33889726675245768</v>
      </c>
      <c r="I92" s="29">
        <f>Table22342102345678[[#This Row],[Florent ]]-E$20</f>
        <v>11.871102733247543</v>
      </c>
      <c r="J92" s="29">
        <f>Table22342102345678[[#This Row],[Florent ]]*E$21+E$22</f>
        <v>11.404747929038127</v>
      </c>
      <c r="K92" s="56">
        <f>Table22342102345678[[#This Row],[Yest]]-Table22342102345678[[#This Row],[REF]]</f>
        <v>-0.80525207096187401</v>
      </c>
      <c r="L92" s="56">
        <f>ABS(Table22342102345678[[#This Row],[RESyx]])</f>
        <v>0.80525207096187401</v>
      </c>
      <c r="M92" s="29">
        <f>Table22342102345678[[#This Row],[Florent ]]*E$25+E$26</f>
        <v>11.571966340273441</v>
      </c>
      <c r="N92" s="29">
        <f>Table22342102345678[[#This Row],[X-Y]]^2</f>
        <v>0.39848879038100815</v>
      </c>
      <c r="O92" s="57">
        <f>Table22342102345678[[#This Row],[yest_rect]]-Table22342102345678[[#This Row],[REF]]</f>
        <v>-0.63803365972655968</v>
      </c>
      <c r="P92" s="57">
        <f>Table22342102345678[[#This Row],[dif rec]]^2</f>
        <v>0.40708695094406733</v>
      </c>
      <c r="Q92" s="57">
        <f>ABS(Table22342102345678[[#This Row],[diff-bias]])</f>
        <v>0.33889726675245768</v>
      </c>
      <c r="R92" s="57">
        <f ca="1">CELL("row",Table22342102345678[[#This Row],[Position]])</f>
        <v>92</v>
      </c>
      <c r="S92" s="4">
        <f>Table22342102345678[[#This Row],[REF]]-D$13</f>
        <v>1.1999997499999999</v>
      </c>
      <c r="T92" s="4">
        <f>ABS(Table22342102345678[[#This Row],[lab-med]])</f>
        <v>1.1999997499999999</v>
      </c>
      <c r="U92" s="4">
        <f>Table22342102345678[[#This Row],[Florent ]]-F$13</f>
        <v>0.93057212037529879</v>
      </c>
      <c r="V92" s="4">
        <f>ABS(Table22342102345678[[#This Row],[anl-med]])</f>
        <v>0.93057212037529879</v>
      </c>
      <c r="W92" s="4">
        <f>Table22342102345678[[#This Row],[lab-med]]*Table22342102345678[[#This Row],[anl-med]]</f>
        <v>1.1166863118073285</v>
      </c>
    </row>
    <row r="93" spans="2:23" x14ac:dyDescent="0.25">
      <c r="B93" s="46">
        <f ca="1">VALUE((Table22342102345678[[#This Row],[Column3]]-62))</f>
        <v>31</v>
      </c>
      <c r="C93" t="s">
        <v>99</v>
      </c>
      <c r="D93">
        <v>11.9399996</v>
      </c>
      <c r="E93"/>
      <c r="F93" s="89">
        <v>10.2417620927685</v>
      </c>
      <c r="G93" s="29">
        <f>Table22342102345678[[#This Row],[Florent ]]-Table22342102345678[[#This Row],[REF]]</f>
        <v>-1.6982375072315001</v>
      </c>
      <c r="H93" s="29">
        <f>Table22342102345678[[#This Row],[X-Y]]-E$20</f>
        <v>-1.4058750886079565</v>
      </c>
      <c r="I93" s="29">
        <f>Table22342102345678[[#This Row],[Florent ]]-E$20</f>
        <v>10.534124511392044</v>
      </c>
      <c r="J93" s="29">
        <f>Table22342102345678[[#This Row],[Florent ]]*E$21+E$22</f>
        <v>10.886446129014073</v>
      </c>
      <c r="K93" s="56">
        <f>Table22342102345678[[#This Row],[Yest]]-Table22342102345678[[#This Row],[REF]]</f>
        <v>-1.0535534709859267</v>
      </c>
      <c r="L93" s="56">
        <f>ABS(Table22342102345678[[#This Row],[RESyx]])</f>
        <v>1.0535534709859267</v>
      </c>
      <c r="M93" s="29">
        <f>Table22342102345678[[#This Row],[Florent ]]*E$25+E$26</f>
        <v>10.760116003086699</v>
      </c>
      <c r="N93" s="29">
        <f>Table22342102345678[[#This Row],[X-Y]]^2</f>
        <v>2.8840106309678593</v>
      </c>
      <c r="O93" s="57">
        <f>Table22342102345678[[#This Row],[yest_rect]]-Table22342102345678[[#This Row],[REF]]</f>
        <v>-1.1798835969133012</v>
      </c>
      <c r="P93" s="57">
        <f>Table22342102345678[[#This Row],[dif rec]]^2</f>
        <v>1.3921253022650695</v>
      </c>
      <c r="Q93" s="57">
        <f>ABS(Table22342102345678[[#This Row],[diff-bias]])</f>
        <v>1.4058750886079565</v>
      </c>
      <c r="R93" s="57">
        <f ca="1">CELL("row",Table22342102345678[[#This Row],[Position]])</f>
        <v>93</v>
      </c>
      <c r="S93" s="4">
        <f>Table22342102345678[[#This Row],[REF]]-D$13</f>
        <v>0.92999934999999923</v>
      </c>
      <c r="T93" s="4">
        <f>ABS(Table22342102345678[[#This Row],[lab-med]])</f>
        <v>0.92999934999999923</v>
      </c>
      <c r="U93" s="4">
        <f>Table22342102345678[[#This Row],[Florent ]]-F$13</f>
        <v>-0.40640610148020073</v>
      </c>
      <c r="V93" s="4">
        <f>ABS(Table22342102345678[[#This Row],[anl-med]])</f>
        <v>0.40640610148020073</v>
      </c>
      <c r="W93" s="4">
        <f>Table22342102345678[[#This Row],[lab-med]]*Table22342102345678[[#This Row],[anl-med]]</f>
        <v>-0.37795741021262041</v>
      </c>
    </row>
    <row r="94" spans="2:23" x14ac:dyDescent="0.25">
      <c r="B94" s="46">
        <f ca="1">VALUE((Table22342102345678[[#This Row],[Column3]]-62))</f>
        <v>32</v>
      </c>
      <c r="C94" t="s">
        <v>100</v>
      </c>
      <c r="D94">
        <v>10.3699999</v>
      </c>
      <c r="E94"/>
      <c r="F94" s="89">
        <v>10.450939644340901</v>
      </c>
      <c r="G94" s="29">
        <f>Table22342102345678[[#This Row],[Florent ]]-Table22342102345678[[#This Row],[REF]]</f>
        <v>8.0939744340900788E-2</v>
      </c>
      <c r="H94" s="29">
        <f>Table22342102345678[[#This Row],[X-Y]]-E$20</f>
        <v>0.37330216296444441</v>
      </c>
      <c r="I94" s="29">
        <f>Table22342102345678[[#This Row],[Florent ]]-E$20</f>
        <v>10.743302062964444</v>
      </c>
      <c r="J94" s="29">
        <f>Table22342102345678[[#This Row],[Florent ]]*E$21+E$22</f>
        <v>10.967537278991173</v>
      </c>
      <c r="K94" s="56">
        <f>Table22342102345678[[#This Row],[Yest]]-Table22342102345678[[#This Row],[REF]]</f>
        <v>0.59753737899117354</v>
      </c>
      <c r="L94" s="56">
        <f>ABS(Table22342102345678[[#This Row],[RESyx]])</f>
        <v>0.59753737899117354</v>
      </c>
      <c r="M94" s="29">
        <f>Table22342102345678[[#This Row],[Florent ]]*E$25+E$26</f>
        <v>10.887134426423668</v>
      </c>
      <c r="N94" s="29">
        <f>Table22342102345678[[#This Row],[X-Y]]^2</f>
        <v>6.551242213970381E-3</v>
      </c>
      <c r="O94" s="57">
        <f>Table22342102345678[[#This Row],[yest_rect]]-Table22342102345678[[#This Row],[REF]]</f>
        <v>0.51713452642366775</v>
      </c>
      <c r="P94" s="57">
        <f>Table22342102345678[[#This Row],[dif rec]]^2</f>
        <v>0.26742811841943109</v>
      </c>
      <c r="Q94" s="57">
        <f>ABS(Table22342102345678[[#This Row],[diff-bias]])</f>
        <v>0.37330216296444441</v>
      </c>
      <c r="R94" s="57">
        <f ca="1">CELL("row",Table22342102345678[[#This Row],[Position]])</f>
        <v>94</v>
      </c>
      <c r="S94" s="4">
        <f>Table22342102345678[[#This Row],[REF]]-D$13</f>
        <v>-0.64000035000000111</v>
      </c>
      <c r="T94" s="4">
        <f>ABS(Table22342102345678[[#This Row],[lab-med]])</f>
        <v>0.64000035000000111</v>
      </c>
      <c r="U94" s="4">
        <f>Table22342102345678[[#This Row],[Florent ]]-F$13</f>
        <v>-0.19722854990780014</v>
      </c>
      <c r="V94" s="4">
        <f>ABS(Table22342102345678[[#This Row],[anl-med]])</f>
        <v>0.19722854990780014</v>
      </c>
      <c r="W94" s="4">
        <f>Table22342102345678[[#This Row],[lab-med]]*Table22342102345678[[#This Row],[anl-med]]</f>
        <v>0.12622634097098479</v>
      </c>
    </row>
    <row r="95" spans="2:23" x14ac:dyDescent="0.25">
      <c r="B95" s="46">
        <f ca="1">VALUE((Table22342102345678[[#This Row],[Column3]]-62))</f>
        <v>33</v>
      </c>
      <c r="C95" t="s">
        <v>101</v>
      </c>
      <c r="D95">
        <v>10.3800001</v>
      </c>
      <c r="E95"/>
      <c r="F95" s="89">
        <v>8.7339566547538592</v>
      </c>
      <c r="G95" s="29">
        <f>Table22342102345678[[#This Row],[Florent ]]-Table22342102345678[[#This Row],[REF]]</f>
        <v>-1.646043445246141</v>
      </c>
      <c r="H95" s="29">
        <f>Table22342102345678[[#This Row],[X-Y]]-E$20</f>
        <v>-1.3536810266225974</v>
      </c>
      <c r="I95" s="29">
        <f>Table22342102345678[[#This Row],[Florent ]]-E$20</f>
        <v>9.0263190733774028</v>
      </c>
      <c r="J95" s="29">
        <f>Table22342102345678[[#This Row],[Florent ]]*E$21+E$22</f>
        <v>10.301920323107932</v>
      </c>
      <c r="K95" s="56">
        <f>Table22342102345678[[#This Row],[Yest]]-Table22342102345678[[#This Row],[REF]]</f>
        <v>-7.8079776892067798E-2</v>
      </c>
      <c r="L95" s="56">
        <f>ABS(Table22342102345678[[#This Row],[RESyx]])</f>
        <v>7.8079776892067798E-2</v>
      </c>
      <c r="M95" s="29">
        <f>Table22342102345678[[#This Row],[Florent ]]*E$25+E$26</f>
        <v>9.8445346321610536</v>
      </c>
      <c r="N95" s="29">
        <f>Table22342102345678[[#This Row],[X-Y]]^2</f>
        <v>2.7094590236377853</v>
      </c>
      <c r="O95" s="57">
        <f>Table22342102345678[[#This Row],[yest_rect]]-Table22342102345678[[#This Row],[REF]]</f>
        <v>-0.53546546783894655</v>
      </c>
      <c r="P95" s="57">
        <f>Table22342102345678[[#This Row],[dif rec]]^2</f>
        <v>0.28672326724798192</v>
      </c>
      <c r="Q95" s="57">
        <f>ABS(Table22342102345678[[#This Row],[diff-bias]])</f>
        <v>1.3536810266225974</v>
      </c>
      <c r="R95" s="57">
        <f ca="1">CELL("row",Table22342102345678[[#This Row],[Position]])</f>
        <v>95</v>
      </c>
      <c r="S95" s="4">
        <f>Table22342102345678[[#This Row],[REF]]-D$13</f>
        <v>-0.63000015000000076</v>
      </c>
      <c r="T95" s="4">
        <f>ABS(Table22342102345678[[#This Row],[lab-med]])</f>
        <v>0.63000015000000076</v>
      </c>
      <c r="U95" s="4">
        <f>Table22342102345678[[#This Row],[Florent ]]-F$13</f>
        <v>-1.9142115394948416</v>
      </c>
      <c r="V95" s="4">
        <f>ABS(Table22342102345678[[#This Row],[anl-med]])</f>
        <v>1.9142115394948416</v>
      </c>
      <c r="W95" s="4">
        <f>Table22342102345678[[#This Row],[lab-med]]*Table22342102345678[[#This Row],[anl-med]]</f>
        <v>1.2059535570134825</v>
      </c>
    </row>
    <row r="96" spans="2:23" x14ac:dyDescent="0.25">
      <c r="B96" s="46">
        <f ca="1">VALUE((Table22342102345678[[#This Row],[Column3]]-62))</f>
        <v>34</v>
      </c>
      <c r="C96" t="s">
        <v>102</v>
      </c>
      <c r="D96">
        <v>9.8800001000000002</v>
      </c>
      <c r="E96"/>
      <c r="F96" s="89">
        <v>10.032643155220301</v>
      </c>
      <c r="G96" s="29">
        <f>Table22342102345678[[#This Row],[Florent ]]-Table22342102345678[[#This Row],[REF]]</f>
        <v>0.15264305522030064</v>
      </c>
      <c r="H96" s="29">
        <f>Table22342102345678[[#This Row],[X-Y]]-E$20</f>
        <v>0.44500547384384426</v>
      </c>
      <c r="I96" s="29">
        <f>Table22342102345678[[#This Row],[Florent ]]-E$20</f>
        <v>10.325005573843844</v>
      </c>
      <c r="J96" s="29">
        <f>Table22342102345678[[#This Row],[Florent ]]*E$21+E$22</f>
        <v>10.805377701736383</v>
      </c>
      <c r="K96" s="56">
        <f>Table22342102345678[[#This Row],[Yest]]-Table22342102345678[[#This Row],[REF]]</f>
        <v>0.92537760173638262</v>
      </c>
      <c r="L96" s="56">
        <f>ABS(Table22342102345678[[#This Row],[RESyx]])</f>
        <v>0.92537760173638262</v>
      </c>
      <c r="M96" s="29">
        <f>Table22342102345678[[#This Row],[Florent ]]*E$25+E$26</f>
        <v>10.633133171814382</v>
      </c>
      <c r="N96" s="29">
        <f>Table22342102345678[[#This Row],[X-Y]]^2</f>
        <v>2.3299902306987749E-2</v>
      </c>
      <c r="O96" s="57">
        <f>Table22342102345678[[#This Row],[yest_rect]]-Table22342102345678[[#This Row],[REF]]</f>
        <v>0.75313307181438205</v>
      </c>
      <c r="P96" s="57">
        <f>Table22342102345678[[#This Row],[dif rec]]^2</f>
        <v>0.56720942386056716</v>
      </c>
      <c r="Q96" s="57">
        <f>ABS(Table22342102345678[[#This Row],[diff-bias]])</f>
        <v>0.44500547384384426</v>
      </c>
      <c r="R96" s="57">
        <f ca="1">CELL("row",Table22342102345678[[#This Row],[Position]])</f>
        <v>96</v>
      </c>
      <c r="S96" s="4">
        <f>Table22342102345678[[#This Row],[REF]]-D$13</f>
        <v>-1.1300001500000008</v>
      </c>
      <c r="T96" s="4">
        <f>ABS(Table22342102345678[[#This Row],[lab-med]])</f>
        <v>1.1300001500000008</v>
      </c>
      <c r="U96" s="4">
        <f>Table22342102345678[[#This Row],[Florent ]]-F$13</f>
        <v>-0.61552503902839995</v>
      </c>
      <c r="V96" s="4">
        <f>ABS(Table22342102345678[[#This Row],[anl-med]])</f>
        <v>0.61552503902839995</v>
      </c>
      <c r="W96" s="4">
        <f>Table22342102345678[[#This Row],[lab-med]]*Table22342102345678[[#This Row],[anl-med]]</f>
        <v>0.69554338643084823</v>
      </c>
    </row>
    <row r="97" spans="2:23" x14ac:dyDescent="0.25">
      <c r="B97" s="46">
        <f ca="1">VALUE((Table22342102345678[[#This Row],[Column3]]-62))</f>
        <v>35</v>
      </c>
      <c r="C97" t="s">
        <v>103</v>
      </c>
      <c r="D97">
        <v>12.079999900000001</v>
      </c>
      <c r="E97"/>
      <c r="F97" s="89">
        <v>14.7025397424043</v>
      </c>
      <c r="G97" s="29">
        <f>Table22342102345678[[#This Row],[Florent ]]-Table22342102345678[[#This Row],[REF]]</f>
        <v>2.6225398424042989</v>
      </c>
      <c r="H97" s="29">
        <f>Table22342102345678[[#This Row],[X-Y]]-E$20</f>
        <v>2.9149022610278426</v>
      </c>
      <c r="I97" s="29">
        <f>Table22342102345678[[#This Row],[Florent ]]-E$20</f>
        <v>14.994902161027843</v>
      </c>
      <c r="J97" s="29">
        <f>Table22342102345678[[#This Row],[Florent ]]*E$21+E$22</f>
        <v>12.615740628743918</v>
      </c>
      <c r="K97" s="56">
        <f>Table22342102345678[[#This Row],[Yest]]-Table22342102345678[[#This Row],[REF]]</f>
        <v>0.53574072874391732</v>
      </c>
      <c r="L97" s="56">
        <f>ABS(Table22342102345678[[#This Row],[RESyx]])</f>
        <v>0.53574072874391732</v>
      </c>
      <c r="M97" s="29">
        <f>Table22342102345678[[#This Row],[Florent ]]*E$25+E$26</f>
        <v>13.46882417781366</v>
      </c>
      <c r="N97" s="29">
        <f>Table22342102345678[[#This Row],[X-Y]]^2</f>
        <v>6.8777152249979654</v>
      </c>
      <c r="O97" s="57">
        <f>Table22342102345678[[#This Row],[yest_rect]]-Table22342102345678[[#This Row],[REF]]</f>
        <v>1.3888242778136597</v>
      </c>
      <c r="P97" s="57">
        <f>Table22342102345678[[#This Row],[dif rec]]^2</f>
        <v>1.9288328746446335</v>
      </c>
      <c r="Q97" s="57">
        <f>ABS(Table22342102345678[[#This Row],[diff-bias]])</f>
        <v>2.9149022610278426</v>
      </c>
      <c r="R97" s="57">
        <f ca="1">CELL("row",Table22342102345678[[#This Row],[Position]])</f>
        <v>97</v>
      </c>
      <c r="S97" s="4">
        <f>Table22342102345678[[#This Row],[REF]]-D$13</f>
        <v>1.0699996499999997</v>
      </c>
      <c r="T97" s="4">
        <f>ABS(Table22342102345678[[#This Row],[lab-med]])</f>
        <v>1.0699996499999997</v>
      </c>
      <c r="U97" s="4">
        <f>Table22342102345678[[#This Row],[Florent ]]-F$13</f>
        <v>4.0543715481555989</v>
      </c>
      <c r="V97" s="4">
        <f>ABS(Table22342102345678[[#This Row],[anl-med]])</f>
        <v>4.0543715481555989</v>
      </c>
      <c r="W97" s="4">
        <f>Table22342102345678[[#This Row],[lab-med]]*Table22342102345678[[#This Row],[anl-med]]</f>
        <v>4.3381761374964478</v>
      </c>
    </row>
    <row r="98" spans="2:23" x14ac:dyDescent="0.25">
      <c r="B98" s="46">
        <f ca="1">VALUE((Table22342102345678[[#This Row],[Column3]]-62))</f>
        <v>36</v>
      </c>
      <c r="C98" t="s">
        <v>104</v>
      </c>
      <c r="D98">
        <v>9.0799999000000007</v>
      </c>
      <c r="E98"/>
      <c r="F98" s="89">
        <v>9.3897751739422297</v>
      </c>
      <c r="G98" s="29">
        <f>Table22342102345678[[#This Row],[Florent ]]-Table22342102345678[[#This Row],[REF]]</f>
        <v>0.30977527394222903</v>
      </c>
      <c r="H98" s="29">
        <f>Table22342102345678[[#This Row],[X-Y]]-E$20</f>
        <v>0.60213769256577265</v>
      </c>
      <c r="I98" s="29">
        <f>Table22342102345678[[#This Row],[Florent ]]-E$20</f>
        <v>9.6821375925657733</v>
      </c>
      <c r="J98" s="29">
        <f>Table22342102345678[[#This Row],[Florent ]]*E$21+E$22</f>
        <v>10.556159257914741</v>
      </c>
      <c r="K98" s="56">
        <f>Table22342102345678[[#This Row],[Yest]]-Table22342102345678[[#This Row],[REF]]</f>
        <v>1.4761593579147405</v>
      </c>
      <c r="L98" s="56">
        <f>ABS(Table22342102345678[[#This Row],[RESyx]])</f>
        <v>1.4761593579147405</v>
      </c>
      <c r="M98" s="29">
        <f>Table22342102345678[[#This Row],[Florent ]]*E$25+E$26</f>
        <v>10.242765865275285</v>
      </c>
      <c r="N98" s="29">
        <f>Table22342102345678[[#This Row],[X-Y]]^2</f>
        <v>9.5960720345983047E-2</v>
      </c>
      <c r="O98" s="57">
        <f>Table22342102345678[[#This Row],[yest_rect]]-Table22342102345678[[#This Row],[REF]]</f>
        <v>1.162765965275284</v>
      </c>
      <c r="P98" s="57">
        <f>Table22342102345678[[#This Row],[dif rec]]^2</f>
        <v>1.352024690002563</v>
      </c>
      <c r="Q98" s="57">
        <f>ABS(Table22342102345678[[#This Row],[diff-bias]])</f>
        <v>0.60213769256577265</v>
      </c>
      <c r="R98" s="57">
        <f ca="1">CELL("row",Table22342102345678[[#This Row],[Position]])</f>
        <v>98</v>
      </c>
      <c r="S98" s="4">
        <f>Table22342102345678[[#This Row],[REF]]-D$13</f>
        <v>-1.9300003500000003</v>
      </c>
      <c r="T98" s="4">
        <f>ABS(Table22342102345678[[#This Row],[lab-med]])</f>
        <v>1.9300003500000003</v>
      </c>
      <c r="U98" s="4">
        <f>Table22342102345678[[#This Row],[Florent ]]-F$13</f>
        <v>-1.258393020306471</v>
      </c>
      <c r="V98" s="4">
        <f>ABS(Table22342102345678[[#This Row],[anl-med]])</f>
        <v>1.258393020306471</v>
      </c>
      <c r="W98" s="4">
        <f>Table22342102345678[[#This Row],[lab-med]]*Table22342102345678[[#This Row],[anl-med]]</f>
        <v>2.4286989696290466</v>
      </c>
    </row>
    <row r="99" spans="2:23" x14ac:dyDescent="0.25">
      <c r="B99" s="46">
        <f ca="1">VALUE((Table22342102345678[[#This Row],[Column3]]-62))</f>
        <v>37</v>
      </c>
      <c r="C99" t="s">
        <v>105</v>
      </c>
      <c r="D99">
        <v>10.800000199999999</v>
      </c>
      <c r="E99"/>
      <c r="F99" s="89">
        <v>9.9515914135360095</v>
      </c>
      <c r="G99" s="29">
        <f>Table22342102345678[[#This Row],[Florent ]]-Table22342102345678[[#This Row],[REF]]</f>
        <v>-0.84840878646398998</v>
      </c>
      <c r="H99" s="29">
        <f>Table22342102345678[[#This Row],[X-Y]]-E$20</f>
        <v>-0.55604636784044636</v>
      </c>
      <c r="I99" s="29">
        <f>Table22342102345678[[#This Row],[Florent ]]-E$20</f>
        <v>10.243953832159553</v>
      </c>
      <c r="J99" s="29">
        <f>Table22342102345678[[#This Row],[Florent ]]*E$21+E$22</f>
        <v>10.773956648705504</v>
      </c>
      <c r="K99" s="56">
        <f>Table22342102345678[[#This Row],[Yest]]-Table22342102345678[[#This Row],[REF]]</f>
        <v>-2.604355129449587E-2</v>
      </c>
      <c r="L99" s="56">
        <f>ABS(Table22342102345678[[#This Row],[RESyx]])</f>
        <v>2.604355129449587E-2</v>
      </c>
      <c r="M99" s="29">
        <f>Table22342102345678[[#This Row],[Florent ]]*E$25+E$26</f>
        <v>10.583916301456807</v>
      </c>
      <c r="N99" s="29">
        <f>Table22342102345678[[#This Row],[X-Y]]^2</f>
        <v>0.71979746894930019</v>
      </c>
      <c r="O99" s="57">
        <f>Table22342102345678[[#This Row],[yest_rect]]-Table22342102345678[[#This Row],[REF]]</f>
        <v>-0.21608389854319299</v>
      </c>
      <c r="P99" s="57">
        <f>Table22342102345678[[#This Row],[dif rec]]^2</f>
        <v>4.6692251209624919E-2</v>
      </c>
      <c r="Q99" s="57">
        <f>ABS(Table22342102345678[[#This Row],[diff-bias]])</f>
        <v>0.55604636784044636</v>
      </c>
      <c r="R99" s="57">
        <f ca="1">CELL("row",Table22342102345678[[#This Row],[Position]])</f>
        <v>99</v>
      </c>
      <c r="S99" s="4">
        <f>Table22342102345678[[#This Row],[REF]]-D$13</f>
        <v>-0.21000005000000144</v>
      </c>
      <c r="T99" s="4">
        <f>ABS(Table22342102345678[[#This Row],[lab-med]])</f>
        <v>0.21000005000000144</v>
      </c>
      <c r="U99" s="4">
        <f>Table22342102345678[[#This Row],[Florent ]]-F$13</f>
        <v>-0.69657678071269125</v>
      </c>
      <c r="V99" s="4">
        <f>ABS(Table22342102345678[[#This Row],[anl-med]])</f>
        <v>0.69657678071269125</v>
      </c>
      <c r="W99" s="4">
        <f>Table22342102345678[[#This Row],[lab-med]]*Table22342102345678[[#This Row],[anl-med]]</f>
        <v>0.1462811587785052</v>
      </c>
    </row>
    <row r="100" spans="2:23" x14ac:dyDescent="0.25">
      <c r="B100" s="46">
        <f ca="1">VALUE((Table22342102345678[[#This Row],[Column3]]-62))</f>
        <v>38</v>
      </c>
      <c r="C100" t="s">
        <v>106</v>
      </c>
      <c r="D100">
        <v>9.3599996999999995</v>
      </c>
      <c r="E100"/>
      <c r="F100" s="89">
        <v>7.3163234628926102</v>
      </c>
      <c r="G100" s="29">
        <f>Table22342102345678[[#This Row],[Florent ]]-Table22342102345678[[#This Row],[REF]]</f>
        <v>-2.0436762371073893</v>
      </c>
      <c r="H100" s="29">
        <f>Table22342102345678[[#This Row],[X-Y]]-E$20</f>
        <v>-1.7513138184838457</v>
      </c>
      <c r="I100" s="29">
        <f>Table22342102345678[[#This Row],[Florent ]]-E$20</f>
        <v>7.6086858815161538</v>
      </c>
      <c r="J100" s="29">
        <f>Table22342102345678[[#This Row],[Florent ]]*E$21+E$22</f>
        <v>9.752351285180147</v>
      </c>
      <c r="K100" s="56">
        <f>Table22342102345678[[#This Row],[Yest]]-Table22342102345678[[#This Row],[REF]]</f>
        <v>0.39235158518014757</v>
      </c>
      <c r="L100" s="56">
        <f>ABS(Table22342102345678[[#This Row],[RESyx]])</f>
        <v>0.39235158518014757</v>
      </c>
      <c r="M100" s="29">
        <f>Table22342102345678[[#This Row],[Florent ]]*E$25+E$26</f>
        <v>8.9837083554080852</v>
      </c>
      <c r="N100" s="29">
        <f>Table22342102345678[[#This Row],[X-Y]]^2</f>
        <v>4.1766125621174179</v>
      </c>
      <c r="O100" s="57">
        <f>Table22342102345678[[#This Row],[yest_rect]]-Table22342102345678[[#This Row],[REF]]</f>
        <v>-0.37629134459191427</v>
      </c>
      <c r="P100" s="57">
        <f>Table22342102345678[[#This Row],[dif rec]]^2</f>
        <v>0.14159517601479077</v>
      </c>
      <c r="Q100" s="57">
        <f>ABS(Table22342102345678[[#This Row],[diff-bias]])</f>
        <v>1.7513138184838457</v>
      </c>
      <c r="R100" s="57">
        <f ca="1">CELL("row",Table22342102345678[[#This Row],[Position]])</f>
        <v>100</v>
      </c>
      <c r="S100" s="4">
        <f>Table22342102345678[[#This Row],[REF]]-D$13</f>
        <v>-1.6500005500000015</v>
      </c>
      <c r="T100" s="4">
        <f>ABS(Table22342102345678[[#This Row],[lab-med]])</f>
        <v>1.6500005500000015</v>
      </c>
      <c r="U100" s="4">
        <f>Table22342102345678[[#This Row],[Florent ]]-F$13</f>
        <v>-3.3318447313560906</v>
      </c>
      <c r="V100" s="4">
        <f>ABS(Table22342102345678[[#This Row],[anl-med]])</f>
        <v>3.3318447313560906</v>
      </c>
      <c r="W100" s="4">
        <f>Table22342102345678[[#This Row],[lab-med]]*Table22342102345678[[#This Row],[anl-med]]</f>
        <v>5.4975456392521567</v>
      </c>
    </row>
    <row r="101" spans="2:23" x14ac:dyDescent="0.25">
      <c r="B101" s="46">
        <f ca="1">VALUE((Table22342102345678[[#This Row],[Column3]]-62))</f>
        <v>39</v>
      </c>
      <c r="C101" t="s">
        <v>107</v>
      </c>
      <c r="D101">
        <v>12.449999800000001</v>
      </c>
      <c r="E101"/>
      <c r="F101" s="89">
        <v>13.582369479381301</v>
      </c>
      <c r="G101" s="29">
        <f>Table22342102345678[[#This Row],[Florent ]]-Table22342102345678[[#This Row],[REF]]</f>
        <v>1.1323696793813003</v>
      </c>
      <c r="H101" s="29">
        <f>Table22342102345678[[#This Row],[X-Y]]-E$20</f>
        <v>1.4247320980048439</v>
      </c>
      <c r="I101" s="29">
        <f>Table22342102345678[[#This Row],[Florent ]]-E$20</f>
        <v>13.874731898004844</v>
      </c>
      <c r="J101" s="29">
        <f>Table22342102345678[[#This Row],[Florent ]]*E$21+E$22</f>
        <v>12.181488032727446</v>
      </c>
      <c r="K101" s="56">
        <f>Table22342102345678[[#This Row],[Yest]]-Table22342102345678[[#This Row],[REF]]</f>
        <v>-0.26851176727255499</v>
      </c>
      <c r="L101" s="56">
        <f>ABS(Table22342102345678[[#This Row],[RESyx]])</f>
        <v>0.26851176727255499</v>
      </c>
      <c r="M101" s="29">
        <f>Table22342102345678[[#This Row],[Florent ]]*E$25+E$26</f>
        <v>12.788625659336915</v>
      </c>
      <c r="N101" s="29">
        <f>Table22342102345678[[#This Row],[X-Y]]^2</f>
        <v>1.2822610907821088</v>
      </c>
      <c r="O101" s="57">
        <f>Table22342102345678[[#This Row],[yest_rect]]-Table22342102345678[[#This Row],[REF]]</f>
        <v>0.33862585933691491</v>
      </c>
      <c r="P101" s="57">
        <f>Table22342102345678[[#This Row],[dif rec]]^2</f>
        <v>0.11466747261166409</v>
      </c>
      <c r="Q101" s="57">
        <f>ABS(Table22342102345678[[#This Row],[diff-bias]])</f>
        <v>1.4247320980048439</v>
      </c>
      <c r="R101" s="57">
        <f ca="1">CELL("row",Table22342102345678[[#This Row],[Position]])</f>
        <v>101</v>
      </c>
      <c r="S101" s="4">
        <f>Table22342102345678[[#This Row],[REF]]-D$13</f>
        <v>1.4399995499999996</v>
      </c>
      <c r="T101" s="4">
        <f>ABS(Table22342102345678[[#This Row],[lab-med]])</f>
        <v>1.4399995499999996</v>
      </c>
      <c r="U101" s="4">
        <f>Table22342102345678[[#This Row],[Florent ]]-F$13</f>
        <v>2.9342012851326</v>
      </c>
      <c r="V101" s="4">
        <f>ABS(Table22342102345678[[#This Row],[anl-med]])</f>
        <v>2.9342012851326</v>
      </c>
      <c r="W101" s="4">
        <f>Table22342102345678[[#This Row],[lab-med]]*Table22342102345678[[#This Row],[anl-med]]</f>
        <v>4.2252485302003642</v>
      </c>
    </row>
    <row r="102" spans="2:23" x14ac:dyDescent="0.25">
      <c r="B102" s="46">
        <f ca="1">VALUE((Table22342102345678[[#This Row],[Column3]]-62))</f>
        <v>40</v>
      </c>
      <c r="C102" t="s">
        <v>108</v>
      </c>
      <c r="D102">
        <v>10.920000099999999</v>
      </c>
      <c r="E102"/>
      <c r="F102" s="89">
        <v>12.345237016144999</v>
      </c>
      <c r="G102" s="29">
        <f>Table22342102345678[[#This Row],[Florent ]]-Table22342102345678[[#This Row],[REF]]</f>
        <v>1.4252369161449998</v>
      </c>
      <c r="H102" s="29">
        <f>Table22342102345678[[#This Row],[X-Y]]-E$20</f>
        <v>1.7175993347685434</v>
      </c>
      <c r="I102" s="29">
        <f>Table22342102345678[[#This Row],[Florent ]]-E$20</f>
        <v>12.637599434768543</v>
      </c>
      <c r="J102" s="29">
        <f>Table22342102345678[[#This Row],[Florent ]]*E$21+E$22</f>
        <v>11.701893098358449</v>
      </c>
      <c r="K102" s="56">
        <f>Table22342102345678[[#This Row],[Yest]]-Table22342102345678[[#This Row],[REF]]</f>
        <v>0.78189299835844928</v>
      </c>
      <c r="L102" s="56">
        <f>ABS(Table22342102345678[[#This Row],[RESyx]])</f>
        <v>0.78189299835844928</v>
      </c>
      <c r="M102" s="29">
        <f>Table22342102345678[[#This Row],[Florent ]]*E$25+E$26</f>
        <v>12.037404441964231</v>
      </c>
      <c r="N102" s="29">
        <f>Table22342102345678[[#This Row],[X-Y]]^2</f>
        <v>2.0313002671425093</v>
      </c>
      <c r="O102" s="57">
        <f>Table22342102345678[[#This Row],[yest_rect]]-Table22342102345678[[#This Row],[REF]]</f>
        <v>1.1174043419642317</v>
      </c>
      <c r="P102" s="57">
        <f>Table22342102345678[[#This Row],[dif rec]]^2</f>
        <v>1.2485924634405177</v>
      </c>
      <c r="Q102" s="57">
        <f>ABS(Table22342102345678[[#This Row],[diff-bias]])</f>
        <v>1.7175993347685434</v>
      </c>
      <c r="R102" s="57">
        <f ca="1">CELL("row",Table22342102345678[[#This Row],[Position]])</f>
        <v>102</v>
      </c>
      <c r="S102" s="4">
        <f>Table22342102345678[[#This Row],[REF]]-D$13</f>
        <v>-9.0000150000001611E-2</v>
      </c>
      <c r="T102" s="4">
        <f>ABS(Table22342102345678[[#This Row],[lab-med]])</f>
        <v>9.0000150000001611E-2</v>
      </c>
      <c r="U102" s="4">
        <f>Table22342102345678[[#This Row],[Florent ]]-F$13</f>
        <v>1.6970688218962984</v>
      </c>
      <c r="V102" s="4">
        <f>ABS(Table22342102345678[[#This Row],[anl-med]])</f>
        <v>1.6970688218962984</v>
      </c>
      <c r="W102" s="4">
        <f>Table22342102345678[[#This Row],[lab-med]]*Table22342102345678[[#This Row],[anl-med]]</f>
        <v>-0.15273644853099289</v>
      </c>
    </row>
    <row r="103" spans="2:23" x14ac:dyDescent="0.25">
      <c r="B103" s="46">
        <f ca="1">VALUE((Table22342102345678[[#This Row],[Column3]]-62))</f>
        <v>41</v>
      </c>
      <c r="C103" t="s">
        <v>109</v>
      </c>
      <c r="D103">
        <v>10.949999800000001</v>
      </c>
      <c r="E103"/>
      <c r="F103" s="89">
        <v>9.1188953267059301</v>
      </c>
      <c r="G103" s="29">
        <f>Table22342102345678[[#This Row],[Florent ]]-Table22342102345678[[#This Row],[REF]]</f>
        <v>-1.8311044732940704</v>
      </c>
      <c r="H103" s="29">
        <f>Table22342102345678[[#This Row],[X-Y]]-E$20</f>
        <v>-1.5387420546705268</v>
      </c>
      <c r="I103" s="29">
        <f>Table22342102345678[[#This Row],[Florent ]]-E$20</f>
        <v>9.4112577453294737</v>
      </c>
      <c r="J103" s="29">
        <f>Table22342102345678[[#This Row],[Florent ]]*E$21+E$22</f>
        <v>10.45114818883542</v>
      </c>
      <c r="K103" s="56">
        <f>Table22342102345678[[#This Row],[Yest]]-Table22342102345678[[#This Row],[REF]]</f>
        <v>-0.49885161116458043</v>
      </c>
      <c r="L103" s="56">
        <f>ABS(Table22342102345678[[#This Row],[RESyx]])</f>
        <v>0.49885161116458043</v>
      </c>
      <c r="M103" s="29">
        <f>Table22342102345678[[#This Row],[Florent ]]*E$25+E$26</f>
        <v>10.078280093015898</v>
      </c>
      <c r="N103" s="29">
        <f>Table22342102345678[[#This Row],[X-Y]]^2</f>
        <v>3.3529435921175552</v>
      </c>
      <c r="O103" s="57">
        <f>Table22342102345678[[#This Row],[yest_rect]]-Table22342102345678[[#This Row],[REF]]</f>
        <v>-0.87171970698410206</v>
      </c>
      <c r="P103" s="57">
        <f>Table22342102345678[[#This Row],[dif rec]]^2</f>
        <v>0.7598952475444487</v>
      </c>
      <c r="Q103" s="57">
        <f>ABS(Table22342102345678[[#This Row],[diff-bias]])</f>
        <v>1.5387420546705268</v>
      </c>
      <c r="R103" s="57">
        <f ca="1">CELL("row",Table22342102345678[[#This Row],[Position]])</f>
        <v>103</v>
      </c>
      <c r="S103" s="4">
        <f>Table22342102345678[[#This Row],[REF]]-D$13</f>
        <v>-6.0000450000000427E-2</v>
      </c>
      <c r="T103" s="4">
        <f>ABS(Table22342102345678[[#This Row],[lab-med]])</f>
        <v>6.0000450000000427E-2</v>
      </c>
      <c r="U103" s="4">
        <f>Table22342102345678[[#This Row],[Florent ]]-F$13</f>
        <v>-1.5292728675427707</v>
      </c>
      <c r="V103" s="4">
        <f>ABS(Table22342102345678[[#This Row],[anl-med]])</f>
        <v>1.5292728675427707</v>
      </c>
      <c r="W103" s="4">
        <f>Table22342102345678[[#This Row],[lab-med]]*Table22342102345678[[#This Row],[anl-med]]</f>
        <v>9.175706022535729E-2</v>
      </c>
    </row>
    <row r="104" spans="2:23" x14ac:dyDescent="0.25">
      <c r="B104" s="46">
        <f ca="1">VALUE((Table22342102345678[[#This Row],[Column3]]-62))</f>
        <v>42</v>
      </c>
      <c r="C104" t="s">
        <v>110</v>
      </c>
      <c r="D104">
        <v>10.9899998</v>
      </c>
      <c r="E104"/>
      <c r="F104" s="89">
        <v>9.2872239213412602</v>
      </c>
      <c r="G104" s="29">
        <f>Table22342102345678[[#This Row],[Florent ]]-Table22342102345678[[#This Row],[REF]]</f>
        <v>-1.7027758786587395</v>
      </c>
      <c r="H104" s="29">
        <f>Table22342102345678[[#This Row],[X-Y]]-E$20</f>
        <v>-1.4104134600351959</v>
      </c>
      <c r="I104" s="29">
        <f>Table22342102345678[[#This Row],[Florent ]]-E$20</f>
        <v>9.5795863399648038</v>
      </c>
      <c r="J104" s="29">
        <f>Table22342102345678[[#This Row],[Florent ]]*E$21+E$22</f>
        <v>10.516403562609518</v>
      </c>
      <c r="K104" s="56">
        <f>Table22342102345678[[#This Row],[Yest]]-Table22342102345678[[#This Row],[REF]]</f>
        <v>-0.47359623739048118</v>
      </c>
      <c r="L104" s="56">
        <f>ABS(Table22342102345678[[#This Row],[RESyx]])</f>
        <v>0.47359623739048118</v>
      </c>
      <c r="M104" s="29">
        <f>Table22342102345678[[#This Row],[Florent ]]*E$25+E$26</f>
        <v>10.18049389431717</v>
      </c>
      <c r="N104" s="29">
        <f>Table22342102345678[[#This Row],[X-Y]]^2</f>
        <v>2.8994456929420425</v>
      </c>
      <c r="O104" s="57">
        <f>Table22342102345678[[#This Row],[yest_rect]]-Table22342102345678[[#This Row],[REF]]</f>
        <v>-0.80950590568282976</v>
      </c>
      <c r="P104" s="57">
        <f>Table22342102345678[[#This Row],[dif rec]]^2</f>
        <v>0.65529981133537851</v>
      </c>
      <c r="Q104" s="57">
        <f>ABS(Table22342102345678[[#This Row],[diff-bias]])</f>
        <v>1.4104134600351959</v>
      </c>
      <c r="R104" s="57">
        <f ca="1">CELL("row",Table22342102345678[[#This Row],[Position]])</f>
        <v>104</v>
      </c>
      <c r="S104" s="4">
        <f>Table22342102345678[[#This Row],[REF]]-D$13</f>
        <v>-2.000045000000128E-2</v>
      </c>
      <c r="T104" s="4">
        <f>ABS(Table22342102345678[[#This Row],[lab-med]])</f>
        <v>2.000045000000128E-2</v>
      </c>
      <c r="U104" s="4">
        <f>Table22342102345678[[#This Row],[Florent ]]-F$13</f>
        <v>-1.3609442729074406</v>
      </c>
      <c r="V104" s="4">
        <f>ABS(Table22342102345678[[#This Row],[anl-med]])</f>
        <v>1.3609442729074406</v>
      </c>
      <c r="W104" s="4">
        <f>Table22342102345678[[#This Row],[lab-med]]*Table22342102345678[[#This Row],[anl-med]]</f>
        <v>2.7219497883073363E-2</v>
      </c>
    </row>
    <row r="105" spans="2:23" x14ac:dyDescent="0.25">
      <c r="B105" s="46">
        <f ca="1">VALUE((Table22342102345678[[#This Row],[Column3]]-62))</f>
        <v>43</v>
      </c>
      <c r="C105" t="s">
        <v>111</v>
      </c>
      <c r="D105">
        <v>11</v>
      </c>
      <c r="E105"/>
      <c r="F105" s="89">
        <v>9.5519855044575195</v>
      </c>
      <c r="G105" s="29">
        <f>Table22342102345678[[#This Row],[Florent ]]-Table22342102345678[[#This Row],[REF]]</f>
        <v>-1.4480144955424805</v>
      </c>
      <c r="H105" s="29">
        <f>Table22342102345678[[#This Row],[X-Y]]-E$20</f>
        <v>-1.1556520769189369</v>
      </c>
      <c r="I105" s="29">
        <f>Table22342102345678[[#This Row],[Florent ]]-E$20</f>
        <v>9.8443479230810631</v>
      </c>
      <c r="J105" s="29">
        <f>Table22342102345678[[#This Row],[Florent ]]*E$21+E$22</f>
        <v>10.619042785046462</v>
      </c>
      <c r="K105" s="56">
        <f>Table22342102345678[[#This Row],[Yest]]-Table22342102345678[[#This Row],[REF]]</f>
        <v>-0.38095721495353807</v>
      </c>
      <c r="L105" s="56">
        <f>ABS(Table22342102345678[[#This Row],[RESyx]])</f>
        <v>0.38095721495353807</v>
      </c>
      <c r="M105" s="29">
        <f>Table22342102345678[[#This Row],[Florent ]]*E$25+E$26</f>
        <v>10.341264486547701</v>
      </c>
      <c r="N105" s="29">
        <f>Table22342102345678[[#This Row],[X-Y]]^2</f>
        <v>2.0967459793011445</v>
      </c>
      <c r="O105" s="57">
        <f>Table22342102345678[[#This Row],[yest_rect]]-Table22342102345678[[#This Row],[REF]]</f>
        <v>-0.65873551345229941</v>
      </c>
      <c r="P105" s="57">
        <f>Table22342102345678[[#This Row],[dif rec]]^2</f>
        <v>0.43393247668326457</v>
      </c>
      <c r="Q105" s="57">
        <f>ABS(Table22342102345678[[#This Row],[diff-bias]])</f>
        <v>1.1556520769189369</v>
      </c>
      <c r="R105" s="57">
        <f ca="1">CELL("row",Table22342102345678[[#This Row],[Position]])</f>
        <v>105</v>
      </c>
      <c r="S105" s="4">
        <f>Table22342102345678[[#This Row],[REF]]-D$13</f>
        <v>-1.0000250000000932E-2</v>
      </c>
      <c r="T105" s="4">
        <f>ABS(Table22342102345678[[#This Row],[lab-med]])</f>
        <v>1.0000250000000932E-2</v>
      </c>
      <c r="U105" s="4">
        <f>Table22342102345678[[#This Row],[Florent ]]-F$13</f>
        <v>-1.0961826897911813</v>
      </c>
      <c r="V105" s="4">
        <f>ABS(Table22342102345678[[#This Row],[anl-med]])</f>
        <v>1.0961826897911813</v>
      </c>
      <c r="W105" s="4">
        <f>Table22342102345678[[#This Row],[lab-med]]*Table22342102345678[[#This Row],[anl-med]]</f>
        <v>1.0962100943585282E-2</v>
      </c>
    </row>
    <row r="106" spans="2:23" x14ac:dyDescent="0.25">
      <c r="B106" s="46">
        <f ca="1">VALUE((Table22342102345678[[#This Row],[Column3]]-62))</f>
        <v>44</v>
      </c>
      <c r="C106" t="s">
        <v>112</v>
      </c>
      <c r="D106">
        <v>9.9700003000000006</v>
      </c>
      <c r="E106"/>
      <c r="F106" s="89">
        <v>9.0931854504746603</v>
      </c>
      <c r="G106" s="29">
        <f>Table22342102345678[[#This Row],[Florent ]]-Table22342102345678[[#This Row],[REF]]</f>
        <v>-0.87681484952534028</v>
      </c>
      <c r="H106" s="29">
        <f>Table22342102345678[[#This Row],[X-Y]]-E$20</f>
        <v>-0.58445243090179666</v>
      </c>
      <c r="I106" s="29">
        <f>Table22342102345678[[#This Row],[Florent ]]-E$20</f>
        <v>9.3855478690982039</v>
      </c>
      <c r="J106" s="29">
        <f>Table22342102345678[[#This Row],[Florent ]]*E$21+E$22</f>
        <v>10.44118132855959</v>
      </c>
      <c r="K106" s="56">
        <f>Table22342102345678[[#This Row],[Yest]]-Table22342102345678[[#This Row],[REF]]</f>
        <v>0.47118102855958988</v>
      </c>
      <c r="L106" s="56">
        <f>ABS(Table22342102345678[[#This Row],[RESyx]])</f>
        <v>0.47118102855958988</v>
      </c>
      <c r="M106" s="29">
        <f>Table22342102345678[[#This Row],[Florent ]]*E$25+E$26</f>
        <v>10.0626683415706</v>
      </c>
      <c r="N106" s="29">
        <f>Table22342102345678[[#This Row],[X-Y]]^2</f>
        <v>0.76880428034814507</v>
      </c>
      <c r="O106" s="57">
        <f>Table22342102345678[[#This Row],[yest_rect]]-Table22342102345678[[#This Row],[REF]]</f>
        <v>9.2668041570599158E-2</v>
      </c>
      <c r="P106" s="57">
        <f>Table22342102345678[[#This Row],[dif rec]]^2</f>
        <v>8.5873659285302939E-3</v>
      </c>
      <c r="Q106" s="57">
        <f>ABS(Table22342102345678[[#This Row],[diff-bias]])</f>
        <v>0.58445243090179666</v>
      </c>
      <c r="R106" s="57">
        <f ca="1">CELL("row",Table22342102345678[[#This Row],[Position]])</f>
        <v>106</v>
      </c>
      <c r="S106" s="4">
        <f>Table22342102345678[[#This Row],[REF]]-D$13</f>
        <v>-1.0399999500000003</v>
      </c>
      <c r="T106" s="4">
        <f>ABS(Table22342102345678[[#This Row],[lab-med]])</f>
        <v>1.0399999500000003</v>
      </c>
      <c r="U106" s="4">
        <f>Table22342102345678[[#This Row],[Florent ]]-F$13</f>
        <v>-1.5549827437740404</v>
      </c>
      <c r="V106" s="4">
        <f>ABS(Table22342102345678[[#This Row],[anl-med]])</f>
        <v>1.5549827437740404</v>
      </c>
      <c r="W106" s="4">
        <f>Table22342102345678[[#This Row],[lab-med]]*Table22342102345678[[#This Row],[anl-med]]</f>
        <v>1.6171819757758654</v>
      </c>
    </row>
    <row r="107" spans="2:23" x14ac:dyDescent="0.25">
      <c r="B107" s="46">
        <f ca="1">VALUE((Table22342102345678[[#This Row],[Column3]]-62))</f>
        <v>45</v>
      </c>
      <c r="C107" t="s">
        <v>113</v>
      </c>
      <c r="D107">
        <v>12.899999599999999</v>
      </c>
      <c r="E107"/>
      <c r="F107" s="89">
        <v>12.451571548045299</v>
      </c>
      <c r="G107" s="29">
        <f>Table22342102345678[[#This Row],[Florent ]]-Table22342102345678[[#This Row],[REF]]</f>
        <v>-0.44842805195469992</v>
      </c>
      <c r="H107" s="29">
        <f>Table22342102345678[[#This Row],[X-Y]]-E$20</f>
        <v>-0.15606563333115631</v>
      </c>
      <c r="I107" s="29">
        <f>Table22342102345678[[#This Row],[Florent ]]-E$20</f>
        <v>12.743933966668843</v>
      </c>
      <c r="J107" s="29">
        <f>Table22342102345678[[#This Row],[Florent ]]*E$21+E$22</f>
        <v>11.7431154446822</v>
      </c>
      <c r="K107" s="56">
        <f>Table22342102345678[[#This Row],[Yest]]-Table22342102345678[[#This Row],[REF]]</f>
        <v>-1.1568841553177993</v>
      </c>
      <c r="L107" s="56">
        <f>ABS(Table22342102345678[[#This Row],[RESyx]])</f>
        <v>1.1568841553177993</v>
      </c>
      <c r="M107" s="29">
        <f>Table22342102345678[[#This Row],[Florent ]]*E$25+E$26</f>
        <v>12.101973725267921</v>
      </c>
      <c r="N107" s="29">
        <f>Table22342102345678[[#This Row],[X-Y]]^2</f>
        <v>0.20108771777988704</v>
      </c>
      <c r="O107" s="57">
        <f>Table22342102345678[[#This Row],[yest_rect]]-Table22342102345678[[#This Row],[REF]]</f>
        <v>-0.79802587473207787</v>
      </c>
      <c r="P107" s="57">
        <f>Table22342102345678[[#This Row],[dif rec]]^2</f>
        <v>0.63684529674189805</v>
      </c>
      <c r="Q107" s="57">
        <f>ABS(Table22342102345678[[#This Row],[diff-bias]])</f>
        <v>0.15606563333115631</v>
      </c>
      <c r="R107" s="57">
        <f ca="1">CELL("row",Table22342102345678[[#This Row],[Position]])</f>
        <v>107</v>
      </c>
      <c r="S107" s="4">
        <f>Table22342102345678[[#This Row],[REF]]-D$13</f>
        <v>1.8899993499999983</v>
      </c>
      <c r="T107" s="4">
        <f>ABS(Table22342102345678[[#This Row],[lab-med]])</f>
        <v>1.8899993499999983</v>
      </c>
      <c r="U107" s="4">
        <f>Table22342102345678[[#This Row],[Florent ]]-F$13</f>
        <v>1.8034033537965986</v>
      </c>
      <c r="V107" s="4">
        <f>ABS(Table22342102345678[[#This Row],[anl-med]])</f>
        <v>1.8034033537965986</v>
      </c>
      <c r="W107" s="4">
        <f>Table22342102345678[[#This Row],[lab-med]]*Table22342102345678[[#This Row],[anl-med]]</f>
        <v>3.4084311664633882</v>
      </c>
    </row>
    <row r="108" spans="2:23" x14ac:dyDescent="0.25">
      <c r="B108" s="46">
        <f ca="1">VALUE((Table22342102345678[[#This Row],[Column3]]-62))</f>
        <v>46</v>
      </c>
      <c r="C108" t="s">
        <v>114</v>
      </c>
      <c r="D108">
        <v>10.529999699999999</v>
      </c>
      <c r="E108"/>
      <c r="F108" s="89">
        <v>9.0186863565542197</v>
      </c>
      <c r="G108" s="29">
        <f>Table22342102345678[[#This Row],[Florent ]]-Table22342102345678[[#This Row],[REF]]</f>
        <v>-1.5113133434457797</v>
      </c>
      <c r="H108" s="29">
        <f>Table22342102345678[[#This Row],[X-Y]]-E$20</f>
        <v>-1.2189509248222361</v>
      </c>
      <c r="I108" s="29">
        <f>Table22342102345678[[#This Row],[Florent ]]-E$20</f>
        <v>9.3110487751777633</v>
      </c>
      <c r="J108" s="29">
        <f>Table22342102345678[[#This Row],[Florent ]]*E$21+E$22</f>
        <v>10.412300518200887</v>
      </c>
      <c r="K108" s="56">
        <f>Table22342102345678[[#This Row],[Yest]]-Table22342102345678[[#This Row],[REF]]</f>
        <v>-0.11769918179911265</v>
      </c>
      <c r="L108" s="56">
        <f>ABS(Table22342102345678[[#This Row],[RESyx]])</f>
        <v>0.11769918179911265</v>
      </c>
      <c r="M108" s="29">
        <f>Table22342102345678[[#This Row],[Florent ]]*E$25+E$26</f>
        <v>10.017430421063953</v>
      </c>
      <c r="N108" s="29">
        <f>Table22342102345678[[#This Row],[X-Y]]^2</f>
        <v>2.2840680220772613</v>
      </c>
      <c r="O108" s="57">
        <f>Table22342102345678[[#This Row],[yest_rect]]-Table22342102345678[[#This Row],[REF]]</f>
        <v>-0.51256927893604676</v>
      </c>
      <c r="P108" s="57">
        <f>Table22342102345678[[#This Row],[dif rec]]^2</f>
        <v>0.26272726570901889</v>
      </c>
      <c r="Q108" s="57">
        <f>ABS(Table22342102345678[[#This Row],[diff-bias]])</f>
        <v>1.2189509248222361</v>
      </c>
      <c r="R108" s="57">
        <f ca="1">CELL("row",Table22342102345678[[#This Row],[Position]])</f>
        <v>108</v>
      </c>
      <c r="S108" s="4">
        <f>Table22342102345678[[#This Row],[REF]]-D$13</f>
        <v>-0.48000055000000152</v>
      </c>
      <c r="T108" s="4">
        <f>ABS(Table22342102345678[[#This Row],[lab-med]])</f>
        <v>0.48000055000000152</v>
      </c>
      <c r="U108" s="4">
        <f>Table22342102345678[[#This Row],[Florent ]]-F$13</f>
        <v>-1.6294818376944811</v>
      </c>
      <c r="V108" s="4">
        <f>ABS(Table22342102345678[[#This Row],[anl-med]])</f>
        <v>1.6294818376944811</v>
      </c>
      <c r="W108" s="4">
        <f>Table22342102345678[[#This Row],[lab-med]]*Table22342102345678[[#This Row],[anl-med]]</f>
        <v>0.78215217830836414</v>
      </c>
    </row>
    <row r="109" spans="2:23" x14ac:dyDescent="0.25">
      <c r="B109" s="46">
        <f ca="1">VALUE((Table22342102345678[[#This Row],[Column3]]-62))</f>
        <v>47</v>
      </c>
      <c r="C109" t="s">
        <v>115</v>
      </c>
      <c r="D109">
        <v>11.0600004</v>
      </c>
      <c r="E109"/>
      <c r="F109" s="89">
        <v>11.214771775984801</v>
      </c>
      <c r="G109" s="29">
        <f>Table22342102345678[[#This Row],[Florent ]]-Table22342102345678[[#This Row],[REF]]</f>
        <v>0.15477137598480084</v>
      </c>
      <c r="H109" s="29">
        <f>Table22342102345678[[#This Row],[X-Y]]-E$20</f>
        <v>0.44713379460834446</v>
      </c>
      <c r="I109" s="29">
        <f>Table22342102345678[[#This Row],[Florent ]]-E$20</f>
        <v>11.507134194608344</v>
      </c>
      <c r="J109" s="29">
        <f>Table22342102345678[[#This Row],[Florent ]]*E$21+E$22</f>
        <v>11.2636494835698</v>
      </c>
      <c r="K109" s="56">
        <f>Table22342102345678[[#This Row],[Yest]]-Table22342102345678[[#This Row],[REF]]</f>
        <v>0.20364908356980038</v>
      </c>
      <c r="L109" s="56">
        <f>ABS(Table22342102345678[[#This Row],[RESyx]])</f>
        <v>0.20364908356980038</v>
      </c>
      <c r="M109" s="29">
        <f>Table22342102345678[[#This Row],[Florent ]]*E$25+E$26</f>
        <v>11.350954527224227</v>
      </c>
      <c r="N109" s="29">
        <f>Table22342102345678[[#This Row],[X-Y]]^2</f>
        <v>2.3954178824228588E-2</v>
      </c>
      <c r="O109" s="57">
        <f>Table22342102345678[[#This Row],[yest_rect]]-Table22342102345678[[#This Row],[REF]]</f>
        <v>0.29095412722422687</v>
      </c>
      <c r="P109" s="57">
        <f>Table22342102345678[[#This Row],[dif rec]]^2</f>
        <v>8.4654304148811588E-2</v>
      </c>
      <c r="Q109" s="57">
        <f>ABS(Table22342102345678[[#This Row],[diff-bias]])</f>
        <v>0.44713379460834446</v>
      </c>
      <c r="R109" s="57">
        <f ca="1">CELL("row",Table22342102345678[[#This Row],[Position]])</f>
        <v>109</v>
      </c>
      <c r="S109" s="4">
        <f>Table22342102345678[[#This Row],[REF]]-D$13</f>
        <v>5.0000149999998911E-2</v>
      </c>
      <c r="T109" s="4">
        <f>ABS(Table22342102345678[[#This Row],[lab-med]])</f>
        <v>5.0000149999998911E-2</v>
      </c>
      <c r="U109" s="4">
        <f>Table22342102345678[[#This Row],[Florent ]]-F$13</f>
        <v>0.56660358173609993</v>
      </c>
      <c r="V109" s="4">
        <f>ABS(Table22342102345678[[#This Row],[anl-med]])</f>
        <v>0.56660358173609993</v>
      </c>
      <c r="W109" s="4">
        <f>Table22342102345678[[#This Row],[lab-med]]*Table22342102345678[[#This Row],[anl-med]]</f>
        <v>2.8330264077341641E-2</v>
      </c>
    </row>
    <row r="110" spans="2:23" x14ac:dyDescent="0.25">
      <c r="B110" s="46">
        <f ca="1">VALUE((Table22342102345678[[#This Row],[Column3]]-62))</f>
        <v>48</v>
      </c>
      <c r="C110" t="s">
        <v>116</v>
      </c>
      <c r="D110">
        <v>9.1000004000000008</v>
      </c>
      <c r="E110"/>
      <c r="F110" s="89">
        <v>7.59405362605749</v>
      </c>
      <c r="G110" s="29">
        <f>Table22342102345678[[#This Row],[Florent ]]-Table22342102345678[[#This Row],[REF]]</f>
        <v>-1.5059467739425108</v>
      </c>
      <c r="H110" s="29">
        <f>Table22342102345678[[#This Row],[X-Y]]-E$20</f>
        <v>-1.2135843553189671</v>
      </c>
      <c r="I110" s="29">
        <f>Table22342102345678[[#This Row],[Florent ]]-E$20</f>
        <v>7.8864160446810336</v>
      </c>
      <c r="J110" s="29">
        <f>Table22342102345678[[#This Row],[Florent ]]*E$21+E$22</f>
        <v>9.8600179929366547</v>
      </c>
      <c r="K110" s="56">
        <f>Table22342102345678[[#This Row],[Yest]]-Table22342102345678[[#This Row],[REF]]</f>
        <v>0.76001759293665394</v>
      </c>
      <c r="L110" s="56">
        <f>ABS(Table22342102345678[[#This Row],[RESyx]])</f>
        <v>0.76001759293665394</v>
      </c>
      <c r="M110" s="29">
        <f>Table22342102345678[[#This Row],[Florent ]]*E$25+E$26</f>
        <v>9.1523538299016156</v>
      </c>
      <c r="N110" s="29">
        <f>Table22342102345678[[#This Row],[X-Y]]^2</f>
        <v>2.2678756859478555</v>
      </c>
      <c r="O110" s="57">
        <f>Table22342102345678[[#This Row],[yest_rect]]-Table22342102345678[[#This Row],[REF]]</f>
        <v>5.2353429901614845E-2</v>
      </c>
      <c r="P110" s="57">
        <f>Table22342102345678[[#This Row],[dif rec]]^2</f>
        <v>2.7408816224632994E-3</v>
      </c>
      <c r="Q110" s="57">
        <f>ABS(Table22342102345678[[#This Row],[diff-bias]])</f>
        <v>1.2135843553189671</v>
      </c>
      <c r="R110" s="57">
        <f ca="1">CELL("row",Table22342102345678[[#This Row],[Position]])</f>
        <v>110</v>
      </c>
      <c r="S110" s="4">
        <f>Table22342102345678[[#This Row],[REF]]-D$13</f>
        <v>-1.9099998500000002</v>
      </c>
      <c r="T110" s="4">
        <f>ABS(Table22342102345678[[#This Row],[lab-med]])</f>
        <v>1.9099998500000002</v>
      </c>
      <c r="U110" s="4">
        <f>Table22342102345678[[#This Row],[Florent ]]-F$13</f>
        <v>-3.0541145681912107</v>
      </c>
      <c r="V110" s="4">
        <f>ABS(Table22342102345678[[#This Row],[anl-med]])</f>
        <v>3.0541145681912107</v>
      </c>
      <c r="W110" s="4">
        <f>Table22342102345678[[#This Row],[lab-med]]*Table22342102345678[[#This Row],[anl-med]]</f>
        <v>5.833358367128028</v>
      </c>
    </row>
    <row r="111" spans="2:23" x14ac:dyDescent="0.25">
      <c r="B111" s="46">
        <f ca="1">VALUE((Table22342102345678[[#This Row],[Column3]]-62))</f>
        <v>49</v>
      </c>
      <c r="C111" t="s">
        <v>117</v>
      </c>
      <c r="D111">
        <v>8.9700003000000006</v>
      </c>
      <c r="E111"/>
      <c r="F111" s="89">
        <v>8.3539354033207296</v>
      </c>
      <c r="G111" s="29">
        <f>Table22342102345678[[#This Row],[Florent ]]-Table22342102345678[[#This Row],[REF]]</f>
        <v>-0.616064896679271</v>
      </c>
      <c r="H111" s="29">
        <f>Table22342102345678[[#This Row],[X-Y]]-E$20</f>
        <v>-0.32370247805572738</v>
      </c>
      <c r="I111" s="29">
        <f>Table22342102345678[[#This Row],[Florent ]]-E$20</f>
        <v>8.6462978219442732</v>
      </c>
      <c r="J111" s="29">
        <f>Table22342102345678[[#This Row],[Florent ]]*E$21+E$22</f>
        <v>10.154598777068216</v>
      </c>
      <c r="K111" s="56">
        <f>Table22342102345678[[#This Row],[Yest]]-Table22342102345678[[#This Row],[REF]]</f>
        <v>1.1845984770682154</v>
      </c>
      <c r="L111" s="56">
        <f>ABS(Table22342102345678[[#This Row],[RESyx]])</f>
        <v>1.1845984770682154</v>
      </c>
      <c r="M111" s="29">
        <f>Table22342102345678[[#This Row],[Florent ]]*E$25+E$26</f>
        <v>9.6137751657234176</v>
      </c>
      <c r="N111" s="29">
        <f>Table22342102345678[[#This Row],[X-Y]]^2</f>
        <v>0.37953595692044084</v>
      </c>
      <c r="O111" s="57">
        <f>Table22342102345678[[#This Row],[yest_rect]]-Table22342102345678[[#This Row],[REF]]</f>
        <v>0.64377486572341702</v>
      </c>
      <c r="P111" s="57">
        <f>Table22342102345678[[#This Row],[dif rec]]^2</f>
        <v>0.4144460777372036</v>
      </c>
      <c r="Q111" s="57">
        <f>ABS(Table22342102345678[[#This Row],[diff-bias]])</f>
        <v>0.32370247805572738</v>
      </c>
      <c r="R111" s="57">
        <f ca="1">CELL("row",Table22342102345678[[#This Row],[Position]])</f>
        <v>111</v>
      </c>
      <c r="S111" s="4">
        <f>Table22342102345678[[#This Row],[REF]]-D$13</f>
        <v>-2.0399999500000003</v>
      </c>
      <c r="T111" s="4">
        <f>ABS(Table22342102345678[[#This Row],[lab-med]])</f>
        <v>2.0399999500000003</v>
      </c>
      <c r="U111" s="4">
        <f>Table22342102345678[[#This Row],[Florent ]]-F$13</f>
        <v>-2.2942327909279712</v>
      </c>
      <c r="V111" s="4">
        <f>ABS(Table22342102345678[[#This Row],[anl-med]])</f>
        <v>2.2942327909279712</v>
      </c>
      <c r="W111" s="4">
        <f>Table22342102345678[[#This Row],[lab-med]]*Table22342102345678[[#This Row],[anl-med]]</f>
        <v>4.680234778781422</v>
      </c>
    </row>
    <row r="112" spans="2:23" x14ac:dyDescent="0.25">
      <c r="B112" s="46">
        <f ca="1">VALUE((Table22342102345678[[#This Row],[Column3]]-62))</f>
        <v>50</v>
      </c>
      <c r="C112" t="s">
        <v>118</v>
      </c>
      <c r="D112">
        <v>11.1199999</v>
      </c>
      <c r="E112"/>
      <c r="F112" s="89">
        <v>13.904277852202</v>
      </c>
      <c r="G112" s="29">
        <f>Table22342102345678[[#This Row],[Florent ]]-Table22342102345678[[#This Row],[REF]]</f>
        <v>2.7842779522020003</v>
      </c>
      <c r="H112" s="29">
        <f>Table22342102345678[[#This Row],[X-Y]]-E$20</f>
        <v>3.0766403708255439</v>
      </c>
      <c r="I112" s="29">
        <f>Table22342102345678[[#This Row],[Florent ]]-E$20</f>
        <v>14.196640270825544</v>
      </c>
      <c r="J112" s="29">
        <f>Table22342102345678[[#This Row],[Florent ]]*E$21+E$22</f>
        <v>12.306281156765195</v>
      </c>
      <c r="K112" s="56">
        <f>Table22342102345678[[#This Row],[Yest]]-Table22342102345678[[#This Row],[REF]]</f>
        <v>1.186281256765195</v>
      </c>
      <c r="L112" s="56">
        <f>ABS(Table22342102345678[[#This Row],[RESyx]])</f>
        <v>1.186281256765195</v>
      </c>
      <c r="M112" s="29">
        <f>Table22342102345678[[#This Row],[Florent ]]*E$25+E$26</f>
        <v>12.984097370652469</v>
      </c>
      <c r="N112" s="29">
        <f>Table22342102345678[[#This Row],[X-Y]]^2</f>
        <v>7.7522037151181644</v>
      </c>
      <c r="O112" s="57">
        <f>Table22342102345678[[#This Row],[yest_rect]]-Table22342102345678[[#This Row],[REF]]</f>
        <v>1.8640974706524691</v>
      </c>
      <c r="P112" s="57">
        <f>Table22342102345678[[#This Row],[dif rec]]^2</f>
        <v>3.474859380092933</v>
      </c>
      <c r="Q112" s="57">
        <f>ABS(Table22342102345678[[#This Row],[diff-bias]])</f>
        <v>3.0766403708255439</v>
      </c>
      <c r="R112" s="57">
        <f ca="1">CELL("row",Table22342102345678[[#This Row],[Position]])</f>
        <v>112</v>
      </c>
      <c r="S112" s="4">
        <f>Table22342102345678[[#This Row],[REF]]-D$13</f>
        <v>0.10999964999999889</v>
      </c>
      <c r="T112" s="4">
        <f>ABS(Table22342102345678[[#This Row],[lab-med]])</f>
        <v>0.10999964999999889</v>
      </c>
      <c r="U112" s="4">
        <f>Table22342102345678[[#This Row],[Florent ]]-F$13</f>
        <v>3.2561096579532993</v>
      </c>
      <c r="V112" s="4">
        <f>ABS(Table22342102345678[[#This Row],[anl-med]])</f>
        <v>3.2561096579532993</v>
      </c>
      <c r="W112" s="4">
        <f>Table22342102345678[[#This Row],[lab-med]]*Table22342102345678[[#This Row],[anl-med]]</f>
        <v>0.35817092273647905</v>
      </c>
    </row>
    <row r="113" spans="2:23" x14ac:dyDescent="0.25">
      <c r="B113" s="46">
        <f ca="1">VALUE((Table22342102345678[[#This Row],[Column3]]-62))</f>
        <v>51</v>
      </c>
      <c r="C113" t="s">
        <v>119</v>
      </c>
      <c r="D113">
        <v>9.2299994999999999</v>
      </c>
      <c r="E113"/>
      <c r="F113" s="89">
        <v>11.0599568454112</v>
      </c>
      <c r="G113" s="29">
        <f>Table22342102345678[[#This Row],[Florent ]]-Table22342102345678[[#This Row],[REF]]</f>
        <v>1.8299573454112004</v>
      </c>
      <c r="H113" s="29">
        <f>Table22342102345678[[#This Row],[X-Y]]-E$20</f>
        <v>2.122319764034744</v>
      </c>
      <c r="I113" s="29">
        <f>Table22342102345678[[#This Row],[Florent ]]-E$20</f>
        <v>11.352319264034744</v>
      </c>
      <c r="J113" s="29">
        <f>Table22342102345678[[#This Row],[Florent ]]*E$21+E$22</f>
        <v>11.203632905980722</v>
      </c>
      <c r="K113" s="56">
        <f>Table22342102345678[[#This Row],[Yest]]-Table22342102345678[[#This Row],[REF]]</f>
        <v>1.9736334059807223</v>
      </c>
      <c r="L113" s="56">
        <f>ABS(Table22342102345678[[#This Row],[RESyx]])</f>
        <v>1.9736334059807223</v>
      </c>
      <c r="M113" s="29">
        <f>Table22342102345678[[#This Row],[Florent ]]*E$25+E$26</f>
        <v>11.256946598349149</v>
      </c>
      <c r="N113" s="29">
        <f>Table22342102345678[[#This Row],[X-Y]]^2</f>
        <v>3.3487438860244074</v>
      </c>
      <c r="O113" s="57">
        <f>Table22342102345678[[#This Row],[yest_rect]]-Table22342102345678[[#This Row],[REF]]</f>
        <v>2.0269470983491491</v>
      </c>
      <c r="P113" s="57">
        <f>Table22342102345678[[#This Row],[dif rec]]^2</f>
        <v>4.108514539506035</v>
      </c>
      <c r="Q113" s="57">
        <f>ABS(Table22342102345678[[#This Row],[diff-bias]])</f>
        <v>2.122319764034744</v>
      </c>
      <c r="R113" s="57">
        <f ca="1">CELL("row",Table22342102345678[[#This Row],[Position]])</f>
        <v>113</v>
      </c>
      <c r="S113" s="4">
        <f>Table22342102345678[[#This Row],[REF]]-D$13</f>
        <v>-1.780000750000001</v>
      </c>
      <c r="T113" s="4">
        <f>ABS(Table22342102345678[[#This Row],[lab-med]])</f>
        <v>1.780000750000001</v>
      </c>
      <c r="U113" s="4">
        <f>Table22342102345678[[#This Row],[Florent ]]-F$13</f>
        <v>0.41178865116249952</v>
      </c>
      <c r="V113" s="4">
        <f>ABS(Table22342102345678[[#This Row],[anl-med]])</f>
        <v>0.41178865116249952</v>
      </c>
      <c r="W113" s="4">
        <f>Table22342102345678[[#This Row],[lab-med]]*Table22342102345678[[#This Row],[anl-med]]</f>
        <v>-0.73298410791073798</v>
      </c>
    </row>
    <row r="114" spans="2:23" x14ac:dyDescent="0.25">
      <c r="B114" s="46">
        <f ca="1">VALUE((Table22342102345678[[#This Row],[Column3]]-62))</f>
        <v>52</v>
      </c>
      <c r="C114" t="s">
        <v>120</v>
      </c>
      <c r="D114">
        <v>11.2299995</v>
      </c>
      <c r="E114"/>
      <c r="F114" s="89">
        <v>8.3485926758529398</v>
      </c>
      <c r="G114" s="29">
        <f>Table22342102345678[[#This Row],[Florent ]]-Table22342102345678[[#This Row],[REF]]</f>
        <v>-2.8814068241470601</v>
      </c>
      <c r="H114" s="29">
        <f>Table22342102345678[[#This Row],[X-Y]]-E$20</f>
        <v>-2.5890444055235164</v>
      </c>
      <c r="I114" s="29">
        <f>Table22342102345678[[#This Row],[Florent ]]-E$20</f>
        <v>8.6409550944764835</v>
      </c>
      <c r="J114" s="29">
        <f>Table22342102345678[[#This Row],[Florent ]]*E$21+E$22</f>
        <v>10.152527580082111</v>
      </c>
      <c r="K114" s="56">
        <f>Table22342102345678[[#This Row],[Yest]]-Table22342102345678[[#This Row],[REF]]</f>
        <v>-1.0774719199178886</v>
      </c>
      <c r="L114" s="56">
        <f>ABS(Table22342102345678[[#This Row],[RESyx]])</f>
        <v>1.0774719199178886</v>
      </c>
      <c r="M114" s="29">
        <f>Table22342102345678[[#This Row],[Florent ]]*E$25+E$26</f>
        <v>9.6105309131055989</v>
      </c>
      <c r="N114" s="29">
        <f>Table22342102345678[[#This Row],[X-Y]]^2</f>
        <v>8.3025052862412458</v>
      </c>
      <c r="O114" s="57">
        <f>Table22342102345678[[#This Row],[yest_rect]]-Table22342102345678[[#This Row],[REF]]</f>
        <v>-1.619468586894401</v>
      </c>
      <c r="P114" s="57">
        <f>Table22342102345678[[#This Row],[dif rec]]^2</f>
        <v>2.622678503937748</v>
      </c>
      <c r="Q114" s="57">
        <f>ABS(Table22342102345678[[#This Row],[diff-bias]])</f>
        <v>2.5890444055235164</v>
      </c>
      <c r="R114" s="57">
        <f ca="1">CELL("row",Table22342102345678[[#This Row],[Position]])</f>
        <v>114</v>
      </c>
      <c r="S114" s="4">
        <f>Table22342102345678[[#This Row],[REF]]-D$13</f>
        <v>0.21999924999999898</v>
      </c>
      <c r="T114" s="4">
        <f>ABS(Table22342102345678[[#This Row],[lab-med]])</f>
        <v>0.21999924999999898</v>
      </c>
      <c r="U114" s="4">
        <f>Table22342102345678[[#This Row],[Florent ]]-F$13</f>
        <v>-2.2995755183957609</v>
      </c>
      <c r="V114" s="4">
        <f>ABS(Table22342102345678[[#This Row],[anl-med]])</f>
        <v>2.2995755183957609</v>
      </c>
      <c r="W114" s="4">
        <f>Table22342102345678[[#This Row],[lab-med]]*Table22342102345678[[#This Row],[anl-med]]</f>
        <v>-0.50590488936542621</v>
      </c>
    </row>
    <row r="115" spans="2:23" x14ac:dyDescent="0.25">
      <c r="B115" s="46">
        <f ca="1">VALUE((Table22342102345678[[#This Row],[Column3]]-62))</f>
        <v>53</v>
      </c>
      <c r="C115" t="s">
        <v>121</v>
      </c>
      <c r="D115">
        <v>11.2299995</v>
      </c>
      <c r="E115"/>
      <c r="F115" s="89">
        <v>14.5397575505964</v>
      </c>
      <c r="G115" s="29">
        <f>Table22342102345678[[#This Row],[Florent ]]-Table22342102345678[[#This Row],[REF]]</f>
        <v>3.3097580505964004</v>
      </c>
      <c r="H115" s="29">
        <f>Table22342102345678[[#This Row],[X-Y]]-E$20</f>
        <v>3.602120469219944</v>
      </c>
      <c r="I115" s="29">
        <f>Table22342102345678[[#This Row],[Florent ]]-E$20</f>
        <v>14.832119969219944</v>
      </c>
      <c r="J115" s="29">
        <f>Table22342102345678[[#This Row],[Florent ]]*E$21+E$22</f>
        <v>12.552635410089866</v>
      </c>
      <c r="K115" s="56">
        <f>Table22342102345678[[#This Row],[Yest]]-Table22342102345678[[#This Row],[REF]]</f>
        <v>1.3226359100898666</v>
      </c>
      <c r="L115" s="56">
        <f>ABS(Table22342102345678[[#This Row],[RESyx]])</f>
        <v>1.3226359100898666</v>
      </c>
      <c r="M115" s="29">
        <f>Table22342102345678[[#This Row],[Florent ]]*E$25+E$26</f>
        <v>13.369978306469674</v>
      </c>
      <c r="N115" s="29">
        <f>Table22342102345678[[#This Row],[X-Y]]^2</f>
        <v>10.954498353487685</v>
      </c>
      <c r="O115" s="57">
        <f>Table22342102345678[[#This Row],[yest_rect]]-Table22342102345678[[#This Row],[REF]]</f>
        <v>2.1399788064696743</v>
      </c>
      <c r="P115" s="57">
        <f>Table22342102345678[[#This Row],[dif rec]]^2</f>
        <v>4.5795092921393721</v>
      </c>
      <c r="Q115" s="57">
        <f>ABS(Table22342102345678[[#This Row],[diff-bias]])</f>
        <v>3.602120469219944</v>
      </c>
      <c r="R115" s="57">
        <f ca="1">CELL("row",Table22342102345678[[#This Row],[Position]])</f>
        <v>115</v>
      </c>
      <c r="S115" s="4">
        <f>Table22342102345678[[#This Row],[REF]]-D$13</f>
        <v>0.21999924999999898</v>
      </c>
      <c r="T115" s="4">
        <f>ABS(Table22342102345678[[#This Row],[lab-med]])</f>
        <v>0.21999924999999898</v>
      </c>
      <c r="U115" s="4">
        <f>Table22342102345678[[#This Row],[Florent ]]-F$13</f>
        <v>3.8915893563476995</v>
      </c>
      <c r="V115" s="4">
        <f>ABS(Table22342102345678[[#This Row],[anl-med]])</f>
        <v>3.8915893563476995</v>
      </c>
      <c r="W115" s="4">
        <f>Table22342102345678[[#This Row],[lab-med]]*Table22342102345678[[#This Row],[anl-med]]</f>
        <v>0.85614673970447264</v>
      </c>
    </row>
    <row r="116" spans="2:23" x14ac:dyDescent="0.25">
      <c r="B116" s="46">
        <f ca="1">VALUE((Table22342102345678[[#This Row],[Column3]]-62))</f>
        <v>54</v>
      </c>
      <c r="C116" t="s">
        <v>122</v>
      </c>
      <c r="D116">
        <v>11.2399998</v>
      </c>
      <c r="E116"/>
      <c r="F116" s="89">
        <v>12.3196155490728</v>
      </c>
      <c r="G116" s="29">
        <f>Table22342102345678[[#This Row],[Florent ]]-Table22342102345678[[#This Row],[REF]]</f>
        <v>1.0796157490728007</v>
      </c>
      <c r="H116" s="29">
        <f>Table22342102345678[[#This Row],[X-Y]]-E$20</f>
        <v>1.3719781676963443</v>
      </c>
      <c r="I116" s="29">
        <f>Table22342102345678[[#This Row],[Florent ]]-E$20</f>
        <v>12.611977967696344</v>
      </c>
      <c r="J116" s="29">
        <f>Table22342102345678[[#This Row],[Florent ]]*E$21+E$22</f>
        <v>11.691960511360623</v>
      </c>
      <c r="K116" s="56">
        <f>Table22342102345678[[#This Row],[Yest]]-Table22342102345678[[#This Row],[REF]]</f>
        <v>0.45196071136062343</v>
      </c>
      <c r="L116" s="56">
        <f>ABS(Table22342102345678[[#This Row],[RESyx]])</f>
        <v>0.45196071136062343</v>
      </c>
      <c r="M116" s="29">
        <f>Table22342102345678[[#This Row],[Florent ]]*E$25+E$26</f>
        <v>12.021846375017624</v>
      </c>
      <c r="N116" s="29">
        <f>Table22342102345678[[#This Row],[X-Y]]^2</f>
        <v>1.1655701656460244</v>
      </c>
      <c r="O116" s="57">
        <f>Table22342102345678[[#This Row],[yest_rect]]-Table22342102345678[[#This Row],[REF]]</f>
        <v>0.78184657501762445</v>
      </c>
      <c r="P116" s="57">
        <f>Table22342102345678[[#This Row],[dif rec]]^2</f>
        <v>0.61128406686678982</v>
      </c>
      <c r="Q116" s="57">
        <f>ABS(Table22342102345678[[#This Row],[diff-bias]])</f>
        <v>1.3719781676963443</v>
      </c>
      <c r="R116" s="57">
        <f ca="1">CELL("row",Table22342102345678[[#This Row],[Position]])</f>
        <v>116</v>
      </c>
      <c r="S116" s="4">
        <f>Table22342102345678[[#This Row],[REF]]-D$13</f>
        <v>0.22999954999999872</v>
      </c>
      <c r="T116" s="4">
        <f>ABS(Table22342102345678[[#This Row],[lab-med]])</f>
        <v>0.22999954999999872</v>
      </c>
      <c r="U116" s="4">
        <f>Table22342102345678[[#This Row],[Florent ]]-F$13</f>
        <v>1.6714473548240996</v>
      </c>
      <c r="V116" s="4">
        <f>ABS(Table22342102345678[[#This Row],[anl-med]])</f>
        <v>1.6714473548240996</v>
      </c>
      <c r="W116" s="4">
        <f>Table22342102345678[[#This Row],[lab-med]]*Table22342102345678[[#This Row],[anl-med]]</f>
        <v>0.38443213945823107</v>
      </c>
    </row>
    <row r="117" spans="2:23" x14ac:dyDescent="0.25">
      <c r="B117" s="46">
        <f ca="1">VALUE((Table22342102345678[[#This Row],[Column3]]-62))</f>
        <v>55</v>
      </c>
      <c r="C117" t="s">
        <v>123</v>
      </c>
      <c r="D117">
        <v>12.5600004</v>
      </c>
      <c r="E117"/>
      <c r="F117" s="89">
        <v>10.348862325968501</v>
      </c>
      <c r="G117" s="29">
        <f>Table22342102345678[[#This Row],[Florent ]]-Table22342102345678[[#This Row],[REF]]</f>
        <v>-2.2111380740314992</v>
      </c>
      <c r="H117" s="29">
        <f>Table22342102345678[[#This Row],[X-Y]]-E$20</f>
        <v>-1.9187756554079556</v>
      </c>
      <c r="I117" s="29">
        <f>Table22342102345678[[#This Row],[Florent ]]-E$20</f>
        <v>10.641224744592044</v>
      </c>
      <c r="J117" s="29">
        <f>Table22342102345678[[#This Row],[Florent ]]*E$21+E$22</f>
        <v>10.927965312156427</v>
      </c>
      <c r="K117" s="56">
        <f>Table22342102345678[[#This Row],[Yest]]-Table22342102345678[[#This Row],[REF]]</f>
        <v>-1.6320350878435725</v>
      </c>
      <c r="L117" s="56">
        <f>ABS(Table22342102345678[[#This Row],[RESyx]])</f>
        <v>1.6320350878435725</v>
      </c>
      <c r="M117" s="29">
        <f>Table22342102345678[[#This Row],[Florent ]]*E$25+E$26</f>
        <v>10.825150241501987</v>
      </c>
      <c r="N117" s="29">
        <f>Table22342102345678[[#This Row],[X-Y]]^2</f>
        <v>4.8891315824317276</v>
      </c>
      <c r="O117" s="57">
        <f>Table22342102345678[[#This Row],[yest_rect]]-Table22342102345678[[#This Row],[REF]]</f>
        <v>-1.7348501584980127</v>
      </c>
      <c r="P117" s="57">
        <f>Table22342102345678[[#This Row],[dif rec]]^2</f>
        <v>3.0097050724405801</v>
      </c>
      <c r="Q117" s="57">
        <f>ABS(Table22342102345678[[#This Row],[diff-bias]])</f>
        <v>1.9187756554079556</v>
      </c>
      <c r="R117" s="57">
        <f ca="1">CELL("row",Table22342102345678[[#This Row],[Position]])</f>
        <v>117</v>
      </c>
      <c r="S117" s="4">
        <f>Table22342102345678[[#This Row],[REF]]-D$13</f>
        <v>1.5500001499999989</v>
      </c>
      <c r="T117" s="4">
        <f>ABS(Table22342102345678[[#This Row],[lab-med]])</f>
        <v>1.5500001499999989</v>
      </c>
      <c r="U117" s="4">
        <f>Table22342102345678[[#This Row],[Florent ]]-F$13</f>
        <v>-0.29930586828020012</v>
      </c>
      <c r="V117" s="4">
        <f>ABS(Table22342102345678[[#This Row],[anl-med]])</f>
        <v>0.29930586828020012</v>
      </c>
      <c r="W117" s="4">
        <f>Table22342102345678[[#This Row],[lab-med]]*Table22342102345678[[#This Row],[anl-med]]</f>
        <v>-0.46392414073019012</v>
      </c>
    </row>
    <row r="118" spans="2:23" x14ac:dyDescent="0.25">
      <c r="B118" s="46">
        <f ca="1">VALUE((Table22342102345678[[#This Row],[Column3]]-62))</f>
        <v>56</v>
      </c>
      <c r="C118" t="s">
        <v>124</v>
      </c>
      <c r="D118">
        <v>10.0699997</v>
      </c>
      <c r="E118"/>
      <c r="F118" s="89">
        <v>11.4470383042827</v>
      </c>
      <c r="G118" s="29">
        <f>Table22342102345678[[#This Row],[Florent ]]-Table22342102345678[[#This Row],[REF]]</f>
        <v>1.3770386042826992</v>
      </c>
      <c r="H118" s="29">
        <f>Table22342102345678[[#This Row],[X-Y]]-E$20</f>
        <v>1.6694010229062428</v>
      </c>
      <c r="I118" s="29">
        <f>Table22342102345678[[#This Row],[Florent ]]-E$20</f>
        <v>11.739400722906243</v>
      </c>
      <c r="J118" s="29">
        <f>Table22342102345678[[#This Row],[Florent ]]*E$21+E$22</f>
        <v>11.353691458625359</v>
      </c>
      <c r="K118" s="56">
        <f>Table22342102345678[[#This Row],[Yest]]-Table22342102345678[[#This Row],[REF]]</f>
        <v>1.2836917586253591</v>
      </c>
      <c r="L118" s="56">
        <f>ABS(Table22342102345678[[#This Row],[RESyx]])</f>
        <v>1.2836917586253591</v>
      </c>
      <c r="M118" s="29">
        <f>Table22342102345678[[#This Row],[Florent ]]*E$25+E$26</f>
        <v>11.491993218979539</v>
      </c>
      <c r="N118" s="29">
        <f>Table22342102345678[[#This Row],[X-Y]]^2</f>
        <v>1.8962353176848443</v>
      </c>
      <c r="O118" s="57">
        <f>Table22342102345678[[#This Row],[yest_rect]]-Table22342102345678[[#This Row],[REF]]</f>
        <v>1.421993518979539</v>
      </c>
      <c r="P118" s="57">
        <f>Table22342102345678[[#This Row],[dif rec]]^2</f>
        <v>2.0220655680198125</v>
      </c>
      <c r="Q118" s="57">
        <f>ABS(Table22342102345678[[#This Row],[diff-bias]])</f>
        <v>1.6694010229062428</v>
      </c>
      <c r="R118" s="57">
        <f ca="1">CELL("row",Table22342102345678[[#This Row],[Position]])</f>
        <v>118</v>
      </c>
      <c r="S118" s="4">
        <f>Table22342102345678[[#This Row],[REF]]-D$13</f>
        <v>-0.9400005500000006</v>
      </c>
      <c r="T118" s="4">
        <f>ABS(Table22342102345678[[#This Row],[lab-med]])</f>
        <v>0.9400005500000006</v>
      </c>
      <c r="U118" s="4">
        <f>Table22342102345678[[#This Row],[Florent ]]-F$13</f>
        <v>0.79887011003399877</v>
      </c>
      <c r="V118" s="4">
        <f>ABS(Table22342102345678[[#This Row],[anl-med]])</f>
        <v>0.79887011003399877</v>
      </c>
      <c r="W118" s="4">
        <f>Table22342102345678[[#This Row],[lab-med]]*Table22342102345678[[#This Row],[anl-med]]</f>
        <v>-0.75093834281051985</v>
      </c>
    </row>
    <row r="119" spans="2:23" x14ac:dyDescent="0.25">
      <c r="B119" s="46">
        <f ca="1">VALUE((Table22342102345678[[#This Row],[Column3]]-62))</f>
        <v>57</v>
      </c>
      <c r="C119" t="s">
        <v>125</v>
      </c>
      <c r="D119">
        <v>9.9399996000000002</v>
      </c>
      <c r="E119"/>
      <c r="F119" s="89">
        <v>9.2962491938384009</v>
      </c>
      <c r="G119" s="29">
        <f>Table22342102345678[[#This Row],[Florent ]]-Table22342102345678[[#This Row],[REF]]</f>
        <v>-0.64375040616159929</v>
      </c>
      <c r="H119" s="29">
        <f>Table22342102345678[[#This Row],[X-Y]]-E$20</f>
        <v>-0.35138798753805567</v>
      </c>
      <c r="I119" s="29">
        <f>Table22342102345678[[#This Row],[Florent ]]-E$20</f>
        <v>9.5886116124619445</v>
      </c>
      <c r="J119" s="29">
        <f>Table22342102345678[[#This Row],[Florent ]]*E$21+E$22</f>
        <v>10.519902359302321</v>
      </c>
      <c r="K119" s="56">
        <f>Table22342102345678[[#This Row],[Yest]]-Table22342102345678[[#This Row],[REF]]</f>
        <v>0.57990275930232116</v>
      </c>
      <c r="L119" s="56">
        <f>ABS(Table22342102345678[[#This Row],[RESyx]])</f>
        <v>0.57990275930232116</v>
      </c>
      <c r="M119" s="29">
        <f>Table22342102345678[[#This Row],[Florent ]]*E$25+E$26</f>
        <v>10.185974290631954</v>
      </c>
      <c r="N119" s="29">
        <f>Table22342102345678[[#This Row],[X-Y]]^2</f>
        <v>0.41441458543322407</v>
      </c>
      <c r="O119" s="57">
        <f>Table22342102345678[[#This Row],[yest_rect]]-Table22342102345678[[#This Row],[REF]]</f>
        <v>0.24597469063195376</v>
      </c>
      <c r="P119" s="57">
        <f>Table22342102345678[[#This Row],[dif rec]]^2</f>
        <v>6.0503548431485366E-2</v>
      </c>
      <c r="Q119" s="57">
        <f>ABS(Table22342102345678[[#This Row],[diff-bias]])</f>
        <v>0.35138798753805567</v>
      </c>
      <c r="R119" s="57">
        <f ca="1">CELL("row",Table22342102345678[[#This Row],[Position]])</f>
        <v>119</v>
      </c>
      <c r="S119" s="4">
        <f>Table22342102345678[[#This Row],[REF]]-D$13</f>
        <v>-1.0700006500000008</v>
      </c>
      <c r="T119" s="4">
        <f>ABS(Table22342102345678[[#This Row],[lab-med]])</f>
        <v>1.0700006500000008</v>
      </c>
      <c r="U119" s="4">
        <f>Table22342102345678[[#This Row],[Florent ]]-F$13</f>
        <v>-1.3519190004102999</v>
      </c>
      <c r="V119" s="4">
        <f>ABS(Table22342102345678[[#This Row],[anl-med]])</f>
        <v>1.3519190004102999</v>
      </c>
      <c r="W119" s="4">
        <f>Table22342102345678[[#This Row],[lab-med]]*Table22342102345678[[#This Row],[anl-med]]</f>
        <v>1.4465542091863721</v>
      </c>
    </row>
    <row r="120" spans="2:23" x14ac:dyDescent="0.25">
      <c r="B120" s="46">
        <f ca="1">VALUE((Table22342102345678[[#This Row],[Column3]]-62))</f>
        <v>58</v>
      </c>
      <c r="C120" t="s">
        <v>126</v>
      </c>
      <c r="D120">
        <v>10.2399998</v>
      </c>
      <c r="E120"/>
      <c r="F120" s="89">
        <v>10.1269138764712</v>
      </c>
      <c r="G120" s="29">
        <f>Table22342102345678[[#This Row],[Florent ]]-Table22342102345678[[#This Row],[REF]]</f>
        <v>-0.11308592352879998</v>
      </c>
      <c r="H120" s="29">
        <f>Table22342102345678[[#This Row],[X-Y]]-E$20</f>
        <v>0.17927649509474364</v>
      </c>
      <c r="I120" s="29">
        <f>Table22342102345678[[#This Row],[Florent ]]-E$20</f>
        <v>10.419276295094743</v>
      </c>
      <c r="J120" s="29">
        <f>Table22342102345678[[#This Row],[Florent ]]*E$21+E$22</f>
        <v>10.841923311616323</v>
      </c>
      <c r="K120" s="56">
        <f>Table22342102345678[[#This Row],[Yest]]-Table22342102345678[[#This Row],[REF]]</f>
        <v>0.60192351161632374</v>
      </c>
      <c r="L120" s="56">
        <f>ABS(Table22342102345678[[#This Row],[RESyx]])</f>
        <v>0.60192351161632374</v>
      </c>
      <c r="M120" s="29">
        <f>Table22342102345678[[#This Row],[Florent ]]*E$25+E$26</f>
        <v>10.690376973982053</v>
      </c>
      <c r="N120" s="29">
        <f>Table22342102345678[[#This Row],[X-Y]]^2</f>
        <v>1.2788426100361598E-2</v>
      </c>
      <c r="O120" s="57">
        <f>Table22342102345678[[#This Row],[yest_rect]]-Table22342102345678[[#This Row],[REF]]</f>
        <v>0.45037717398205324</v>
      </c>
      <c r="P120" s="57">
        <f>Table22342102345678[[#This Row],[dif rec]]^2</f>
        <v>0.20283959884406064</v>
      </c>
      <c r="Q120" s="57">
        <f>ABS(Table22342102345678[[#This Row],[diff-bias]])</f>
        <v>0.17927649509474364</v>
      </c>
      <c r="R120" s="57">
        <f ca="1">CELL("row",Table22342102345678[[#This Row],[Position]])</f>
        <v>120</v>
      </c>
      <c r="S120" s="4">
        <f>Table22342102345678[[#This Row],[REF]]-D$13</f>
        <v>-0.77000045000000128</v>
      </c>
      <c r="T120" s="4">
        <f>ABS(Table22342102345678[[#This Row],[lab-med]])</f>
        <v>0.77000045000000128</v>
      </c>
      <c r="U120" s="4">
        <f>Table22342102345678[[#This Row],[Florent ]]-F$13</f>
        <v>-0.52125431777750109</v>
      </c>
      <c r="V120" s="4">
        <f>ABS(Table22342102345678[[#This Row],[anl-med]])</f>
        <v>0.52125431777750109</v>
      </c>
      <c r="W120" s="4">
        <f>Table22342102345678[[#This Row],[lab-med]]*Table22342102345678[[#This Row],[anl-med]]</f>
        <v>0.40136605925311952</v>
      </c>
    </row>
    <row r="121" spans="2:23" x14ac:dyDescent="0.25">
      <c r="B121" s="46">
        <f ca="1">VALUE((Table22342102345678[[#This Row],[Column3]]-62))</f>
        <v>59</v>
      </c>
      <c r="C121" t="s">
        <v>127</v>
      </c>
      <c r="D121">
        <v>11.420000099999999</v>
      </c>
      <c r="E121"/>
      <c r="F121" s="89">
        <v>12.5907585236715</v>
      </c>
      <c r="G121" s="29">
        <f>Table22342102345678[[#This Row],[Florent ]]-Table22342102345678[[#This Row],[REF]]</f>
        <v>1.1707584236715007</v>
      </c>
      <c r="H121" s="29">
        <f>Table22342102345678[[#This Row],[X-Y]]-E$20</f>
        <v>1.4631208422950444</v>
      </c>
      <c r="I121" s="29">
        <f>Table22342102345678[[#This Row],[Florent ]]-E$20</f>
        <v>12.883120942295044</v>
      </c>
      <c r="J121" s="29">
        <f>Table22342102345678[[#This Row],[Florent ]]*E$21+E$22</f>
        <v>11.797073586129594</v>
      </c>
      <c r="K121" s="56">
        <f>Table22342102345678[[#This Row],[Yest]]-Table22342102345678[[#This Row],[REF]]</f>
        <v>0.37707348612959457</v>
      </c>
      <c r="L121" s="56">
        <f>ABS(Table22342102345678[[#This Row],[RESyx]])</f>
        <v>0.37707348612959457</v>
      </c>
      <c r="M121" s="29">
        <f>Table22342102345678[[#This Row],[Florent ]]*E$25+E$26</f>
        <v>12.186491925524999</v>
      </c>
      <c r="N121" s="29">
        <f>Table22342102345678[[#This Row],[X-Y]]^2</f>
        <v>1.3706752865977772</v>
      </c>
      <c r="O121" s="57">
        <f>Table22342102345678[[#This Row],[yest_rect]]-Table22342102345678[[#This Row],[REF]]</f>
        <v>0.76649182552499973</v>
      </c>
      <c r="P121" s="57">
        <f>Table22342102345678[[#This Row],[dif rec]]^2</f>
        <v>0.58750971859664658</v>
      </c>
      <c r="Q121" s="57">
        <f>ABS(Table22342102345678[[#This Row],[diff-bias]])</f>
        <v>1.4631208422950444</v>
      </c>
      <c r="R121" s="57">
        <f ca="1">CELL("row",Table22342102345678[[#This Row],[Position]])</f>
        <v>121</v>
      </c>
      <c r="S121" s="4">
        <f>Table22342102345678[[#This Row],[REF]]-D$13</f>
        <v>0.40999984999999839</v>
      </c>
      <c r="T121" s="4">
        <f>ABS(Table22342102345678[[#This Row],[lab-med]])</f>
        <v>0.40999984999999839</v>
      </c>
      <c r="U121" s="4">
        <f>Table22342102345678[[#This Row],[Florent ]]-F$13</f>
        <v>1.9425903294227993</v>
      </c>
      <c r="V121" s="4">
        <f>ABS(Table22342102345678[[#This Row],[anl-med]])</f>
        <v>1.9425903294227993</v>
      </c>
      <c r="W121" s="4">
        <f>Table22342102345678[[#This Row],[lab-med]]*Table22342102345678[[#This Row],[anl-med]]</f>
        <v>0.79646174367479516</v>
      </c>
    </row>
    <row r="122" spans="2:23" x14ac:dyDescent="0.25">
      <c r="B122" s="46">
        <f ca="1">VALUE((Table22342102345678[[#This Row],[Column3]]-62))</f>
        <v>60</v>
      </c>
      <c r="C122" t="s">
        <v>128</v>
      </c>
      <c r="D122">
        <v>10.5</v>
      </c>
      <c r="E122"/>
      <c r="F122" s="89">
        <v>11.662733223259099</v>
      </c>
      <c r="G122" s="29">
        <f>Table22342102345678[[#This Row],[Florent ]]-Table22342102345678[[#This Row],[REF]]</f>
        <v>1.1627332232590994</v>
      </c>
      <c r="H122" s="29">
        <f>Table22342102345678[[#This Row],[X-Y]]-E$20</f>
        <v>1.4550956418826431</v>
      </c>
      <c r="I122" s="29">
        <f>Table22342102345678[[#This Row],[Florent ]]-E$20</f>
        <v>11.955095641882643</v>
      </c>
      <c r="J122" s="29">
        <f>Table22342102345678[[#This Row],[Florent ]]*E$21+E$22</f>
        <v>11.437309174257523</v>
      </c>
      <c r="K122" s="56">
        <f>Table22342102345678[[#This Row],[Yest]]-Table22342102345678[[#This Row],[REF]]</f>
        <v>0.93730917425752303</v>
      </c>
      <c r="L122" s="56">
        <f>ABS(Table22342102345678[[#This Row],[RESyx]])</f>
        <v>0.93730917425752303</v>
      </c>
      <c r="M122" s="29">
        <f>Table22342102345678[[#This Row],[Florent ]]*E$25+E$26</f>
        <v>11.622969168952331</v>
      </c>
      <c r="N122" s="29">
        <f>Table22342102345678[[#This Row],[X-Y]]^2</f>
        <v>1.3519485484704947</v>
      </c>
      <c r="O122" s="57">
        <f>Table22342102345678[[#This Row],[yest_rect]]-Table22342102345678[[#This Row],[REF]]</f>
        <v>1.1229691689523307</v>
      </c>
      <c r="P122" s="57">
        <f>Table22342102345678[[#This Row],[dif rec]]^2</f>
        <v>1.2610597544174882</v>
      </c>
      <c r="Q122" s="57">
        <f>ABS(Table22342102345678[[#This Row],[diff-bias]])</f>
        <v>1.4550956418826431</v>
      </c>
      <c r="R122" s="57">
        <f ca="1">CELL("row",Table22342102345678[[#This Row],[Position]])</f>
        <v>122</v>
      </c>
      <c r="S122" s="4">
        <f>Table22342102345678[[#This Row],[REF]]-D$13</f>
        <v>-0.51000025000000093</v>
      </c>
      <c r="T122" s="4">
        <f>ABS(Table22342102345678[[#This Row],[lab-med]])</f>
        <v>0.51000025000000093</v>
      </c>
      <c r="U122" s="4">
        <f>Table22342102345678[[#This Row],[Florent ]]-F$13</f>
        <v>1.0145650290103987</v>
      </c>
      <c r="V122" s="4">
        <f>ABS(Table22342102345678[[#This Row],[anl-med]])</f>
        <v>1.0145650290103987</v>
      </c>
      <c r="W122" s="4">
        <f>Table22342102345678[[#This Row],[lab-med]]*Table22342102345678[[#This Row],[anl-med]]</f>
        <v>-0.51742841843656151</v>
      </c>
    </row>
    <row r="123" spans="2:23" x14ac:dyDescent="0.25">
      <c r="B123" s="46">
        <f ca="1">VALUE((Table22342102345678[[#This Row],[Column3]]-62))</f>
        <v>61</v>
      </c>
      <c r="C123" t="s">
        <v>129</v>
      </c>
      <c r="D123">
        <v>13.140000300000001</v>
      </c>
      <c r="E123"/>
      <c r="F123" s="89">
        <v>13.591154207466399</v>
      </c>
      <c r="G123" s="29">
        <f>Table22342102345678[[#This Row],[Florent ]]-Table22342102345678[[#This Row],[REF]]</f>
        <v>0.45115390746639861</v>
      </c>
      <c r="H123" s="29">
        <f>Table22342102345678[[#This Row],[X-Y]]-E$20</f>
        <v>0.74351632608994223</v>
      </c>
      <c r="I123" s="29">
        <f>Table22342102345678[[#This Row],[Florent ]]-E$20</f>
        <v>13.883516626089943</v>
      </c>
      <c r="J123" s="29">
        <f>Table22342102345678[[#This Row],[Florent ]]*E$21+E$22</f>
        <v>12.184893578386156</v>
      </c>
      <c r="K123" s="56">
        <f>Table22342102345678[[#This Row],[Yest]]-Table22342102345678[[#This Row],[REF]]</f>
        <v>-0.95510672161384491</v>
      </c>
      <c r="L123" s="56">
        <f>ABS(Table22342102345678[[#This Row],[RESyx]])</f>
        <v>0.95510672161384491</v>
      </c>
      <c r="M123" s="29">
        <f>Table22342102345678[[#This Row],[Florent ]]*E$25+E$26</f>
        <v>12.793959990398855</v>
      </c>
      <c r="N123" s="29">
        <f>Table22342102345678[[#This Row],[X-Y]]^2</f>
        <v>0.20353984822219975</v>
      </c>
      <c r="O123" s="57">
        <f>Table22342102345678[[#This Row],[yest_rect]]-Table22342102345678[[#This Row],[REF]]</f>
        <v>-0.34604030960114507</v>
      </c>
      <c r="P123" s="57">
        <f>Table22342102345678[[#This Row],[dif rec]]^2</f>
        <v>0.11974389586885634</v>
      </c>
      <c r="Q123" s="57">
        <f>ABS(Table22342102345678[[#This Row],[diff-bias]])</f>
        <v>0.74351632608994223</v>
      </c>
      <c r="R123" s="57">
        <f ca="1">CELL("row",Table22342102345678[[#This Row],[Position]])</f>
        <v>123</v>
      </c>
      <c r="S123" s="4">
        <f>Table22342102345678[[#This Row],[REF]]-D$13</f>
        <v>2.1300000499999996</v>
      </c>
      <c r="T123" s="4">
        <f>ABS(Table22342102345678[[#This Row],[lab-med]])</f>
        <v>2.1300000499999996</v>
      </c>
      <c r="U123" s="4">
        <f>Table22342102345678[[#This Row],[Florent ]]-F$13</f>
        <v>2.9429860132176984</v>
      </c>
      <c r="V123" s="4">
        <f>ABS(Table22342102345678[[#This Row],[anl-med]])</f>
        <v>2.9429860132176984</v>
      </c>
      <c r="W123" s="4">
        <f>Table22342102345678[[#This Row],[lab-med]]*Table22342102345678[[#This Row],[anl-med]]</f>
        <v>6.2685603553029967</v>
      </c>
    </row>
    <row r="124" spans="2:23" x14ac:dyDescent="0.25">
      <c r="B124" s="46">
        <f ca="1">VALUE((Table22342102345678[[#This Row],[Column3]]-62))</f>
        <v>62</v>
      </c>
      <c r="C124" t="s">
        <v>130</v>
      </c>
      <c r="D124">
        <v>11.699999800000001</v>
      </c>
      <c r="E124"/>
      <c r="F124" s="89">
        <v>12.9117470636594</v>
      </c>
      <c r="G124" s="29">
        <f>Table22342102345678[[#This Row],[Florent ]]-Table22342102345678[[#This Row],[REF]]</f>
        <v>1.2117472636593991</v>
      </c>
      <c r="H124" s="29">
        <f>Table22342102345678[[#This Row],[X-Y]]-E$20</f>
        <v>1.5041096822829427</v>
      </c>
      <c r="I124" s="29">
        <f>Table22342102345678[[#This Row],[Florent ]]-E$20</f>
        <v>13.204109482282943</v>
      </c>
      <c r="J124" s="29">
        <f>Table22342102345678[[#This Row],[Florent ]]*E$21+E$22</f>
        <v>11.921510121701527</v>
      </c>
      <c r="K124" s="56">
        <f>Table22342102345678[[#This Row],[Yest]]-Table22342102345678[[#This Row],[REF]]</f>
        <v>0.22151032170152618</v>
      </c>
      <c r="L124" s="56">
        <f>ABS(Table22342102345678[[#This Row],[RESyx]])</f>
        <v>0.22151032170152618</v>
      </c>
      <c r="M124" s="29">
        <f>Table22342102345678[[#This Row],[Florent ]]*E$25+E$26</f>
        <v>12.38140508877802</v>
      </c>
      <c r="N124" s="29">
        <f>Table22342102345678[[#This Row],[X-Y]]^2</f>
        <v>1.4683314309860414</v>
      </c>
      <c r="O124" s="57">
        <f>Table22342102345678[[#This Row],[yest_rect]]-Table22342102345678[[#This Row],[REF]]</f>
        <v>0.68140528877801998</v>
      </c>
      <c r="P124" s="57">
        <f>Table22342102345678[[#This Row],[dif rec]]^2</f>
        <v>0.46431316757465679</v>
      </c>
      <c r="Q124" s="57">
        <f>ABS(Table22342102345678[[#This Row],[diff-bias]])</f>
        <v>1.5041096822829427</v>
      </c>
      <c r="R124" s="57">
        <f ca="1">CELL("row",Table22342102345678[[#This Row],[Position]])</f>
        <v>124</v>
      </c>
      <c r="S124" s="4">
        <f>Table22342102345678[[#This Row],[REF]]-D$13</f>
        <v>0.68999954999999957</v>
      </c>
      <c r="T124" s="4">
        <f>ABS(Table22342102345678[[#This Row],[lab-med]])</f>
        <v>0.68999954999999957</v>
      </c>
      <c r="U124" s="4">
        <f>Table22342102345678[[#This Row],[Florent ]]-F$13</f>
        <v>2.2635788694106989</v>
      </c>
      <c r="V124" s="4">
        <f>ABS(Table22342102345678[[#This Row],[anl-med]])</f>
        <v>2.2635788694106989</v>
      </c>
      <c r="W124" s="4">
        <f>Table22342102345678[[#This Row],[lab-med]]*Table22342102345678[[#This Row],[anl-med]]</f>
        <v>1.5618684012828901</v>
      </c>
    </row>
    <row r="125" spans="2:23" x14ac:dyDescent="0.25">
      <c r="B125" s="46">
        <f ca="1">VALUE((Table22342102345678[[#This Row],[Column3]]-62))</f>
        <v>63</v>
      </c>
      <c r="C125" t="s">
        <v>131</v>
      </c>
      <c r="D125">
        <v>10.3800001</v>
      </c>
      <c r="E125"/>
      <c r="F125" s="89">
        <v>11.290227982475599</v>
      </c>
      <c r="G125" s="29">
        <f>Table22342102345678[[#This Row],[Florent ]]-Table22342102345678[[#This Row],[REF]]</f>
        <v>0.91022788247559916</v>
      </c>
      <c r="H125" s="29">
        <f>Table22342102345678[[#This Row],[X-Y]]-E$20</f>
        <v>1.2025903010991428</v>
      </c>
      <c r="I125" s="29">
        <f>Table22342102345678[[#This Row],[Florent ]]-E$20</f>
        <v>11.582590401099143</v>
      </c>
      <c r="J125" s="29">
        <f>Table22342102345678[[#This Row],[Florent ]]*E$21+E$22</f>
        <v>11.292901334503384</v>
      </c>
      <c r="K125" s="56">
        <f>Table22342102345678[[#This Row],[Yest]]-Table22342102345678[[#This Row],[REF]]</f>
        <v>0.91290123450338356</v>
      </c>
      <c r="L125" s="56">
        <f>ABS(Table22342102345678[[#This Row],[RESyx]])</f>
        <v>0.91290123450338356</v>
      </c>
      <c r="M125" s="29">
        <f>Table22342102345678[[#This Row],[Florent ]]*E$25+E$26</f>
        <v>11.396773633086228</v>
      </c>
      <c r="N125" s="29">
        <f>Table22342102345678[[#This Row],[X-Y]]^2</f>
        <v>0.82851479803601313</v>
      </c>
      <c r="O125" s="57">
        <f>Table22342102345678[[#This Row],[yest_rect]]-Table22342102345678[[#This Row],[REF]]</f>
        <v>1.0167735330862282</v>
      </c>
      <c r="P125" s="57">
        <f>Table22342102345678[[#This Row],[dif rec]]^2</f>
        <v>1.0338284175846513</v>
      </c>
      <c r="Q125" s="57">
        <f>ABS(Table22342102345678[[#This Row],[diff-bias]])</f>
        <v>1.2025903010991428</v>
      </c>
      <c r="R125" s="57">
        <f ca="1">CELL("row",Table22342102345678[[#This Row],[Position]])</f>
        <v>125</v>
      </c>
      <c r="S125" s="4">
        <f>Table22342102345678[[#This Row],[REF]]-D$13</f>
        <v>-0.63000015000000076</v>
      </c>
      <c r="T125" s="4">
        <f>ABS(Table22342102345678[[#This Row],[lab-med]])</f>
        <v>0.63000015000000076</v>
      </c>
      <c r="U125" s="4">
        <f>Table22342102345678[[#This Row],[Florent ]]-F$13</f>
        <v>0.64205978822689858</v>
      </c>
      <c r="V125" s="4">
        <f>ABS(Table22342102345678[[#This Row],[anl-med]])</f>
        <v>0.64205978822689858</v>
      </c>
      <c r="W125" s="4">
        <f>Table22342102345678[[#This Row],[lab-med]]*Table22342102345678[[#This Row],[anl-med]]</f>
        <v>-0.4044977628919148</v>
      </c>
    </row>
    <row r="126" spans="2:23" x14ac:dyDescent="0.25">
      <c r="B126" s="46">
        <f ca="1">VALUE((Table22342102345678[[#This Row],[Column3]]-62))</f>
        <v>64</v>
      </c>
      <c r="C126" t="s">
        <v>132</v>
      </c>
      <c r="D126">
        <v>13.350000400000001</v>
      </c>
      <c r="E126"/>
      <c r="F126" s="89">
        <v>13.473295918604499</v>
      </c>
      <c r="G126" s="29">
        <f>Table22342102345678[[#This Row],[Florent ]]-Table22342102345678[[#This Row],[REF]]</f>
        <v>0.12329551860449861</v>
      </c>
      <c r="H126" s="29">
        <f>Table22342102345678[[#This Row],[X-Y]]-E$20</f>
        <v>0.41565793722804223</v>
      </c>
      <c r="I126" s="29">
        <f>Table22342102345678[[#This Row],[Florent ]]-E$20</f>
        <v>13.765658337228043</v>
      </c>
      <c r="J126" s="29">
        <f>Table22342102345678[[#This Row],[Florent ]]*E$21+E$22</f>
        <v>12.139203856394946</v>
      </c>
      <c r="K126" s="56">
        <f>Table22342102345678[[#This Row],[Yest]]-Table22342102345678[[#This Row],[REF]]</f>
        <v>-1.2107965436050545</v>
      </c>
      <c r="L126" s="56">
        <f>ABS(Table22342102345678[[#This Row],[RESyx]])</f>
        <v>1.2107965436050545</v>
      </c>
      <c r="M126" s="29">
        <f>Table22342102345678[[#This Row],[Florent ]]*E$25+E$26</f>
        <v>12.722393161568993</v>
      </c>
      <c r="N126" s="29">
        <f>Table22342102345678[[#This Row],[X-Y]]^2</f>
        <v>1.5201784907952263E-2</v>
      </c>
      <c r="O126" s="57">
        <f>Table22342102345678[[#This Row],[yest_rect]]-Table22342102345678[[#This Row],[REF]]</f>
        <v>-0.62760723843100763</v>
      </c>
      <c r="P126" s="57">
        <f>Table22342102345678[[#This Row],[dif rec]]^2</f>
        <v>0.39389084573099564</v>
      </c>
      <c r="Q126" s="57">
        <f>ABS(Table22342102345678[[#This Row],[diff-bias]])</f>
        <v>0.41565793722804223</v>
      </c>
      <c r="R126" s="57">
        <f ca="1">CELL("row",Table22342102345678[[#This Row],[Position]])</f>
        <v>126</v>
      </c>
      <c r="S126" s="4">
        <f>Table22342102345678[[#This Row],[REF]]-D$13</f>
        <v>2.3400001499999998</v>
      </c>
      <c r="T126" s="4">
        <f>ABS(Table22342102345678[[#This Row],[lab-med]])</f>
        <v>2.3400001499999998</v>
      </c>
      <c r="U126" s="4">
        <f>Table22342102345678[[#This Row],[Florent ]]-F$13</f>
        <v>2.8251277243557986</v>
      </c>
      <c r="V126" s="4">
        <f>ABS(Table22342102345678[[#This Row],[anl-med]])</f>
        <v>2.8251277243557986</v>
      </c>
      <c r="W126" s="4">
        <f>Table22342102345678[[#This Row],[lab-med]]*Table22342102345678[[#This Row],[anl-med]]</f>
        <v>6.6107992987617266</v>
      </c>
    </row>
    <row r="127" spans="2:23" x14ac:dyDescent="0.25">
      <c r="B127" s="46">
        <f ca="1">VALUE((Table22342102345678[[#This Row],[Column3]]-62))</f>
        <v>65</v>
      </c>
      <c r="C127" t="s">
        <v>133</v>
      </c>
      <c r="D127">
        <v>12.6599998</v>
      </c>
      <c r="E127"/>
      <c r="F127" s="89">
        <v>10.5944735071631</v>
      </c>
      <c r="G127" s="29">
        <f>Table22342102345678[[#This Row],[Florent ]]-Table22342102345678[[#This Row],[REF]]</f>
        <v>-2.0655262928368998</v>
      </c>
      <c r="H127" s="29">
        <f>Table22342102345678[[#This Row],[X-Y]]-E$20</f>
        <v>-1.7731638742133562</v>
      </c>
      <c r="I127" s="29">
        <f>Table22342102345678[[#This Row],[Florent ]]-E$20</f>
        <v>10.886835925786643</v>
      </c>
      <c r="J127" s="29">
        <f>Table22342102345678[[#This Row],[Florent ]]*E$21+E$22</f>
        <v>11.023180563413492</v>
      </c>
      <c r="K127" s="56">
        <f>Table22342102345678[[#This Row],[Yest]]-Table22342102345678[[#This Row],[REF]]</f>
        <v>-1.6368192365865077</v>
      </c>
      <c r="L127" s="56">
        <f>ABS(Table22342102345678[[#This Row],[RESyx]])</f>
        <v>1.6368192365865077</v>
      </c>
      <c r="M127" s="29">
        <f>Table22342102345678[[#This Row],[Florent ]]*E$25+E$26</f>
        <v>10.974292177406475</v>
      </c>
      <c r="N127" s="29">
        <f>Table22342102345678[[#This Row],[X-Y]]^2</f>
        <v>4.2663988664005466</v>
      </c>
      <c r="O127" s="57">
        <f>Table22342102345678[[#This Row],[yest_rect]]-Table22342102345678[[#This Row],[REF]]</f>
        <v>-1.6857076225935241</v>
      </c>
      <c r="P127" s="57">
        <f>Table22342102345678[[#This Row],[dif rec]]^2</f>
        <v>2.841610188869911</v>
      </c>
      <c r="Q127" s="57">
        <f>ABS(Table22342102345678[[#This Row],[diff-bias]])</f>
        <v>1.7731638742133562</v>
      </c>
      <c r="R127" s="57">
        <f ca="1">CELL("row",Table22342102345678[[#This Row],[Position]])</f>
        <v>127</v>
      </c>
      <c r="S127" s="4">
        <f>Table22342102345678[[#This Row],[REF]]-D$13</f>
        <v>1.6499995499999986</v>
      </c>
      <c r="T127" s="4">
        <f>ABS(Table22342102345678[[#This Row],[lab-med]])</f>
        <v>1.6499995499999986</v>
      </c>
      <c r="U127" s="4">
        <f>Table22342102345678[[#This Row],[Florent ]]-F$13</f>
        <v>-5.3694687085600989E-2</v>
      </c>
      <c r="V127" s="4">
        <f>ABS(Table22342102345678[[#This Row],[anl-med]])</f>
        <v>5.3694687085600989E-2</v>
      </c>
      <c r="W127" s="4">
        <f>Table22342102345678[[#This Row],[lab-med]]*Table22342102345678[[#This Row],[anl-med]]</f>
        <v>-8.8596209528632369E-2</v>
      </c>
    </row>
    <row r="128" spans="2:23" x14ac:dyDescent="0.25">
      <c r="B128" s="46">
        <f ca="1">VALUE((Table22342102345678[[#This Row],[Column3]]-62))</f>
        <v>66</v>
      </c>
      <c r="C128" t="s">
        <v>134</v>
      </c>
      <c r="D128">
        <v>11.9899998</v>
      </c>
      <c r="E128"/>
      <c r="F128" s="89">
        <v>13.064556810066099</v>
      </c>
      <c r="G128" s="29">
        <f>Table22342102345678[[#This Row],[Florent ]]-Table22342102345678[[#This Row],[REF]]</f>
        <v>1.0745570100660995</v>
      </c>
      <c r="H128" s="29">
        <f>Table22342102345678[[#This Row],[X-Y]]-E$20</f>
        <v>1.3669194286896431</v>
      </c>
      <c r="I128" s="29">
        <f>Table22342102345678[[#This Row],[Florent ]]-E$20</f>
        <v>13.356919228689643</v>
      </c>
      <c r="J128" s="29">
        <f>Table22342102345678[[#This Row],[Florent ]]*E$21+E$22</f>
        <v>11.980749356364521</v>
      </c>
      <c r="K128" s="56">
        <f>Table22342102345678[[#This Row],[Yest]]-Table22342102345678[[#This Row],[REF]]</f>
        <v>-9.2504436354783337E-3</v>
      </c>
      <c r="L128" s="56">
        <f>ABS(Table22342102345678[[#This Row],[RESyx]])</f>
        <v>9.2504436354783337E-3</v>
      </c>
      <c r="M128" s="29">
        <f>Table22342102345678[[#This Row],[Florent ]]*E$25+E$26</f>
        <v>12.474195414093513</v>
      </c>
      <c r="N128" s="29">
        <f>Table22342102345678[[#This Row],[X-Y]]^2</f>
        <v>1.1546727678821955</v>
      </c>
      <c r="O128" s="57">
        <f>Table22342102345678[[#This Row],[yest_rect]]-Table22342102345678[[#This Row],[REF]]</f>
        <v>0.48419561409351353</v>
      </c>
      <c r="P128" s="57">
        <f>Table22342102345678[[#This Row],[dif rec]]^2</f>
        <v>0.23444539270739467</v>
      </c>
      <c r="Q128" s="57">
        <f>ABS(Table22342102345678[[#This Row],[diff-bias]])</f>
        <v>1.3669194286896431</v>
      </c>
      <c r="R128" s="57">
        <f ca="1">CELL("row",Table22342102345678[[#This Row],[Position]])</f>
        <v>128</v>
      </c>
      <c r="S128" s="4">
        <f>Table22342102345678[[#This Row],[REF]]-D$13</f>
        <v>0.97999954999999872</v>
      </c>
      <c r="T128" s="4">
        <f>ABS(Table22342102345678[[#This Row],[lab-med]])</f>
        <v>0.97999954999999872</v>
      </c>
      <c r="U128" s="4">
        <f>Table22342102345678[[#This Row],[Florent ]]-F$13</f>
        <v>2.4163886158173984</v>
      </c>
      <c r="V128" s="4">
        <f>ABS(Table22342102345678[[#This Row],[anl-med]])</f>
        <v>2.4163886158173984</v>
      </c>
      <c r="W128" s="4">
        <f>Table22342102345678[[#This Row],[lab-med]]*Table22342102345678[[#This Row],[anl-med]]</f>
        <v>2.3680597561261703</v>
      </c>
    </row>
    <row r="129" spans="2:23" x14ac:dyDescent="0.25">
      <c r="B129" s="46">
        <f ca="1">VALUE((Table22342102345678[[#This Row],[Column3]]-62))</f>
        <v>67</v>
      </c>
      <c r="C129" t="s">
        <v>135</v>
      </c>
      <c r="D129">
        <v>12</v>
      </c>
      <c r="E129"/>
      <c r="F129" s="89">
        <v>12.512574130432199</v>
      </c>
      <c r="G129" s="29">
        <f>Table22342102345678[[#This Row],[Florent ]]-Table22342102345678[[#This Row],[REF]]</f>
        <v>0.51257413043219913</v>
      </c>
      <c r="H129" s="29">
        <f>Table22342102345678[[#This Row],[X-Y]]-E$20</f>
        <v>0.80493654905574274</v>
      </c>
      <c r="I129" s="29">
        <f>Table22342102345678[[#This Row],[Florent ]]-E$20</f>
        <v>12.804936549055743</v>
      </c>
      <c r="J129" s="29">
        <f>Table22342102345678[[#This Row],[Florent ]]*E$21+E$22</f>
        <v>11.766764108318146</v>
      </c>
      <c r="K129" s="56">
        <f>Table22342102345678[[#This Row],[Yest]]-Table22342102345678[[#This Row],[REF]]</f>
        <v>-0.23323589168185421</v>
      </c>
      <c r="L129" s="56">
        <f>ABS(Table22342102345678[[#This Row],[RESyx]])</f>
        <v>0.23323589168185421</v>
      </c>
      <c r="M129" s="29">
        <f>Table22342102345678[[#This Row],[Florent ]]*E$25+E$26</f>
        <v>12.139016188840241</v>
      </c>
      <c r="N129" s="29">
        <f>Table22342102345678[[#This Row],[X-Y]]^2</f>
        <v>0.26273223918832506</v>
      </c>
      <c r="O129" s="57">
        <f>Table22342102345678[[#This Row],[yest_rect]]-Table22342102345678[[#This Row],[REF]]</f>
        <v>0.13901618884024103</v>
      </c>
      <c r="P129" s="57">
        <f>Table22342102345678[[#This Row],[dif rec]]^2</f>
        <v>1.9325500759665555E-2</v>
      </c>
      <c r="Q129" s="57">
        <f>ABS(Table22342102345678[[#This Row],[diff-bias]])</f>
        <v>0.80493654905574274</v>
      </c>
      <c r="R129" s="57">
        <f ca="1">CELL("row",Table22342102345678[[#This Row],[Position]])</f>
        <v>129</v>
      </c>
      <c r="S129" s="4">
        <f>Table22342102345678[[#This Row],[REF]]-D$13</f>
        <v>0.98999974999999907</v>
      </c>
      <c r="T129" s="4">
        <f>ABS(Table22342102345678[[#This Row],[lab-med]])</f>
        <v>0.98999974999999907</v>
      </c>
      <c r="U129" s="4">
        <f>Table22342102345678[[#This Row],[Florent ]]-F$13</f>
        <v>1.8644059361834984</v>
      </c>
      <c r="V129" s="4">
        <f>ABS(Table22342102345678[[#This Row],[anl-med]])</f>
        <v>1.8644059361834984</v>
      </c>
      <c r="W129" s="4">
        <f>Table22342102345678[[#This Row],[lab-med]]*Table22342102345678[[#This Row],[anl-med]]</f>
        <v>1.8457614107201776</v>
      </c>
    </row>
    <row r="130" spans="2:23" x14ac:dyDescent="0.25">
      <c r="B130" s="46">
        <f ca="1">VALUE((Table22342102345678[[#This Row],[Column3]]-62))</f>
        <v>68</v>
      </c>
      <c r="C130" t="s">
        <v>136</v>
      </c>
      <c r="D130">
        <v>12</v>
      </c>
      <c r="E130"/>
      <c r="F130" s="89">
        <v>11.9813028540652</v>
      </c>
      <c r="G130" s="29">
        <f>Table22342102345678[[#This Row],[Florent ]]-Table22342102345678[[#This Row],[REF]]</f>
        <v>-1.8697145934799764E-2</v>
      </c>
      <c r="H130" s="29">
        <f>Table22342102345678[[#This Row],[X-Y]]-E$20</f>
        <v>0.27366527268874385</v>
      </c>
      <c r="I130" s="29">
        <f>Table22342102345678[[#This Row],[Florent ]]-E$20</f>
        <v>12.273665272688744</v>
      </c>
      <c r="J130" s="29">
        <f>Table22342102345678[[#This Row],[Florent ]]*E$21+E$22</f>
        <v>11.560807979533983</v>
      </c>
      <c r="K130" s="56">
        <f>Table22342102345678[[#This Row],[Yest]]-Table22342102345678[[#This Row],[REF]]</f>
        <v>-0.43919202046601669</v>
      </c>
      <c r="L130" s="56">
        <f>ABS(Table22342102345678[[#This Row],[RESyx]])</f>
        <v>0.43919202046601669</v>
      </c>
      <c r="M130" s="29">
        <f>Table22342102345678[[#This Row],[Florent ]]*E$25+E$26</f>
        <v>11.816413503317367</v>
      </c>
      <c r="N130" s="29">
        <f>Table22342102345678[[#This Row],[X-Y]]^2</f>
        <v>3.4958326610719931E-4</v>
      </c>
      <c r="O130" s="57">
        <f>Table22342102345678[[#This Row],[yest_rect]]-Table22342102345678[[#This Row],[REF]]</f>
        <v>-0.18358649668263283</v>
      </c>
      <c r="P130" s="57">
        <f>Table22342102345678[[#This Row],[dif rec]]^2</f>
        <v>3.3704001764202351E-2</v>
      </c>
      <c r="Q130" s="57">
        <f>ABS(Table22342102345678[[#This Row],[diff-bias]])</f>
        <v>0.27366527268874385</v>
      </c>
      <c r="R130" s="57">
        <f ca="1">CELL("row",Table22342102345678[[#This Row],[Position]])</f>
        <v>130</v>
      </c>
      <c r="S130" s="4">
        <f>Table22342102345678[[#This Row],[REF]]-D$13</f>
        <v>0.98999974999999907</v>
      </c>
      <c r="T130" s="4">
        <f>ABS(Table22342102345678[[#This Row],[lab-med]])</f>
        <v>0.98999974999999907</v>
      </c>
      <c r="U130" s="4">
        <f>Table22342102345678[[#This Row],[Florent ]]-F$13</f>
        <v>1.3331346598164995</v>
      </c>
      <c r="V130" s="4">
        <f>ABS(Table22342102345678[[#This Row],[anl-med]])</f>
        <v>1.3331346598164995</v>
      </c>
      <c r="W130" s="4">
        <f>Table22342102345678[[#This Row],[lab-med]]*Table22342102345678[[#This Row],[anl-med]]</f>
        <v>1.3198029799346682</v>
      </c>
    </row>
    <row r="131" spans="2:23" x14ac:dyDescent="0.25">
      <c r="B131" s="46">
        <f ca="1">VALUE((Table22342102345678[[#This Row],[Column3]]-62))</f>
        <v>69</v>
      </c>
      <c r="C131" t="s">
        <v>137</v>
      </c>
      <c r="D131">
        <v>13.1599998</v>
      </c>
      <c r="E131"/>
      <c r="F131" s="89">
        <v>13.631443642217199</v>
      </c>
      <c r="G131" s="29">
        <f>Table22342102345678[[#This Row],[Florent ]]-Table22342102345678[[#This Row],[REF]]</f>
        <v>0.47144384221719982</v>
      </c>
      <c r="H131" s="29">
        <f>Table22342102345678[[#This Row],[X-Y]]-E$20</f>
        <v>0.76380626084074343</v>
      </c>
      <c r="I131" s="29">
        <f>Table22342102345678[[#This Row],[Florent ]]-E$20</f>
        <v>13.923806060840743</v>
      </c>
      <c r="J131" s="29">
        <f>Table22342102345678[[#This Row],[Florent ]]*E$21+E$22</f>
        <v>12.200512446526213</v>
      </c>
      <c r="K131" s="56">
        <f>Table22342102345678[[#This Row],[Yest]]-Table22342102345678[[#This Row],[REF]]</f>
        <v>-0.95948735347378644</v>
      </c>
      <c r="L131" s="56">
        <f>ABS(Table22342102345678[[#This Row],[RESyx]])</f>
        <v>0.95948735347378644</v>
      </c>
      <c r="M131" s="29">
        <f>Table22342102345678[[#This Row],[Florent ]]*E$25+E$26</f>
        <v>12.818424855011314</v>
      </c>
      <c r="N131" s="29">
        <f>Table22342102345678[[#This Row],[X-Y]]^2</f>
        <v>0.222259296364516</v>
      </c>
      <c r="O131" s="57">
        <f>Table22342102345678[[#This Row],[yest_rect]]-Table22342102345678[[#This Row],[REF]]</f>
        <v>-0.34157494498868601</v>
      </c>
      <c r="P131" s="57">
        <f>Table22342102345678[[#This Row],[dif rec]]^2</f>
        <v>0.11667344304402387</v>
      </c>
      <c r="Q131" s="57">
        <f>ABS(Table22342102345678[[#This Row],[diff-bias]])</f>
        <v>0.76380626084074343</v>
      </c>
      <c r="R131" s="57">
        <f ca="1">CELL("row",Table22342102345678[[#This Row],[Position]])</f>
        <v>131</v>
      </c>
      <c r="S131" s="4">
        <f>Table22342102345678[[#This Row],[REF]]-D$13</f>
        <v>2.1499995499999986</v>
      </c>
      <c r="T131" s="4">
        <f>ABS(Table22342102345678[[#This Row],[lab-med]])</f>
        <v>2.1499995499999986</v>
      </c>
      <c r="U131" s="4">
        <f>Table22342102345678[[#This Row],[Florent ]]-F$13</f>
        <v>2.9832754479684986</v>
      </c>
      <c r="V131" s="4">
        <f>ABS(Table22342102345678[[#This Row],[anl-med]])</f>
        <v>2.9832754479684986</v>
      </c>
      <c r="W131" s="4">
        <f>Table22342102345678[[#This Row],[lab-med]]*Table22342102345678[[#This Row],[anl-med]]</f>
        <v>6.4140408706583161</v>
      </c>
    </row>
    <row r="132" spans="2:23" x14ac:dyDescent="0.25">
      <c r="B132" s="46">
        <f ca="1">VALUE((Table22342102345678[[#This Row],[Column3]]-62))</f>
        <v>70</v>
      </c>
      <c r="C132" t="s">
        <v>138</v>
      </c>
      <c r="D132">
        <v>12.170000099999999</v>
      </c>
      <c r="E132"/>
      <c r="F132" s="89">
        <v>15.565314589798099</v>
      </c>
      <c r="G132" s="29">
        <f>Table22342102345678[[#This Row],[Florent ]]-Table22342102345678[[#This Row],[REF]]</f>
        <v>3.3953144897980998</v>
      </c>
      <c r="H132" s="29">
        <f>Table22342102345678[[#This Row],[X-Y]]-E$20</f>
        <v>3.6876769084216434</v>
      </c>
      <c r="I132" s="29">
        <f>Table22342102345678[[#This Row],[Florent ]]-E$20</f>
        <v>15.857677008421643</v>
      </c>
      <c r="J132" s="29">
        <f>Table22342102345678[[#This Row],[Florent ]]*E$21+E$22</f>
        <v>12.95020961941983</v>
      </c>
      <c r="K132" s="56">
        <f>Table22342102345678[[#This Row],[Yest]]-Table22342102345678[[#This Row],[REF]]</f>
        <v>0.78020951941983085</v>
      </c>
      <c r="L132" s="56">
        <f>ABS(Table22342102345678[[#This Row],[RESyx]])</f>
        <v>0.78020951941983085</v>
      </c>
      <c r="M132" s="29">
        <f>Table22342102345678[[#This Row],[Florent ]]*E$25+E$26</f>
        <v>13.992725045698254</v>
      </c>
      <c r="N132" s="29">
        <f>Table22342102345678[[#This Row],[X-Y]]^2</f>
        <v>11.528160484632931</v>
      </c>
      <c r="O132" s="57">
        <f>Table22342102345678[[#This Row],[yest_rect]]-Table22342102345678[[#This Row],[REF]]</f>
        <v>1.8227249456982548</v>
      </c>
      <c r="P132" s="57">
        <f>Table22342102345678[[#This Row],[dif rec]]^2</f>
        <v>3.3223262276707062</v>
      </c>
      <c r="Q132" s="57">
        <f>ABS(Table22342102345678[[#This Row],[diff-bias]])</f>
        <v>3.6876769084216434</v>
      </c>
      <c r="R132" s="57">
        <f ca="1">CELL("row",Table22342102345678[[#This Row],[Position]])</f>
        <v>132</v>
      </c>
      <c r="S132" s="4">
        <f>Table22342102345678[[#This Row],[REF]]-D$13</f>
        <v>1.1599998499999984</v>
      </c>
      <c r="T132" s="4">
        <f>ABS(Table22342102345678[[#This Row],[lab-med]])</f>
        <v>1.1599998499999984</v>
      </c>
      <c r="U132" s="4">
        <f>Table22342102345678[[#This Row],[Florent ]]-F$13</f>
        <v>4.9171463955493984</v>
      </c>
      <c r="V132" s="4">
        <f>ABS(Table22342102345678[[#This Row],[anl-med]])</f>
        <v>4.9171463955493984</v>
      </c>
      <c r="W132" s="4">
        <f>Table22342102345678[[#This Row],[lab-med]]*Table22342102345678[[#This Row],[anl-med]]</f>
        <v>5.7038890812653351</v>
      </c>
    </row>
    <row r="133" spans="2:23" x14ac:dyDescent="0.25">
      <c r="B133" s="46">
        <f ca="1">VALUE((Table22342102345678[[#This Row],[Column3]]-62))</f>
        <v>71</v>
      </c>
      <c r="C133" t="s">
        <v>139</v>
      </c>
      <c r="D133">
        <v>10.970000300000001</v>
      </c>
      <c r="E133"/>
      <c r="F133" s="89">
        <v>8.4164573414968906</v>
      </c>
      <c r="G133" s="29">
        <f>Table22342102345678[[#This Row],[Florent ]]-Table22342102345678[[#This Row],[REF]]</f>
        <v>-2.55354295850311</v>
      </c>
      <c r="H133" s="29">
        <f>Table22342102345678[[#This Row],[X-Y]]-E$20</f>
        <v>-2.2611805398795664</v>
      </c>
      <c r="I133" s="29">
        <f>Table22342102345678[[#This Row],[Florent ]]-E$20</f>
        <v>8.7088197601204342</v>
      </c>
      <c r="J133" s="29">
        <f>Table22342102345678[[#This Row],[Florent ]]*E$21+E$22</f>
        <v>10.178836444195451</v>
      </c>
      <c r="K133" s="56">
        <f>Table22342102345678[[#This Row],[Yest]]-Table22342102345678[[#This Row],[REF]]</f>
        <v>-0.79116385580454995</v>
      </c>
      <c r="L133" s="56">
        <f>ABS(Table22342102345678[[#This Row],[RESyx]])</f>
        <v>0.79116385580454995</v>
      </c>
      <c r="M133" s="29">
        <f>Table22342102345678[[#This Row],[Florent ]]*E$25+E$26</f>
        <v>9.651740224360978</v>
      </c>
      <c r="N133" s="29">
        <f>Table22342102345678[[#This Row],[X-Y]]^2</f>
        <v>6.5205816409208159</v>
      </c>
      <c r="O133" s="57">
        <f>Table22342102345678[[#This Row],[yest_rect]]-Table22342102345678[[#This Row],[REF]]</f>
        <v>-1.3182600756390226</v>
      </c>
      <c r="P133" s="57">
        <f>Table22342102345678[[#This Row],[dif rec]]^2</f>
        <v>1.7378096270238015</v>
      </c>
      <c r="Q133" s="57">
        <f>ABS(Table22342102345678[[#This Row],[diff-bias]])</f>
        <v>2.2611805398795664</v>
      </c>
      <c r="R133" s="57">
        <f ca="1">CELL("row",Table22342102345678[[#This Row],[Position]])</f>
        <v>133</v>
      </c>
      <c r="S133" s="4">
        <f>Table22342102345678[[#This Row],[REF]]-D$13</f>
        <v>-3.9999950000000339E-2</v>
      </c>
      <c r="T133" s="4">
        <f>ABS(Table22342102345678[[#This Row],[lab-med]])</f>
        <v>3.9999950000000339E-2</v>
      </c>
      <c r="U133" s="4">
        <f>Table22342102345678[[#This Row],[Florent ]]-F$13</f>
        <v>-2.2317108527518101</v>
      </c>
      <c r="V133" s="4">
        <f>ABS(Table22342102345678[[#This Row],[anl-med]])</f>
        <v>2.2317108527518101</v>
      </c>
      <c r="W133" s="4">
        <f>Table22342102345678[[#This Row],[lab-med]]*Table22342102345678[[#This Row],[anl-med]]</f>
        <v>8.9268322524530527E-2</v>
      </c>
    </row>
    <row r="134" spans="2:23" x14ac:dyDescent="0.25">
      <c r="B134" s="46">
        <f ca="1">VALUE((Table22342102345678[[#This Row],[Column3]]-62))</f>
        <v>72</v>
      </c>
      <c r="C134" t="s">
        <v>140</v>
      </c>
      <c r="D134">
        <v>12.2600002</v>
      </c>
      <c r="E134"/>
      <c r="F134" s="89">
        <v>11.260610281674801</v>
      </c>
      <c r="G134" s="29">
        <f>Table22342102345678[[#This Row],[Florent ]]-Table22342102345678[[#This Row],[REF]]</f>
        <v>-0.99938991832519974</v>
      </c>
      <c r="H134" s="29">
        <f>Table22342102345678[[#This Row],[X-Y]]-E$20</f>
        <v>-0.70702749970165613</v>
      </c>
      <c r="I134" s="29">
        <f>Table22342102345678[[#This Row],[Florent ]]-E$20</f>
        <v>11.552972700298344</v>
      </c>
      <c r="J134" s="29">
        <f>Table22342102345678[[#This Row],[Florent ]]*E$21+E$22</f>
        <v>11.281419541167722</v>
      </c>
      <c r="K134" s="56">
        <f>Table22342102345678[[#This Row],[Yest]]-Table22342102345678[[#This Row],[REF]]</f>
        <v>-0.97858065883227852</v>
      </c>
      <c r="L134" s="56">
        <f>ABS(Table22342102345678[[#This Row],[RESyx]])</f>
        <v>0.97858065883227852</v>
      </c>
      <c r="M134" s="29">
        <f>Table22342102345678[[#This Row],[Florent ]]*E$25+E$26</f>
        <v>11.378788941945594</v>
      </c>
      <c r="N134" s="29">
        <f>Table22342102345678[[#This Row],[X-Y]]^2</f>
        <v>0.99878020885004937</v>
      </c>
      <c r="O134" s="57">
        <f>Table22342102345678[[#This Row],[yest_rect]]-Table22342102345678[[#This Row],[REF]]</f>
        <v>-0.8812112580544067</v>
      </c>
      <c r="P134" s="57">
        <f>Table22342102345678[[#This Row],[dif rec]]^2</f>
        <v>0.77653328132183019</v>
      </c>
      <c r="Q134" s="57">
        <f>ABS(Table22342102345678[[#This Row],[diff-bias]])</f>
        <v>0.70702749970165613</v>
      </c>
      <c r="R134" s="57">
        <f ca="1">CELL("row",Table22342102345678[[#This Row],[Position]])</f>
        <v>134</v>
      </c>
      <c r="S134" s="4">
        <f>Table22342102345678[[#This Row],[REF]]-D$13</f>
        <v>1.2499999499999994</v>
      </c>
      <c r="T134" s="4">
        <f>ABS(Table22342102345678[[#This Row],[lab-med]])</f>
        <v>1.2499999499999994</v>
      </c>
      <c r="U134" s="4">
        <f>Table22342102345678[[#This Row],[Florent ]]-F$13</f>
        <v>0.61244208742609985</v>
      </c>
      <c r="V134" s="4">
        <f>ABS(Table22342102345678[[#This Row],[anl-med]])</f>
        <v>0.61244208742609985</v>
      </c>
      <c r="W134" s="4">
        <f>Table22342102345678[[#This Row],[lab-med]]*Table22342102345678[[#This Row],[anl-med]]</f>
        <v>0.76555257866052007</v>
      </c>
    </row>
    <row r="135" spans="2:23" x14ac:dyDescent="0.25">
      <c r="B135" s="46">
        <f ca="1">VALUE((Table22342102345678[[#This Row],[Column3]]-62))</f>
        <v>73</v>
      </c>
      <c r="C135" t="s">
        <v>141</v>
      </c>
      <c r="D135">
        <v>13.029999699999999</v>
      </c>
      <c r="E135"/>
      <c r="F135" s="89">
        <v>14.7436885977597</v>
      </c>
      <c r="G135" s="29">
        <f>Table22342102345678[[#This Row],[Florent ]]-Table22342102345678[[#This Row],[REF]]</f>
        <v>1.7136888977597007</v>
      </c>
      <c r="H135" s="29">
        <f>Table22342102345678[[#This Row],[X-Y]]-E$20</f>
        <v>2.0060513163832443</v>
      </c>
      <c r="I135" s="29">
        <f>Table22342102345678[[#This Row],[Florent ]]-E$20</f>
        <v>15.036051016383244</v>
      </c>
      <c r="J135" s="29">
        <f>Table22342102345678[[#This Row],[Florent ]]*E$21+E$22</f>
        <v>12.631692665546758</v>
      </c>
      <c r="K135" s="56">
        <f>Table22342102345678[[#This Row],[Yest]]-Table22342102345678[[#This Row],[REF]]</f>
        <v>-0.39830703445324112</v>
      </c>
      <c r="L135" s="56">
        <f>ABS(Table22342102345678[[#This Row],[RESyx]])</f>
        <v>0.39830703445324112</v>
      </c>
      <c r="M135" s="29">
        <f>Table22342102345678[[#This Row],[Florent ]]*E$25+E$26</f>
        <v>13.49381090650455</v>
      </c>
      <c r="N135" s="29">
        <f>Table22342102345678[[#This Row],[X-Y]]^2</f>
        <v>2.936729638304858</v>
      </c>
      <c r="O135" s="57">
        <f>Table22342102345678[[#This Row],[yest_rect]]-Table22342102345678[[#This Row],[REF]]</f>
        <v>0.4638112065045501</v>
      </c>
      <c r="P135" s="57">
        <f>Table22342102345678[[#This Row],[dif rec]]^2</f>
        <v>0.21512083527920642</v>
      </c>
      <c r="Q135" s="57">
        <f>ABS(Table22342102345678[[#This Row],[diff-bias]])</f>
        <v>2.0060513163832443</v>
      </c>
      <c r="R135" s="57">
        <f ca="1">CELL("row",Table22342102345678[[#This Row],[Position]])</f>
        <v>135</v>
      </c>
      <c r="S135" s="4">
        <f>Table22342102345678[[#This Row],[REF]]-D$13</f>
        <v>2.0199994499999985</v>
      </c>
      <c r="T135" s="4">
        <f>ABS(Table22342102345678[[#This Row],[lab-med]])</f>
        <v>2.0199994499999985</v>
      </c>
      <c r="U135" s="4">
        <f>Table22342102345678[[#This Row],[Florent ]]-F$13</f>
        <v>4.0955204035109993</v>
      </c>
      <c r="V135" s="4">
        <f>ABS(Table22342102345678[[#This Row],[anl-med]])</f>
        <v>4.0955204035109993</v>
      </c>
      <c r="W135" s="4">
        <f>Table22342102345678[[#This Row],[lab-med]]*Table22342102345678[[#This Row],[anl-med]]</f>
        <v>8.27294896255599</v>
      </c>
    </row>
    <row r="136" spans="2:23" x14ac:dyDescent="0.25">
      <c r="B136" s="46">
        <f ca="1">VALUE((Table22342102345678[[#This Row],[Column3]]-62))</f>
        <v>74</v>
      </c>
      <c r="C136" t="s">
        <v>142</v>
      </c>
      <c r="D136">
        <v>12.359999699999999</v>
      </c>
      <c r="E136"/>
      <c r="F136" s="89">
        <v>10.7018628813343</v>
      </c>
      <c r="G136" s="29">
        <f>Table22342102345678[[#This Row],[Florent ]]-Table22342102345678[[#This Row],[REF]]</f>
        <v>-1.6581368186656995</v>
      </c>
      <c r="H136" s="29">
        <f>Table22342102345678[[#This Row],[X-Y]]-E$20</f>
        <v>-1.3657744000421559</v>
      </c>
      <c r="I136" s="29">
        <f>Table22342102345678[[#This Row],[Florent ]]-E$20</f>
        <v>10.994225299957844</v>
      </c>
      <c r="J136" s="29">
        <f>Table22342102345678[[#This Row],[Florent ]]*E$21+E$22</f>
        <v>11.064811836852742</v>
      </c>
      <c r="K136" s="56">
        <f>Table22342102345678[[#This Row],[Yest]]-Table22342102345678[[#This Row],[REF]]</f>
        <v>-1.2951878631472571</v>
      </c>
      <c r="L136" s="56">
        <f>ABS(Table22342102345678[[#This Row],[RESyx]])</f>
        <v>1.2951878631472571</v>
      </c>
      <c r="M136" s="29">
        <f>Table22342102345678[[#This Row],[Florent ]]*E$25+E$26</f>
        <v>11.039501990256056</v>
      </c>
      <c r="N136" s="29">
        <f>Table22342102345678[[#This Row],[X-Y]]^2</f>
        <v>2.7494177094148067</v>
      </c>
      <c r="O136" s="57">
        <f>Table22342102345678[[#This Row],[yest_rect]]-Table22342102345678[[#This Row],[REF]]</f>
        <v>-1.3204977097439432</v>
      </c>
      <c r="P136" s="57">
        <f>Table22342102345678[[#This Row],[dif rec]]^2</f>
        <v>1.7437142014389992</v>
      </c>
      <c r="Q136" s="57">
        <f>ABS(Table22342102345678[[#This Row],[diff-bias]])</f>
        <v>1.3657744000421559</v>
      </c>
      <c r="R136" s="57">
        <f ca="1">CELL("row",Table22342102345678[[#This Row],[Position]])</f>
        <v>136</v>
      </c>
      <c r="S136" s="4">
        <f>Table22342102345678[[#This Row],[REF]]-D$13</f>
        <v>1.3499994499999985</v>
      </c>
      <c r="T136" s="4">
        <f>ABS(Table22342102345678[[#This Row],[lab-med]])</f>
        <v>1.3499994499999985</v>
      </c>
      <c r="U136" s="4">
        <f>Table22342102345678[[#This Row],[Florent ]]-F$13</f>
        <v>5.3694687085599213E-2</v>
      </c>
      <c r="V136" s="4">
        <f>ABS(Table22342102345678[[#This Row],[anl-med]])</f>
        <v>5.3694687085599213E-2</v>
      </c>
      <c r="W136" s="4">
        <f>Table22342102345678[[#This Row],[lab-med]]*Table22342102345678[[#This Row],[anl-med]]</f>
        <v>7.248779803348096E-2</v>
      </c>
    </row>
    <row r="137" spans="2:23" x14ac:dyDescent="0.25">
      <c r="B137" s="46">
        <f ca="1">VALUE((Table22342102345678[[#This Row],[Column3]]-62))</f>
        <v>75</v>
      </c>
      <c r="C137" t="s">
        <v>143</v>
      </c>
      <c r="D137">
        <v>12.399999599999999</v>
      </c>
      <c r="E137"/>
      <c r="F137" s="89">
        <v>11.7376942906136</v>
      </c>
      <c r="G137" s="29">
        <f>Table22342102345678[[#This Row],[Florent ]]-Table22342102345678[[#This Row],[REF]]</f>
        <v>-0.66230530938639909</v>
      </c>
      <c r="H137" s="29">
        <f>Table22342102345678[[#This Row],[X-Y]]-E$20</f>
        <v>-0.36994289076285547</v>
      </c>
      <c r="I137" s="29">
        <f>Table22342102345678[[#This Row],[Florent ]]-E$20</f>
        <v>12.030056709237144</v>
      </c>
      <c r="J137" s="29">
        <f>Table22342102345678[[#This Row],[Florent ]]*E$21+E$22</f>
        <v>11.466369076286174</v>
      </c>
      <c r="K137" s="56">
        <f>Table22342102345678[[#This Row],[Yest]]-Table22342102345678[[#This Row],[REF]]</f>
        <v>-0.93363052371382516</v>
      </c>
      <c r="L137" s="56">
        <f>ABS(Table22342102345678[[#This Row],[RESyx]])</f>
        <v>0.93363052371382516</v>
      </c>
      <c r="M137" s="29">
        <f>Table22342102345678[[#This Row],[Florent ]]*E$25+E$26</f>
        <v>11.668487612568541</v>
      </c>
      <c r="N137" s="29">
        <f>Table22342102345678[[#This Row],[X-Y]]^2</f>
        <v>0.43864832284141381</v>
      </c>
      <c r="O137" s="57">
        <f>Table22342102345678[[#This Row],[yest_rect]]-Table22342102345678[[#This Row],[REF]]</f>
        <v>-0.73151198743145862</v>
      </c>
      <c r="P137" s="57">
        <f>Table22342102345678[[#This Row],[dif rec]]^2</f>
        <v>0.53510978775592244</v>
      </c>
      <c r="Q137" s="57">
        <f>ABS(Table22342102345678[[#This Row],[diff-bias]])</f>
        <v>0.36994289076285547</v>
      </c>
      <c r="R137" s="57">
        <f ca="1">CELL("row",Table22342102345678[[#This Row],[Position]])</f>
        <v>137</v>
      </c>
      <c r="S137" s="4">
        <f>Table22342102345678[[#This Row],[REF]]-D$13</f>
        <v>1.3899993499999983</v>
      </c>
      <c r="T137" s="4">
        <f>ABS(Table22342102345678[[#This Row],[lab-med]])</f>
        <v>1.3899993499999983</v>
      </c>
      <c r="U137" s="4">
        <f>Table22342102345678[[#This Row],[Florent ]]-F$13</f>
        <v>1.0895260963648994</v>
      </c>
      <c r="V137" s="4">
        <f>ABS(Table22342102345678[[#This Row],[anl-med]])</f>
        <v>1.0895260963648994</v>
      </c>
      <c r="W137" s="4">
        <f>Table22342102345678[[#This Row],[lab-med]]*Table22342102345678[[#This Row],[anl-med]]</f>
        <v>1.5144405657552458</v>
      </c>
    </row>
    <row r="138" spans="2:23" x14ac:dyDescent="0.25">
      <c r="B138" s="46">
        <f ca="1">VALUE((Table22342102345678[[#This Row],[Column3]]-62))</f>
        <v>76</v>
      </c>
      <c r="C138" t="s">
        <v>144</v>
      </c>
      <c r="D138">
        <v>12.5</v>
      </c>
      <c r="E138"/>
      <c r="F138" s="89">
        <v>13.076619753064101</v>
      </c>
      <c r="G138" s="29">
        <f>Table22342102345678[[#This Row],[Florent ]]-Table22342102345678[[#This Row],[REF]]</f>
        <v>0.57661975306410085</v>
      </c>
      <c r="H138" s="29">
        <f>Table22342102345678[[#This Row],[X-Y]]-E$20</f>
        <v>0.86898217168764447</v>
      </c>
      <c r="I138" s="29">
        <f>Table22342102345678[[#This Row],[Florent ]]-E$20</f>
        <v>13.368982171687644</v>
      </c>
      <c r="J138" s="29">
        <f>Table22342102345678[[#This Row],[Florent ]]*E$21+E$22</f>
        <v>11.985425756448866</v>
      </c>
      <c r="K138" s="56">
        <f>Table22342102345678[[#This Row],[Yest]]-Table22342102345678[[#This Row],[REF]]</f>
        <v>-0.51457424355113446</v>
      </c>
      <c r="L138" s="56">
        <f>ABS(Table22342102345678[[#This Row],[RESyx]])</f>
        <v>0.51457424355113446</v>
      </c>
      <c r="M138" s="29">
        <f>Table22342102345678[[#This Row],[Florent ]]*E$25+E$26</f>
        <v>12.481520368367487</v>
      </c>
      <c r="N138" s="29">
        <f>Table22342102345678[[#This Row],[X-Y]]^2</f>
        <v>0.33249033962370467</v>
      </c>
      <c r="O138" s="57">
        <f>Table22342102345678[[#This Row],[yest_rect]]-Table22342102345678[[#This Row],[REF]]</f>
        <v>-1.847963163251265E-2</v>
      </c>
      <c r="P138" s="57">
        <f>Table22342102345678[[#This Row],[dif rec]]^2</f>
        <v>3.4149678527336212E-4</v>
      </c>
      <c r="Q138" s="57">
        <f>ABS(Table22342102345678[[#This Row],[diff-bias]])</f>
        <v>0.86898217168764447</v>
      </c>
      <c r="R138" s="57">
        <f ca="1">CELL("row",Table22342102345678[[#This Row],[Position]])</f>
        <v>138</v>
      </c>
      <c r="S138" s="4">
        <f>Table22342102345678[[#This Row],[REF]]-D$13</f>
        <v>1.4899997499999991</v>
      </c>
      <c r="T138" s="4">
        <f>ABS(Table22342102345678[[#This Row],[lab-med]])</f>
        <v>1.4899997499999991</v>
      </c>
      <c r="U138" s="4">
        <f>Table22342102345678[[#This Row],[Florent ]]-F$13</f>
        <v>2.4284515588154001</v>
      </c>
      <c r="V138" s="4">
        <f>ABS(Table22342102345678[[#This Row],[anl-med]])</f>
        <v>2.4284515588154001</v>
      </c>
      <c r="W138" s="4">
        <f>Table22342102345678[[#This Row],[lab-med]]*Table22342102345678[[#This Row],[anl-med]]</f>
        <v>3.618392215522054</v>
      </c>
    </row>
    <row r="139" spans="2:23" x14ac:dyDescent="0.25">
      <c r="B139" s="46">
        <f ca="1">VALUE((Table22342102345678[[#This Row],[Column3]]-62))</f>
        <v>77</v>
      </c>
      <c r="C139" t="s">
        <v>145</v>
      </c>
      <c r="D139">
        <v>12.600000400000001</v>
      </c>
      <c r="E139"/>
      <c r="F139" s="89">
        <v>12.2913721692246</v>
      </c>
      <c r="G139" s="29">
        <f>Table22342102345678[[#This Row],[Florent ]]-Table22342102345678[[#This Row],[REF]]</f>
        <v>-0.30862823077540114</v>
      </c>
      <c r="H139" s="29">
        <f>Table22342102345678[[#This Row],[X-Y]]-E$20</f>
        <v>-1.6265812151857517E-2</v>
      </c>
      <c r="I139" s="29">
        <f>Table22342102345678[[#This Row],[Florent ]]-E$20</f>
        <v>12.583734587848143</v>
      </c>
      <c r="J139" s="29">
        <f>Table22342102345678[[#This Row],[Florent ]]*E$21+E$22</f>
        <v>11.681011496354403</v>
      </c>
      <c r="K139" s="56">
        <f>Table22342102345678[[#This Row],[Yest]]-Table22342102345678[[#This Row],[REF]]</f>
        <v>-0.91898890364559804</v>
      </c>
      <c r="L139" s="56">
        <f>ABS(Table22342102345678[[#This Row],[RESyx]])</f>
        <v>0.91898890364559804</v>
      </c>
      <c r="M139" s="29">
        <f>Table22342102345678[[#This Row],[Florent ]]*E$25+E$26</f>
        <v>12.004696209758212</v>
      </c>
      <c r="N139" s="29">
        <f>Table22342102345678[[#This Row],[X-Y]]^2</f>
        <v>9.5251384831554264E-2</v>
      </c>
      <c r="O139" s="57">
        <f>Table22342102345678[[#This Row],[yest_rect]]-Table22342102345678[[#This Row],[REF]]</f>
        <v>-0.59530419024178904</v>
      </c>
      <c r="P139" s="57">
        <f>Table22342102345678[[#This Row],[dif rec]]^2</f>
        <v>0.35438707891943216</v>
      </c>
      <c r="Q139" s="57">
        <f>ABS(Table22342102345678[[#This Row],[diff-bias]])</f>
        <v>1.6265812151857517E-2</v>
      </c>
      <c r="R139" s="57">
        <f ca="1">CELL("row",Table22342102345678[[#This Row],[Position]])</f>
        <v>139</v>
      </c>
      <c r="S139" s="4">
        <f>Table22342102345678[[#This Row],[REF]]-D$13</f>
        <v>1.5900001499999998</v>
      </c>
      <c r="T139" s="4">
        <f>ABS(Table22342102345678[[#This Row],[lab-med]])</f>
        <v>1.5900001499999998</v>
      </c>
      <c r="U139" s="4">
        <f>Table22342102345678[[#This Row],[Florent ]]-F$13</f>
        <v>1.6432039749758989</v>
      </c>
      <c r="V139" s="4">
        <f>ABS(Table22342102345678[[#This Row],[anl-med]])</f>
        <v>1.6432039749758989</v>
      </c>
      <c r="W139" s="4">
        <f>Table22342102345678[[#This Row],[lab-med]]*Table22342102345678[[#This Row],[anl-med]]</f>
        <v>2.6126945666922752</v>
      </c>
    </row>
    <row r="140" spans="2:23" x14ac:dyDescent="0.25">
      <c r="B140" s="46">
        <f ca="1">VALUE((Table22342102345678[[#This Row],[Column3]]-62))</f>
        <v>78</v>
      </c>
      <c r="C140" t="s">
        <v>146</v>
      </c>
      <c r="D140">
        <v>12.670000099999999</v>
      </c>
      <c r="E140"/>
      <c r="F140" s="89">
        <v>11.5983900862503</v>
      </c>
      <c r="G140" s="29">
        <f>Table22342102345678[[#This Row],[Florent ]]-Table22342102345678[[#This Row],[REF]]</f>
        <v>-1.0716100137496998</v>
      </c>
      <c r="H140" s="29">
        <f>Table22342102345678[[#This Row],[X-Y]]-E$20</f>
        <v>-0.77924759512615616</v>
      </c>
      <c r="I140" s="29">
        <f>Table22342102345678[[#This Row],[Florent ]]-E$20</f>
        <v>11.890752504873843</v>
      </c>
      <c r="J140" s="29">
        <f>Table22342102345678[[#This Row],[Florent ]]*E$21+E$22</f>
        <v>11.412365489172981</v>
      </c>
      <c r="K140" s="56">
        <f>Table22342102345678[[#This Row],[Yest]]-Table22342102345678[[#This Row],[REF]]</f>
        <v>-1.2576346108270187</v>
      </c>
      <c r="L140" s="56">
        <f>ABS(Table22342102345678[[#This Row],[RESyx]])</f>
        <v>1.2576346108270187</v>
      </c>
      <c r="M140" s="29">
        <f>Table22342102345678[[#This Row],[Florent ]]*E$25+E$26</f>
        <v>11.58389822776396</v>
      </c>
      <c r="N140" s="29">
        <f>Table22342102345678[[#This Row],[X-Y]]^2</f>
        <v>1.1483480215686317</v>
      </c>
      <c r="O140" s="57">
        <f>Table22342102345678[[#This Row],[yest_rect]]-Table22342102345678[[#This Row],[REF]]</f>
        <v>-1.0861018722360392</v>
      </c>
      <c r="P140" s="57">
        <f>Table22342102345678[[#This Row],[dif rec]]^2</f>
        <v>1.1796172768746296</v>
      </c>
      <c r="Q140" s="57">
        <f>ABS(Table22342102345678[[#This Row],[diff-bias]])</f>
        <v>0.77924759512615616</v>
      </c>
      <c r="R140" s="57">
        <f ca="1">CELL("row",Table22342102345678[[#This Row],[Position]])</f>
        <v>140</v>
      </c>
      <c r="S140" s="4">
        <f>Table22342102345678[[#This Row],[REF]]-D$13</f>
        <v>1.6599998499999984</v>
      </c>
      <c r="T140" s="4">
        <f>ABS(Table22342102345678[[#This Row],[lab-med]])</f>
        <v>1.6599998499999984</v>
      </c>
      <c r="U140" s="4">
        <f>Table22342102345678[[#This Row],[Florent ]]-F$13</f>
        <v>0.95022189200159879</v>
      </c>
      <c r="V140" s="4">
        <f>ABS(Table22342102345678[[#This Row],[anl-med]])</f>
        <v>0.95022189200159879</v>
      </c>
      <c r="W140" s="4">
        <f>Table22342102345678[[#This Row],[lab-med]]*Table22342102345678[[#This Row],[anl-med]]</f>
        <v>1.5773681981893686</v>
      </c>
    </row>
    <row r="141" spans="2:23" x14ac:dyDescent="0.25">
      <c r="B141" s="46">
        <f ca="1">VALUE((Table22342102345678[[#This Row],[Column3]]-62))</f>
        <v>79</v>
      </c>
      <c r="C141" t="s">
        <v>147</v>
      </c>
      <c r="D141">
        <v>12.699999800000001</v>
      </c>
      <c r="E141"/>
      <c r="F141" s="89">
        <v>11.067704074610401</v>
      </c>
      <c r="G141" s="29">
        <f>Table22342102345678[[#This Row],[Florent ]]-Table22342102345678[[#This Row],[REF]]</f>
        <v>-1.6322957253896</v>
      </c>
      <c r="H141" s="29">
        <f>Table22342102345678[[#This Row],[X-Y]]-E$20</f>
        <v>-1.3399333067660564</v>
      </c>
      <c r="I141" s="29">
        <f>Table22342102345678[[#This Row],[Florent ]]-E$20</f>
        <v>11.360066493233944</v>
      </c>
      <c r="J141" s="29">
        <f>Table22342102345678[[#This Row],[Florent ]]*E$21+E$22</f>
        <v>11.206636247975009</v>
      </c>
      <c r="K141" s="56">
        <f>Table22342102345678[[#This Row],[Yest]]-Table22342102345678[[#This Row],[REF]]</f>
        <v>-1.4933635520249915</v>
      </c>
      <c r="L141" s="56">
        <f>ABS(Table22342102345678[[#This Row],[RESyx]])</f>
        <v>1.4933635520249915</v>
      </c>
      <c r="M141" s="29">
        <f>Table22342102345678[[#This Row],[Florent ]]*E$25+E$26</f>
        <v>11.261650931250626</v>
      </c>
      <c r="N141" s="29">
        <f>Table22342102345678[[#This Row],[X-Y]]^2</f>
        <v>2.6643893351251604</v>
      </c>
      <c r="O141" s="57">
        <f>Table22342102345678[[#This Row],[yest_rect]]-Table22342102345678[[#This Row],[REF]]</f>
        <v>-1.4383488687493742</v>
      </c>
      <c r="P141" s="57">
        <f>Table22342102345678[[#This Row],[dif rec]]^2</f>
        <v>2.0688474682326046</v>
      </c>
      <c r="Q141" s="57">
        <f>ABS(Table22342102345678[[#This Row],[diff-bias]])</f>
        <v>1.3399333067660564</v>
      </c>
      <c r="R141" s="57">
        <f ca="1">CELL("row",Table22342102345678[[#This Row],[Position]])</f>
        <v>141</v>
      </c>
      <c r="S141" s="4">
        <f>Table22342102345678[[#This Row],[REF]]-D$13</f>
        <v>1.6899995499999996</v>
      </c>
      <c r="T141" s="4">
        <f>ABS(Table22342102345678[[#This Row],[lab-med]])</f>
        <v>1.6899995499999996</v>
      </c>
      <c r="U141" s="4">
        <f>Table22342102345678[[#This Row],[Florent ]]-F$13</f>
        <v>0.41953588036169975</v>
      </c>
      <c r="V141" s="4">
        <f>ABS(Table22342102345678[[#This Row],[anl-med]])</f>
        <v>0.41953588036169975</v>
      </c>
      <c r="W141" s="4">
        <f>Table22342102345678[[#This Row],[lab-med]]*Table22342102345678[[#This Row],[anl-med]]</f>
        <v>0.70901544902012625</v>
      </c>
    </row>
    <row r="142" spans="2:23" x14ac:dyDescent="0.25">
      <c r="B142" s="46">
        <f ca="1">VALUE((Table22342102345678[[#This Row],[Column3]]-62))</f>
        <v>80</v>
      </c>
      <c r="C142" t="s">
        <v>148</v>
      </c>
      <c r="D142">
        <v>14.4300003</v>
      </c>
      <c r="E142"/>
      <c r="F142" s="89">
        <v>12.659280358302</v>
      </c>
      <c r="G142" s="29">
        <f>Table22342102345678[[#This Row],[Florent ]]-Table22342102345678[[#This Row],[REF]]</f>
        <v>-1.7707199416979993</v>
      </c>
      <c r="H142" s="29">
        <f>Table22342102345678[[#This Row],[X-Y]]-E$20</f>
        <v>-1.4783575230744557</v>
      </c>
      <c r="I142" s="29">
        <f>Table22342102345678[[#This Row],[Florent ]]-E$20</f>
        <v>12.951642776925544</v>
      </c>
      <c r="J142" s="29">
        <f>Table22342102345678[[#This Row],[Florent ]]*E$21+E$22</f>
        <v>11.823637212708828</v>
      </c>
      <c r="K142" s="56">
        <f>Table22342102345678[[#This Row],[Yest]]-Table22342102345678[[#This Row],[REF]]</f>
        <v>-2.6063630872911716</v>
      </c>
      <c r="L142" s="56">
        <f>ABS(Table22342102345678[[#This Row],[RESyx]])</f>
        <v>2.6063630872911716</v>
      </c>
      <c r="M142" s="29">
        <f>Table22342102345678[[#This Row],[Florent ]]*E$25+E$26</f>
        <v>12.22810028805481</v>
      </c>
      <c r="N142" s="29">
        <f>Table22342102345678[[#This Row],[X-Y]]^2</f>
        <v>3.1354491119269658</v>
      </c>
      <c r="O142" s="57">
        <f>Table22342102345678[[#This Row],[yest_rect]]-Table22342102345678[[#This Row],[REF]]</f>
        <v>-2.2019000119451899</v>
      </c>
      <c r="P142" s="57">
        <f>Table22342102345678[[#This Row],[dif rec]]^2</f>
        <v>4.8483636626042275</v>
      </c>
      <c r="Q142" s="57">
        <f>ABS(Table22342102345678[[#This Row],[diff-bias]])</f>
        <v>1.4783575230744557</v>
      </c>
      <c r="R142" s="57">
        <f ca="1">CELL("row",Table22342102345678[[#This Row],[Position]])</f>
        <v>142</v>
      </c>
      <c r="S142" s="4">
        <f>Table22342102345678[[#This Row],[REF]]-D$13</f>
        <v>3.4200000499999987</v>
      </c>
      <c r="T142" s="4">
        <f>ABS(Table22342102345678[[#This Row],[lab-med]])</f>
        <v>3.4200000499999987</v>
      </c>
      <c r="U142" s="4">
        <f>Table22342102345678[[#This Row],[Florent ]]-F$13</f>
        <v>2.0111121640532996</v>
      </c>
      <c r="V142" s="4">
        <f>ABS(Table22342102345678[[#This Row],[anl-med]])</f>
        <v>2.0111121640532996</v>
      </c>
      <c r="W142" s="4">
        <f>Table22342102345678[[#This Row],[lab-med]]*Table22342102345678[[#This Row],[anl-med]]</f>
        <v>6.8780037016178905</v>
      </c>
    </row>
  </sheetData>
  <mergeCells count="1">
    <mergeCell ref="C3:K3"/>
  </mergeCells>
  <conditionalFormatting sqref="F63:F142">
    <cfRule type="expression" dxfId="145" priority="2" stopIfTrue="1">
      <formula>ABS(F63-#REF!)/#REF!&gt;3</formula>
    </cfRule>
  </conditionalFormatting>
  <conditionalFormatting sqref="D68:D72">
    <cfRule type="expression" dxfId="144" priority="1" stopIfTrue="1">
      <formula>ABS(D68-#REF!)/#REF!&gt;3</formula>
    </cfRule>
  </conditionalFormatting>
  <pageMargins left="0.75" right="0.75" top="1" bottom="1" header="0.5" footer="0.5"/>
  <pageSetup paperSize="9" scale="65" orientation="portrait" r:id="rId1"/>
  <headerFooter alignWithMargins="0">
    <oddHeader>&amp;A</oddHeader>
    <oddFooter>&amp;F</oddFooter>
  </headerFooter>
  <rowBreaks count="1" manualBreakCount="1">
    <brk id="58" max="16383" man="1"/>
  </rowBreaks>
  <drawing r:id="rId2"/>
  <legacyDrawing r:id="rId3"/>
  <tableParts count="1">
    <tablePart r:id="rId4"/>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7AD72-F3E4-4FD8-B753-1BE5C60289DB}">
  <sheetPr>
    <pageSetUpPr fitToPage="1"/>
  </sheetPr>
  <dimension ref="B1:AB142"/>
  <sheetViews>
    <sheetView zoomScale="80" zoomScaleNormal="80" workbookViewId="0">
      <selection activeCell="J14" sqref="J14"/>
    </sheetView>
  </sheetViews>
  <sheetFormatPr defaultColWidth="8.88671875" defaultRowHeight="13.2" x14ac:dyDescent="0.25"/>
  <cols>
    <col min="1" max="1" width="3.109375" style="2" customWidth="1"/>
    <col min="2" max="2" width="9.44140625" style="2" customWidth="1"/>
    <col min="3" max="3" width="20.88671875" style="2" customWidth="1"/>
    <col min="4" max="4" width="15.44140625" style="61" customWidth="1"/>
    <col min="5" max="5" width="10.88671875" style="61" customWidth="1"/>
    <col min="6" max="6" width="13.5546875" style="61" customWidth="1"/>
    <col min="7" max="7" width="10.33203125" style="2" customWidth="1"/>
    <col min="8" max="8" width="13.33203125" style="2" customWidth="1"/>
    <col min="9" max="9" width="10.5546875" style="2" customWidth="1"/>
    <col min="10" max="10" width="15" style="2" customWidth="1"/>
    <col min="11" max="11" width="12.109375" style="3" customWidth="1"/>
    <col min="12" max="12" width="9.109375" style="3" customWidth="1"/>
    <col min="13" max="13" width="7.6640625" style="2" customWidth="1"/>
    <col min="14" max="14" width="7" style="2" customWidth="1"/>
    <col min="15" max="15" width="11.109375" style="2" customWidth="1"/>
    <col min="16" max="16" width="10.109375" style="2" customWidth="1"/>
    <col min="17" max="17" width="6.33203125" style="2" customWidth="1"/>
    <col min="18" max="20" width="8.88671875" style="2"/>
    <col min="21" max="21" width="9.33203125" style="2" customWidth="1"/>
    <col min="22" max="23" width="8.88671875" style="2"/>
    <col min="24" max="24" width="9.109375" style="2" customWidth="1"/>
    <col min="25" max="16384" width="8.88671875" style="2"/>
  </cols>
  <sheetData>
    <row r="1" spans="2:28" ht="15.6" customHeight="1" x14ac:dyDescent="0.25">
      <c r="B1" s="1"/>
      <c r="C1" s="1"/>
      <c r="D1" s="2"/>
      <c r="E1" s="1"/>
      <c r="F1" s="2"/>
      <c r="M1" s="3"/>
      <c r="N1" s="3"/>
      <c r="O1" s="3"/>
      <c r="P1" s="3"/>
      <c r="Q1" s="3"/>
      <c r="R1" s="3"/>
      <c r="S1" s="3"/>
      <c r="T1" s="3"/>
      <c r="U1" s="3"/>
      <c r="V1" s="3"/>
      <c r="W1" s="1" t="s">
        <v>53</v>
      </c>
    </row>
    <row r="2" spans="2:28" ht="6.6" customHeight="1" x14ac:dyDescent="0.3">
      <c r="D2" s="4"/>
      <c r="E2" s="4"/>
      <c r="F2" s="4"/>
      <c r="G2" s="5"/>
      <c r="H2" s="4"/>
      <c r="I2" s="4"/>
      <c r="J2" s="4"/>
      <c r="K2" s="6"/>
      <c r="L2" s="6"/>
      <c r="M2" s="6"/>
      <c r="N2" s="6"/>
      <c r="O2" s="6"/>
      <c r="P2" s="6"/>
      <c r="Q2" s="6"/>
      <c r="R2" s="6"/>
      <c r="S2" s="6"/>
      <c r="T2" s="6"/>
      <c r="U2" s="6"/>
      <c r="V2" s="6"/>
      <c r="W2" s="3"/>
    </row>
    <row r="3" spans="2:28" ht="20.399999999999999" x14ac:dyDescent="0.35">
      <c r="C3" s="98" t="s">
        <v>175</v>
      </c>
      <c r="D3" s="98"/>
      <c r="E3" s="98"/>
      <c r="F3" s="98"/>
      <c r="G3" s="98"/>
      <c r="H3" s="98"/>
      <c r="I3" s="98"/>
      <c r="J3" s="98"/>
      <c r="K3" s="98"/>
      <c r="L3" s="6"/>
      <c r="M3" s="6"/>
      <c r="N3" s="6"/>
      <c r="O3" s="6"/>
      <c r="P3" s="6"/>
      <c r="Q3" s="6"/>
      <c r="R3" s="6"/>
      <c r="S3" s="6"/>
      <c r="T3" s="6"/>
      <c r="U3" s="6"/>
      <c r="V3" s="6"/>
      <c r="W3" s="3"/>
    </row>
    <row r="4" spans="2:28" ht="7.2" customHeight="1" x14ac:dyDescent="0.25">
      <c r="D4" s="4"/>
      <c r="E4" s="4"/>
      <c r="F4" s="4"/>
      <c r="G4" s="4"/>
      <c r="H4" s="4"/>
      <c r="I4" s="4"/>
      <c r="J4" s="4"/>
      <c r="K4" s="6"/>
      <c r="L4" s="6"/>
      <c r="M4" s="6"/>
      <c r="N4" s="6"/>
      <c r="O4" s="6"/>
      <c r="P4" s="6"/>
      <c r="Q4" s="6"/>
      <c r="R4" s="6"/>
      <c r="S4" s="6"/>
      <c r="T4" s="6"/>
      <c r="U4" s="6"/>
      <c r="V4" s="6"/>
      <c r="W4" s="36"/>
      <c r="X4" s="30"/>
      <c r="Y4" s="30"/>
      <c r="Z4" s="30"/>
      <c r="AA4" s="30"/>
      <c r="AB4" s="30"/>
    </row>
    <row r="5" spans="2:28" ht="7.95" customHeight="1" thickBot="1" x14ac:dyDescent="0.3">
      <c r="D5" s="4"/>
      <c r="E5" s="4"/>
      <c r="F5" s="4"/>
      <c r="G5" s="4"/>
      <c r="H5" s="4"/>
      <c r="I5" s="4"/>
      <c r="J5" s="4"/>
      <c r="K5" s="6"/>
      <c r="L5" s="6"/>
      <c r="M5" s="6"/>
      <c r="N5" s="6"/>
      <c r="O5" s="6"/>
      <c r="P5" s="6"/>
      <c r="Q5" s="6"/>
      <c r="R5" s="6"/>
      <c r="S5" s="6"/>
      <c r="T5" s="6"/>
      <c r="U5" s="6"/>
      <c r="V5" s="6"/>
      <c r="W5" s="36"/>
      <c r="X5" s="30"/>
      <c r="Y5" s="30"/>
      <c r="Z5" s="30"/>
      <c r="AA5" s="30"/>
      <c r="AB5" s="30"/>
    </row>
    <row r="6" spans="2:28" ht="17.399999999999999" x14ac:dyDescent="0.3">
      <c r="B6" s="47"/>
      <c r="C6" s="48" t="str">
        <f>CONCATENATE(D62," = f (",F62," )")</f>
        <v>REF = f (Joris  )</v>
      </c>
      <c r="D6" s="49"/>
      <c r="E6" s="48"/>
      <c r="F6" s="48"/>
      <c r="G6" s="8"/>
      <c r="H6" s="65" t="s">
        <v>38</v>
      </c>
      <c r="I6" s="7"/>
      <c r="J6" s="8"/>
      <c r="M6" s="3"/>
      <c r="N6" s="3"/>
      <c r="O6" s="3"/>
      <c r="P6" s="3"/>
      <c r="Q6" s="3"/>
      <c r="R6" s="3"/>
      <c r="S6" s="3"/>
      <c r="T6" s="3"/>
      <c r="U6" s="3"/>
      <c r="V6" s="3"/>
      <c r="W6" s="36"/>
      <c r="X6" s="30"/>
      <c r="Y6" s="30"/>
      <c r="Z6" s="30"/>
      <c r="AA6" s="30"/>
      <c r="AB6" s="30"/>
    </row>
    <row r="7" spans="2:28" ht="17.399999999999999" x14ac:dyDescent="0.3">
      <c r="B7" s="50"/>
      <c r="C7" s="36"/>
      <c r="D7" s="45" t="str">
        <f>D62</f>
        <v>REF</v>
      </c>
      <c r="E7" s="45"/>
      <c r="F7" s="45" t="str">
        <f>F62</f>
        <v xml:space="preserve">Joris </v>
      </c>
      <c r="G7" s="10"/>
      <c r="H7" s="66" t="s">
        <v>22</v>
      </c>
      <c r="I7" s="9">
        <v>500</v>
      </c>
      <c r="J7" s="10"/>
      <c r="M7" s="3"/>
      <c r="N7" s="3"/>
      <c r="O7" s="3"/>
      <c r="P7" s="3"/>
      <c r="Q7" s="3"/>
      <c r="R7" s="3"/>
      <c r="S7" s="3"/>
      <c r="T7" s="3"/>
      <c r="U7" s="3"/>
      <c r="V7" s="3"/>
      <c r="W7" s="36"/>
      <c r="X7" s="30" t="s">
        <v>30</v>
      </c>
      <c r="Y7" s="30"/>
      <c r="Z7" s="30"/>
      <c r="AA7" s="30"/>
      <c r="AB7" s="30"/>
    </row>
    <row r="8" spans="2:28" ht="17.399999999999999" x14ac:dyDescent="0.3">
      <c r="B8" s="50"/>
      <c r="C8" s="51" t="s">
        <v>22</v>
      </c>
      <c r="D8" s="23"/>
      <c r="E8" s="45">
        <f>COUNT(Table223421023456789[REF])</f>
        <v>80</v>
      </c>
      <c r="F8" s="23"/>
      <c r="G8" s="10"/>
      <c r="H8" s="66" t="s">
        <v>39</v>
      </c>
      <c r="I8" s="9">
        <v>1.2</v>
      </c>
      <c r="J8" s="10"/>
      <c r="M8" s="3"/>
      <c r="N8" s="3"/>
      <c r="O8" s="3"/>
      <c r="P8" s="3"/>
      <c r="Q8" s="3"/>
      <c r="R8" s="3"/>
      <c r="S8" s="3"/>
      <c r="T8" s="3"/>
      <c r="U8" s="3"/>
      <c r="V8" s="3"/>
      <c r="W8" s="36"/>
      <c r="X8" s="37">
        <f>62+E8</f>
        <v>142</v>
      </c>
      <c r="Y8" s="30"/>
      <c r="Z8" s="38"/>
      <c r="AA8" s="30"/>
      <c r="AB8" s="30"/>
    </row>
    <row r="9" spans="2:28" ht="16.2" thickBot="1" x14ac:dyDescent="0.35">
      <c r="B9" s="50"/>
      <c r="C9" s="51" t="s">
        <v>6</v>
      </c>
      <c r="D9" s="24">
        <f>AVERAGE(Table223421023456789[REF])</f>
        <v>11.109499980000002</v>
      </c>
      <c r="E9" s="24"/>
      <c r="F9" s="24">
        <f>AVERAGE(Table223421023456789[[Joris ]])</f>
        <v>11.871033509883082</v>
      </c>
      <c r="G9" s="69"/>
      <c r="H9" s="67" t="s">
        <v>43</v>
      </c>
      <c r="I9" s="13"/>
      <c r="J9" s="14">
        <v>12</v>
      </c>
      <c r="M9" s="3"/>
      <c r="N9" s="3"/>
      <c r="O9" s="3"/>
      <c r="P9" s="3"/>
      <c r="Q9" s="3"/>
      <c r="R9" s="3"/>
      <c r="S9" s="3"/>
      <c r="T9" s="3"/>
      <c r="U9" s="3"/>
      <c r="V9" s="3"/>
      <c r="W9" s="56"/>
      <c r="X9" s="30"/>
      <c r="Y9" s="30"/>
      <c r="Z9" s="30"/>
      <c r="AA9" s="30"/>
      <c r="AB9" s="30"/>
    </row>
    <row r="10" spans="2:28" ht="16.2" thickBot="1" x14ac:dyDescent="0.35">
      <c r="B10" s="50"/>
      <c r="C10" s="51" t="s">
        <v>7</v>
      </c>
      <c r="D10" s="24">
        <f>MIN(Table223421023456789[REF])</f>
        <v>8.9700003000000006</v>
      </c>
      <c r="E10" s="24">
        <f>ROUNDDOWN(MIN(D10,F10),0)</f>
        <v>8</v>
      </c>
      <c r="F10" s="24">
        <f>MIN(Table223421023456789[[Joris ]])</f>
        <v>8.1680052345295273</v>
      </c>
      <c r="G10" s="70"/>
      <c r="H10" s="68" t="s">
        <v>40</v>
      </c>
      <c r="I10" s="15">
        <v>0.05</v>
      </c>
      <c r="J10" s="16"/>
      <c r="M10" s="3"/>
      <c r="N10" s="3"/>
      <c r="O10" s="3"/>
      <c r="P10" s="3"/>
      <c r="Q10" s="3"/>
      <c r="R10" s="3"/>
      <c r="S10" s="3"/>
      <c r="T10" s="3"/>
      <c r="U10" s="3"/>
      <c r="V10" s="3"/>
      <c r="W10" s="56">
        <f>E10+E20</f>
        <v>8.7615335298830797</v>
      </c>
      <c r="X10" s="30"/>
      <c r="Y10" s="30"/>
      <c r="Z10" s="30"/>
      <c r="AA10" s="30"/>
      <c r="AB10" s="30"/>
    </row>
    <row r="11" spans="2:28" ht="15.6" x14ac:dyDescent="0.3">
      <c r="B11" s="50"/>
      <c r="C11" s="51" t="s">
        <v>8</v>
      </c>
      <c r="D11" s="24">
        <f>MAX(Table223421023456789[REF])</f>
        <v>14.4300003</v>
      </c>
      <c r="E11" s="24">
        <f>ROUNDUP(MAX(D11,F11),0)+1</f>
        <v>16</v>
      </c>
      <c r="F11" s="24">
        <f>MAX(Table223421023456789[[Joris ]])</f>
        <v>14.91752573122316</v>
      </c>
      <c r="G11" s="70"/>
      <c r="H11" s="28" t="s">
        <v>41</v>
      </c>
      <c r="I11" s="29">
        <f>TINV(I10,E8)</f>
        <v>1.9900634212544475</v>
      </c>
      <c r="J11" s="29"/>
      <c r="K11" s="36"/>
      <c r="M11" s="3"/>
      <c r="N11" s="3"/>
      <c r="O11" s="3"/>
      <c r="P11" s="3"/>
      <c r="Q11" s="3"/>
      <c r="R11" s="3"/>
      <c r="S11" s="3"/>
      <c r="T11" s="3"/>
      <c r="U11" s="3"/>
      <c r="V11" s="3"/>
      <c r="W11" s="56">
        <f>E11+E20</f>
        <v>16.761533529883081</v>
      </c>
      <c r="X11" s="30"/>
      <c r="Y11" s="30"/>
      <c r="Z11" s="30"/>
      <c r="AA11" s="30"/>
      <c r="AB11" s="30"/>
    </row>
    <row r="12" spans="2:28" ht="15.6" x14ac:dyDescent="0.3">
      <c r="B12" s="50"/>
      <c r="C12" s="51" t="s">
        <v>9</v>
      </c>
      <c r="D12" s="25">
        <f>STDEV(Table223421023456789[REF])</f>
        <v>1.1729049824811564</v>
      </c>
      <c r="E12" s="25"/>
      <c r="F12" s="24">
        <f>STDEV(Table223421023456789[[Joris ]])</f>
        <v>1.4321686457236953</v>
      </c>
      <c r="G12" s="69"/>
      <c r="H12" s="28" t="s">
        <v>42</v>
      </c>
      <c r="I12" s="29">
        <f>FINV(I10,E8-1,I7-1-J9)</f>
        <v>1.305795130911809</v>
      </c>
      <c r="J12" s="30"/>
      <c r="K12" s="36"/>
      <c r="M12" s="3"/>
      <c r="N12" s="3"/>
      <c r="O12" s="3"/>
      <c r="P12" s="3"/>
      <c r="Q12" s="3"/>
      <c r="R12" s="3"/>
      <c r="S12" s="3"/>
      <c r="T12" s="3"/>
      <c r="U12" s="3"/>
      <c r="V12" s="3"/>
      <c r="W12" s="36"/>
      <c r="X12" s="30"/>
      <c r="Y12" s="30"/>
      <c r="Z12" s="30"/>
      <c r="AA12" s="30"/>
      <c r="AB12" s="30"/>
    </row>
    <row r="13" spans="2:28" ht="15.6" x14ac:dyDescent="0.3">
      <c r="B13" s="50"/>
      <c r="C13" s="51" t="s">
        <v>56</v>
      </c>
      <c r="D13" s="24">
        <f>MEDIAN(Table223421023456789[REF])</f>
        <v>11.010000250000001</v>
      </c>
      <c r="E13" s="25"/>
      <c r="F13" s="24">
        <f>MEDIAN(Table223421023456789[[Joris ]])</f>
        <v>11.81181141399188</v>
      </c>
      <c r="G13" s="69"/>
      <c r="H13" s="28"/>
      <c r="I13" s="29"/>
      <c r="J13" s="30"/>
      <c r="K13" s="36"/>
      <c r="M13" s="3"/>
      <c r="N13" s="3"/>
      <c r="O13" s="3"/>
      <c r="P13" s="3"/>
      <c r="Q13" s="3"/>
      <c r="R13" s="3"/>
      <c r="S13" s="3"/>
      <c r="T13" s="3"/>
      <c r="U13" s="3"/>
      <c r="V13" s="3"/>
      <c r="W13" s="36"/>
      <c r="X13" s="30"/>
      <c r="Y13" s="30"/>
      <c r="Z13" s="30"/>
      <c r="AA13" s="30"/>
      <c r="AB13" s="30"/>
    </row>
    <row r="14" spans="2:28" ht="15.6" x14ac:dyDescent="0.3">
      <c r="B14" s="50"/>
      <c r="C14" s="51" t="s">
        <v>57</v>
      </c>
      <c r="D14" s="25">
        <f>1.4826*(MEDIAN(Table223421023456789[abs(lab)]))</f>
        <v>1.4677736293499986</v>
      </c>
      <c r="E14" s="25"/>
      <c r="F14" s="24">
        <f>1.4826*MEDIAN(Table223421023456789[abs(anl)])</f>
        <v>1.5735280204568807</v>
      </c>
      <c r="G14" s="75"/>
      <c r="H14" s="28"/>
      <c r="I14" s="29"/>
      <c r="J14" s="30"/>
      <c r="K14" s="36"/>
      <c r="M14" s="3"/>
      <c r="N14" s="3"/>
      <c r="O14" s="3"/>
      <c r="P14" s="3"/>
      <c r="Q14" s="3"/>
      <c r="R14" s="3"/>
      <c r="S14" s="3"/>
      <c r="T14" s="3"/>
      <c r="U14" s="3"/>
      <c r="V14" s="3"/>
      <c r="W14" s="36"/>
      <c r="X14" s="30"/>
      <c r="Y14" s="30"/>
      <c r="Z14" s="30"/>
      <c r="AA14" s="30"/>
      <c r="AB14" s="30"/>
    </row>
    <row r="15" spans="2:28" ht="15.6" x14ac:dyDescent="0.3">
      <c r="B15" s="50"/>
      <c r="C15" s="51"/>
      <c r="D15" s="25"/>
      <c r="E15" s="25"/>
      <c r="F15" s="24" t="s">
        <v>63</v>
      </c>
      <c r="G15" s="69"/>
      <c r="H15" s="28"/>
      <c r="I15" s="29"/>
      <c r="J15" s="30"/>
      <c r="K15" s="36"/>
      <c r="M15" s="3"/>
      <c r="N15" s="3"/>
      <c r="O15" s="3"/>
      <c r="P15" s="3"/>
      <c r="Q15" s="3"/>
      <c r="R15" s="3"/>
      <c r="S15" s="3"/>
      <c r="T15" s="3"/>
      <c r="U15" s="3"/>
      <c r="V15" s="3"/>
      <c r="W15" s="36"/>
      <c r="X15" s="30"/>
      <c r="Y15" s="30"/>
      <c r="Z15" s="30"/>
      <c r="AA15" s="30"/>
      <c r="AB15" s="30"/>
    </row>
    <row r="16" spans="2:28" ht="17.399999999999999" x14ac:dyDescent="0.3">
      <c r="B16" s="50"/>
      <c r="C16" s="51" t="s">
        <v>10</v>
      </c>
      <c r="D16" s="25"/>
      <c r="E16" s="26">
        <f>SQRT(AVERAGE(Table223421023456789[dif^2]))</f>
        <v>1.2462404405343395</v>
      </c>
      <c r="F16" s="72">
        <f>SQRT(F18^2+E20^2)</f>
        <v>1.1991605449414069</v>
      </c>
      <c r="G16" s="10"/>
      <c r="H16" s="31"/>
      <c r="I16" s="30"/>
      <c r="J16" s="31"/>
      <c r="K16" s="44"/>
      <c r="M16" s="3"/>
      <c r="N16" s="3"/>
      <c r="O16" s="3"/>
      <c r="P16" s="3"/>
      <c r="Q16" s="3"/>
      <c r="R16" s="3"/>
      <c r="S16" s="3"/>
      <c r="T16" s="3"/>
      <c r="U16" s="3"/>
      <c r="V16" s="3"/>
      <c r="W16" s="36"/>
      <c r="X16" s="30"/>
      <c r="Y16" s="30"/>
      <c r="Z16" s="30"/>
      <c r="AA16" s="30"/>
      <c r="AB16" s="30"/>
    </row>
    <row r="17" spans="2:28" ht="21" x14ac:dyDescent="0.4">
      <c r="B17" s="50"/>
      <c r="C17" s="51" t="s">
        <v>55</v>
      </c>
      <c r="D17" s="3"/>
      <c r="E17" s="26"/>
      <c r="F17" s="26">
        <f>MEDIAN(Table223421023456789[abs_errors])</f>
        <v>0.62478843806167017</v>
      </c>
      <c r="G17" s="10"/>
      <c r="H17" s="32"/>
      <c r="I17" s="33"/>
      <c r="J17" s="34"/>
      <c r="K17" s="54"/>
      <c r="M17" s="3"/>
      <c r="N17" s="3"/>
      <c r="O17" s="3"/>
      <c r="P17" s="3"/>
      <c r="Q17" s="3"/>
      <c r="R17" s="3"/>
      <c r="S17" s="3"/>
      <c r="T17" s="3"/>
      <c r="U17" s="3"/>
      <c r="V17" s="3"/>
      <c r="W17" s="36"/>
      <c r="X17" s="30"/>
      <c r="Y17" s="30"/>
      <c r="Z17" s="30"/>
      <c r="AA17" s="30"/>
      <c r="AB17" s="30"/>
    </row>
    <row r="18" spans="2:28" ht="21" x14ac:dyDescent="0.4">
      <c r="B18" s="50"/>
      <c r="C18" s="51" t="s">
        <v>11</v>
      </c>
      <c r="D18" s="25"/>
      <c r="E18" s="26">
        <f>STDEV(Table223421023456789[X-Y])</f>
        <v>0.99272386742180041</v>
      </c>
      <c r="F18" s="26">
        <f>1.4826*MEDIAN(Table223421023456789[abs_errors])</f>
        <v>0.92631133827023215</v>
      </c>
      <c r="G18" s="10"/>
      <c r="H18" s="32" t="s">
        <v>44</v>
      </c>
      <c r="I18" s="33">
        <f>I8*I12</f>
        <v>1.5669541570941707</v>
      </c>
      <c r="J18" s="34" t="str">
        <f>IF(E18&gt;I18,"S"," ns ")</f>
        <v xml:space="preserve"> ns </v>
      </c>
      <c r="K18" s="36"/>
      <c r="M18" s="3"/>
      <c r="N18" s="3"/>
      <c r="O18" s="3"/>
      <c r="P18" s="3"/>
      <c r="Q18" s="3"/>
      <c r="R18" s="3"/>
      <c r="S18" s="3"/>
      <c r="T18" s="3"/>
      <c r="U18" s="3"/>
      <c r="V18" s="3"/>
      <c r="W18" s="36"/>
      <c r="X18" s="30" t="s">
        <v>28</v>
      </c>
      <c r="Y18" s="30" t="s">
        <v>27</v>
      </c>
      <c r="Z18" s="30"/>
      <c r="AA18" s="30"/>
      <c r="AB18" s="30"/>
    </row>
    <row r="19" spans="2:28" ht="17.399999999999999" x14ac:dyDescent="0.3">
      <c r="B19" s="50"/>
      <c r="C19" s="51" t="s">
        <v>12</v>
      </c>
      <c r="D19" s="25"/>
      <c r="E19" s="26">
        <f>STEYX(Table223421023456789[REF],Table223421023456789[[Joris ]])</f>
        <v>0.81092063666201031</v>
      </c>
      <c r="F19" s="26">
        <f>1.4826*MEDIAN(Table223421023456789[Abs_erroryx])</f>
        <v>0.81687382542147713</v>
      </c>
      <c r="G19" s="10"/>
      <c r="H19" s="32"/>
      <c r="I19" s="33"/>
      <c r="J19" s="30"/>
      <c r="K19" s="36"/>
      <c r="M19" s="3"/>
      <c r="N19" s="3"/>
      <c r="O19" s="3"/>
      <c r="P19" s="3"/>
      <c r="Q19" s="3"/>
      <c r="R19" s="3"/>
      <c r="S19" s="3"/>
      <c r="T19" s="3"/>
      <c r="U19" s="3"/>
      <c r="V19" s="3"/>
      <c r="W19" s="36" t="s">
        <v>24</v>
      </c>
      <c r="X19" s="35">
        <f>E$26+E$25*E10</f>
        <v>7.9392347290112975</v>
      </c>
      <c r="Y19" s="30">
        <f>E10</f>
        <v>8</v>
      </c>
      <c r="Z19" s="30"/>
      <c r="AA19" s="30"/>
      <c r="AB19" s="30"/>
    </row>
    <row r="20" spans="2:28" ht="21" x14ac:dyDescent="0.4">
      <c r="B20" s="50"/>
      <c r="C20" s="51" t="s">
        <v>16</v>
      </c>
      <c r="D20" s="25"/>
      <c r="E20" s="72">
        <f>F9-D9</f>
        <v>0.76153352988307965</v>
      </c>
      <c r="F20" s="26">
        <f>F13-D13</f>
        <v>0.80181116399187857</v>
      </c>
      <c r="G20" s="10"/>
      <c r="H20" s="32" t="s">
        <v>46</v>
      </c>
      <c r="I20" s="33">
        <f>ABS(E20/(SQRT(SUM(Table223421023456789[dif^2])/(E8*(E8-1)))))</f>
        <v>5.4312617764219606</v>
      </c>
      <c r="J20" s="34" t="str">
        <f>IF(I20&gt;I11,"S","ns")</f>
        <v>S</v>
      </c>
      <c r="K20" s="36"/>
      <c r="M20" s="3"/>
      <c r="N20" s="3"/>
      <c r="O20" s="3"/>
      <c r="P20" s="3"/>
      <c r="Q20" s="3"/>
      <c r="R20" s="3"/>
      <c r="S20" s="3"/>
      <c r="T20" s="3"/>
      <c r="U20" s="3"/>
      <c r="V20" s="3"/>
      <c r="W20" s="36" t="s">
        <v>25</v>
      </c>
      <c r="X20" s="35">
        <f>E$26+E$25*E11</f>
        <v>14.491004932797434</v>
      </c>
      <c r="Y20" s="30">
        <f>E11</f>
        <v>16</v>
      </c>
      <c r="Z20" s="30"/>
      <c r="AA20" s="30"/>
      <c r="AB20" s="30"/>
    </row>
    <row r="21" spans="2:28" ht="21" x14ac:dyDescent="0.4">
      <c r="B21" s="50"/>
      <c r="C21" s="51" t="s">
        <v>13</v>
      </c>
      <c r="D21" s="25"/>
      <c r="E21" s="26">
        <f>SLOPE(Table223421023456789[REF],Table223421023456789[[Joris ]])</f>
        <v>0.59512068734401402</v>
      </c>
      <c r="F21" s="26"/>
      <c r="G21" s="10"/>
      <c r="H21" s="32" t="s">
        <v>45</v>
      </c>
      <c r="I21" s="33">
        <f>ABS(E21-1)*SQRT((E8-1)*F12^2/E19^2)</f>
        <v>6.3555763680861785</v>
      </c>
      <c r="J21" s="34" t="str">
        <f>IF(I21&gt;I11,"S"," ns  ")</f>
        <v>S</v>
      </c>
      <c r="K21" s="55"/>
      <c r="M21" s="3"/>
      <c r="N21" s="3"/>
      <c r="O21" s="3"/>
      <c r="P21" s="3"/>
      <c r="Q21" s="3"/>
      <c r="R21" s="3"/>
      <c r="S21" s="3"/>
      <c r="T21" s="3"/>
      <c r="U21" s="3"/>
      <c r="V21" s="3"/>
      <c r="W21" s="36" t="s">
        <v>26</v>
      </c>
      <c r="X21" s="30">
        <f>E$26+E$25*F9</f>
        <v>11.109499980000002</v>
      </c>
      <c r="Y21" s="29">
        <f>F9</f>
        <v>11.871033509883082</v>
      </c>
      <c r="Z21" s="30"/>
      <c r="AA21" s="30"/>
      <c r="AB21" s="30"/>
    </row>
    <row r="22" spans="2:28" ht="17.399999999999999" x14ac:dyDescent="0.3">
      <c r="B22" s="50"/>
      <c r="C22" s="51" t="s">
        <v>14</v>
      </c>
      <c r="D22" s="25"/>
      <c r="E22" s="26">
        <f>INTERCEPT(Table223421023456789[REF],Table223421023456789[[Joris ]])</f>
        <v>4.0448023581145591</v>
      </c>
      <c r="F22" s="26"/>
      <c r="G22" s="10"/>
      <c r="H22" s="30"/>
      <c r="I22" s="30"/>
      <c r="J22" s="30"/>
      <c r="K22" s="36"/>
      <c r="M22" s="3"/>
      <c r="N22" s="3"/>
      <c r="O22" s="3"/>
      <c r="P22" s="3"/>
      <c r="Q22" s="3"/>
      <c r="R22" s="3"/>
      <c r="S22" s="3"/>
      <c r="T22" s="3"/>
      <c r="U22" s="3"/>
      <c r="V22" s="3"/>
      <c r="W22" s="36"/>
      <c r="X22" s="30"/>
      <c r="Y22" s="30"/>
      <c r="Z22" s="30"/>
      <c r="AA22" s="30"/>
      <c r="AB22" s="30"/>
    </row>
    <row r="23" spans="2:28" ht="22.8" x14ac:dyDescent="0.4">
      <c r="B23" s="50"/>
      <c r="C23" s="51" t="s">
        <v>15</v>
      </c>
      <c r="D23" s="25"/>
      <c r="E23" s="80">
        <f>RSQ(Table223421023456789[REF],Table223421023456789[[Joris ]])</f>
        <v>0.52804721368658192</v>
      </c>
      <c r="F23" s="26">
        <f>(D12^2-F19^2)/D12^2</f>
        <v>0.51495246865359379</v>
      </c>
      <c r="G23" s="10"/>
      <c r="H23" s="32"/>
      <c r="I23" s="33"/>
      <c r="J23" s="30"/>
      <c r="K23" s="36"/>
      <c r="M23" s="3"/>
      <c r="N23" s="3"/>
      <c r="O23" s="3"/>
      <c r="P23" s="3"/>
      <c r="Q23" s="3"/>
      <c r="R23" s="3"/>
      <c r="S23" s="3"/>
      <c r="T23" s="3"/>
      <c r="U23" s="3"/>
      <c r="V23" s="3"/>
      <c r="W23" s="36"/>
      <c r="X23" s="30"/>
      <c r="Y23" s="30"/>
      <c r="Z23" s="30"/>
      <c r="AA23" s="30"/>
      <c r="AB23" s="30"/>
    </row>
    <row r="24" spans="2:28" ht="17.399999999999999" x14ac:dyDescent="0.3">
      <c r="B24" s="50"/>
      <c r="C24" s="51" t="s">
        <v>29</v>
      </c>
      <c r="D24" s="23"/>
      <c r="E24" s="26">
        <f>1/SQRT(1-E23)</f>
        <v>1.4556290787280091</v>
      </c>
      <c r="F24" s="26">
        <f>1/SQRT(1-F23)</f>
        <v>1.4358459605141347</v>
      </c>
      <c r="G24" s="10"/>
      <c r="H24" s="76" t="s">
        <v>64</v>
      </c>
      <c r="I24" s="77">
        <f>D12/E19</f>
        <v>1.4463868958979524</v>
      </c>
      <c r="J24" s="30"/>
      <c r="K24" s="36"/>
      <c r="M24" s="3"/>
      <c r="N24" s="3"/>
      <c r="O24" s="3"/>
      <c r="P24" s="3"/>
      <c r="Q24" s="3"/>
      <c r="R24" s="3"/>
      <c r="S24" s="3"/>
      <c r="T24" s="3"/>
      <c r="U24" s="3"/>
      <c r="V24" s="3"/>
      <c r="W24" s="36"/>
      <c r="X24" s="30"/>
      <c r="Y24" s="30"/>
      <c r="Z24" s="30"/>
      <c r="AA24" s="30"/>
      <c r="AB24" s="30"/>
    </row>
    <row r="25" spans="2:28" ht="17.399999999999999" x14ac:dyDescent="0.3">
      <c r="B25" s="50"/>
      <c r="C25" s="51" t="s">
        <v>17</v>
      </c>
      <c r="D25" s="23"/>
      <c r="E25" s="26">
        <f>(D12/F12)</f>
        <v>0.81897127547326709</v>
      </c>
      <c r="F25" s="45"/>
      <c r="G25" s="10"/>
      <c r="H25" s="32" t="s">
        <v>47</v>
      </c>
      <c r="I25" s="62">
        <f>QUARTILE(Table223421023456789[abs_errors],3)</f>
        <v>1.0917683257186925</v>
      </c>
      <c r="J25" s="30"/>
      <c r="K25" s="36"/>
      <c r="M25" s="3"/>
      <c r="N25" s="3"/>
      <c r="O25" s="3"/>
      <c r="P25" s="3"/>
      <c r="Q25" s="3"/>
      <c r="R25" s="3"/>
      <c r="S25" s="3"/>
      <c r="T25" s="3"/>
      <c r="U25" s="3"/>
      <c r="V25" s="3"/>
      <c r="W25" s="36" t="s">
        <v>19</v>
      </c>
      <c r="X25" s="30">
        <f>COVAR(Table223421023456789[REF],Table223421023456789[[Joris ]])</f>
        <v>1.2053980225698013</v>
      </c>
      <c r="Y25" s="30"/>
      <c r="Z25" s="30"/>
      <c r="AA25" s="30"/>
      <c r="AB25" s="30"/>
    </row>
    <row r="26" spans="2:28" ht="17.399999999999999" x14ac:dyDescent="0.3">
      <c r="B26" s="50"/>
      <c r="C26" s="51" t="s">
        <v>18</v>
      </c>
      <c r="D26" s="23"/>
      <c r="E26" s="26">
        <f>D9-E25*F9</f>
        <v>1.3874645252251607</v>
      </c>
      <c r="F26" s="45"/>
      <c r="G26" s="10"/>
      <c r="M26" s="3"/>
      <c r="N26" s="3"/>
      <c r="O26" s="3"/>
      <c r="P26" s="3"/>
      <c r="Q26" s="3"/>
      <c r="R26" s="3"/>
      <c r="S26" s="3"/>
      <c r="T26" s="3"/>
      <c r="U26" s="3"/>
      <c r="V26" s="3"/>
      <c r="W26" s="36" t="s">
        <v>20</v>
      </c>
      <c r="X26" s="30">
        <f>SIGN(X25)</f>
        <v>1</v>
      </c>
      <c r="Y26" s="30"/>
      <c r="Z26" s="30"/>
      <c r="AA26" s="30"/>
      <c r="AB26" s="30"/>
    </row>
    <row r="27" spans="2:28" ht="18" thickBot="1" x14ac:dyDescent="0.35">
      <c r="B27" s="52"/>
      <c r="C27" s="53" t="s">
        <v>21</v>
      </c>
      <c r="D27" s="27"/>
      <c r="E27" s="73">
        <f>SQRT(AVERAGE(Table223421023456789[dif_rec^2]))</f>
        <v>0.8617695929981255</v>
      </c>
      <c r="F27" s="74"/>
      <c r="G27" s="71"/>
      <c r="M27" s="3"/>
      <c r="N27" s="3"/>
      <c r="O27" s="3"/>
      <c r="P27" s="3"/>
      <c r="Q27" s="3"/>
      <c r="R27" s="3"/>
      <c r="S27" s="3"/>
      <c r="T27" s="3"/>
      <c r="U27" s="3"/>
      <c r="V27" s="3"/>
      <c r="W27" s="36"/>
      <c r="X27" s="30"/>
      <c r="Y27" s="30"/>
      <c r="Z27" s="30"/>
      <c r="AA27" s="30"/>
      <c r="AB27" s="30"/>
    </row>
    <row r="28" spans="2:28" ht="15.6" x14ac:dyDescent="0.3">
      <c r="B28" s="3"/>
      <c r="C28" s="11"/>
      <c r="D28" s="12"/>
      <c r="E28" s="18"/>
      <c r="F28" s="12"/>
      <c r="M28" s="3"/>
      <c r="N28" s="3"/>
      <c r="O28" s="3"/>
      <c r="P28" s="3"/>
      <c r="Q28" s="3"/>
      <c r="R28" s="3"/>
      <c r="S28" s="3"/>
      <c r="T28" s="3"/>
      <c r="U28" s="3"/>
      <c r="V28" s="3"/>
      <c r="W28" s="36"/>
      <c r="X28" s="30"/>
      <c r="Y28" s="30"/>
      <c r="Z28" s="30"/>
      <c r="AA28" s="30"/>
      <c r="AB28" s="30"/>
    </row>
    <row r="29" spans="2:28" ht="17.399999999999999" x14ac:dyDescent="0.3">
      <c r="C29" s="19"/>
      <c r="D29" s="3"/>
      <c r="E29" s="17"/>
      <c r="F29" s="3"/>
      <c r="M29" s="3"/>
      <c r="N29" s="3"/>
      <c r="O29" s="3"/>
      <c r="P29" s="3"/>
      <c r="Q29" s="3"/>
      <c r="R29" s="3"/>
      <c r="S29" s="3"/>
      <c r="T29" s="3"/>
      <c r="U29" s="3"/>
      <c r="V29" s="3"/>
      <c r="W29" s="44" t="s">
        <v>54</v>
      </c>
      <c r="X29" s="37">
        <f>MIN(Table223421023456789[X-Y])</f>
        <v>-1.8019950654704733</v>
      </c>
      <c r="Y29" s="30">
        <f>X29</f>
        <v>-1.8019950654704733</v>
      </c>
      <c r="Z29" s="30"/>
      <c r="AA29" s="30"/>
      <c r="AB29" s="30"/>
    </row>
    <row r="30" spans="2:28" ht="17.399999999999999" x14ac:dyDescent="0.3">
      <c r="C30" s="19"/>
      <c r="D30" s="3"/>
      <c r="E30" s="17"/>
      <c r="F30" s="3"/>
      <c r="M30" s="3"/>
      <c r="N30" s="3"/>
      <c r="O30" s="3"/>
      <c r="P30" s="3"/>
      <c r="Q30" s="3"/>
      <c r="R30" s="3"/>
      <c r="S30" s="3"/>
      <c r="T30" s="3"/>
      <c r="U30" s="3"/>
      <c r="V30" s="3"/>
      <c r="W30" s="39" t="s">
        <v>37</v>
      </c>
      <c r="X30" s="63">
        <f>MAX(Table223421023456789[X-Y])</f>
        <v>3.6921323453164696</v>
      </c>
      <c r="Y30" s="30">
        <f>X30</f>
        <v>3.6921323453164696</v>
      </c>
      <c r="Z30" s="30"/>
      <c r="AA30" s="30"/>
      <c r="AB30" s="30"/>
    </row>
    <row r="31" spans="2:28" ht="15.6" x14ac:dyDescent="0.3">
      <c r="C31" s="19"/>
      <c r="D31" s="3"/>
      <c r="E31" s="17"/>
      <c r="F31" s="3"/>
      <c r="M31" s="3"/>
      <c r="N31" s="3"/>
      <c r="O31" s="3"/>
      <c r="P31" s="3"/>
      <c r="Q31" s="3"/>
      <c r="R31" s="3"/>
      <c r="S31" s="3"/>
      <c r="T31" s="3"/>
      <c r="U31" s="3"/>
      <c r="V31" s="3"/>
      <c r="W31" s="36"/>
      <c r="X31" s="30"/>
      <c r="Y31" s="30"/>
      <c r="Z31" s="40"/>
      <c r="AA31" s="30"/>
      <c r="AB31" s="30"/>
    </row>
    <row r="32" spans="2:28" x14ac:dyDescent="0.25">
      <c r="C32" s="19"/>
      <c r="D32" s="3"/>
      <c r="E32" s="17"/>
      <c r="F32" s="3"/>
      <c r="M32" s="3"/>
      <c r="N32" s="3"/>
      <c r="O32" s="3"/>
      <c r="P32" s="3"/>
      <c r="Q32" s="3"/>
      <c r="R32" s="3"/>
      <c r="S32" s="3"/>
      <c r="T32" s="3"/>
      <c r="U32" s="3"/>
      <c r="V32" s="3"/>
      <c r="W32" s="36"/>
      <c r="X32" s="30"/>
      <c r="Y32" s="30"/>
      <c r="Z32" s="30"/>
      <c r="AA32" s="30"/>
      <c r="AB32" s="30"/>
    </row>
    <row r="33" spans="3:28" x14ac:dyDescent="0.25">
      <c r="C33" s="19"/>
      <c r="D33" s="3"/>
      <c r="E33" s="17"/>
      <c r="F33" s="3"/>
      <c r="M33" s="3"/>
      <c r="N33" s="3"/>
      <c r="O33" s="3"/>
      <c r="P33" s="3"/>
      <c r="Q33" s="3"/>
      <c r="R33" s="3"/>
      <c r="S33" s="3"/>
      <c r="T33" s="3"/>
      <c r="U33" s="3"/>
      <c r="V33" s="3"/>
      <c r="W33" s="36"/>
      <c r="X33" s="30"/>
      <c r="Y33" s="30"/>
      <c r="Z33" s="30"/>
      <c r="AA33" s="30"/>
      <c r="AB33" s="30"/>
    </row>
    <row r="34" spans="3:28" x14ac:dyDescent="0.25">
      <c r="C34" s="19"/>
      <c r="D34" s="3"/>
      <c r="E34" s="17"/>
      <c r="F34" s="3"/>
      <c r="M34" s="3"/>
      <c r="N34" s="3"/>
      <c r="O34" s="3"/>
      <c r="P34" s="3"/>
      <c r="Q34" s="3"/>
      <c r="R34" s="3"/>
      <c r="S34" s="3"/>
      <c r="T34" s="3"/>
      <c r="U34" s="3"/>
      <c r="V34" s="3"/>
      <c r="W34" s="36"/>
      <c r="X34" s="30"/>
      <c r="Y34" s="30"/>
      <c r="Z34" s="30"/>
      <c r="AA34" s="30"/>
      <c r="AB34" s="30"/>
    </row>
    <row r="35" spans="3:28" x14ac:dyDescent="0.25">
      <c r="C35" s="19"/>
      <c r="D35" s="3"/>
      <c r="E35" s="17"/>
      <c r="F35" s="3"/>
      <c r="M35" s="3"/>
      <c r="N35" s="3"/>
      <c r="O35" s="3"/>
      <c r="P35" s="3"/>
      <c r="Q35" s="3"/>
      <c r="R35" s="3"/>
      <c r="S35" s="3"/>
      <c r="T35" s="3"/>
      <c r="U35" s="3"/>
      <c r="V35" s="3"/>
      <c r="W35" s="36"/>
      <c r="X35" s="30"/>
      <c r="Y35" s="30"/>
      <c r="Z35" s="30"/>
      <c r="AA35" s="30"/>
      <c r="AB35" s="30"/>
    </row>
    <row r="36" spans="3:28" x14ac:dyDescent="0.25">
      <c r="C36" s="19"/>
      <c r="D36" s="3"/>
      <c r="E36" s="17"/>
      <c r="F36" s="3"/>
      <c r="M36" s="3"/>
      <c r="N36" s="3"/>
      <c r="O36" s="3"/>
      <c r="P36" s="3"/>
      <c r="Q36" s="3"/>
      <c r="R36" s="3"/>
      <c r="S36" s="3"/>
      <c r="T36" s="3"/>
      <c r="U36" s="3"/>
      <c r="V36" s="3"/>
      <c r="W36" s="36"/>
      <c r="X36" s="30"/>
      <c r="Y36" s="30"/>
      <c r="Z36" s="30"/>
      <c r="AA36" s="30"/>
      <c r="AB36" s="30"/>
    </row>
    <row r="37" spans="3:28" x14ac:dyDescent="0.25">
      <c r="C37" s="19"/>
      <c r="D37" s="3"/>
      <c r="E37" s="17"/>
      <c r="F37" s="3"/>
      <c r="M37" s="3"/>
      <c r="N37" s="3"/>
      <c r="O37" s="3"/>
      <c r="P37" s="3"/>
      <c r="Q37" s="3"/>
      <c r="R37" s="3"/>
      <c r="S37" s="3"/>
      <c r="T37" s="3"/>
      <c r="U37" s="3"/>
      <c r="V37" s="3"/>
      <c r="W37" s="36"/>
      <c r="X37" s="30"/>
      <c r="Y37" s="30"/>
      <c r="Z37" s="30"/>
      <c r="AA37" s="30"/>
      <c r="AB37" s="30"/>
    </row>
    <row r="38" spans="3:28" x14ac:dyDescent="0.25">
      <c r="C38" s="19"/>
      <c r="D38" s="3"/>
      <c r="E38" s="17"/>
      <c r="F38" s="3"/>
      <c r="M38" s="3"/>
      <c r="N38" s="3"/>
      <c r="O38" s="3"/>
      <c r="P38" s="3"/>
      <c r="Q38" s="3"/>
      <c r="R38" s="3"/>
      <c r="S38" s="3"/>
      <c r="T38" s="3"/>
      <c r="U38" s="3"/>
      <c r="V38" s="3"/>
      <c r="W38" s="36"/>
      <c r="X38" s="30" t="s">
        <v>30</v>
      </c>
      <c r="Y38" s="30"/>
      <c r="Z38" s="30"/>
      <c r="AA38" s="30"/>
      <c r="AB38" s="30"/>
    </row>
    <row r="39" spans="3:28" ht="17.399999999999999" x14ac:dyDescent="0.3">
      <c r="C39" s="19"/>
      <c r="D39" s="3"/>
      <c r="E39" s="17"/>
      <c r="F39" s="3"/>
      <c r="M39" s="3"/>
      <c r="N39" s="3"/>
      <c r="O39" s="3"/>
      <c r="P39" s="3"/>
      <c r="Q39" s="3"/>
      <c r="R39" s="3"/>
      <c r="S39" s="3"/>
      <c r="T39" s="3"/>
      <c r="U39" s="3"/>
      <c r="V39" s="3"/>
      <c r="W39" s="36"/>
      <c r="X39" s="37">
        <f>X8</f>
        <v>142</v>
      </c>
      <c r="Y39" s="41" t="s">
        <v>34</v>
      </c>
      <c r="Z39" s="30"/>
      <c r="AA39" s="30"/>
      <c r="AB39" s="30"/>
    </row>
    <row r="40" spans="3:28" x14ac:dyDescent="0.25">
      <c r="C40" s="19"/>
      <c r="D40" s="3"/>
      <c r="E40" s="17"/>
      <c r="F40" s="3"/>
      <c r="M40" s="3"/>
      <c r="N40" s="3"/>
      <c r="O40" s="3"/>
      <c r="P40" s="3"/>
      <c r="Q40" s="3"/>
      <c r="R40" s="3"/>
      <c r="S40" s="3"/>
      <c r="T40" s="3"/>
      <c r="U40" s="3"/>
      <c r="V40" s="3"/>
      <c r="W40" s="36"/>
      <c r="X40" s="30"/>
      <c r="Y40" s="30" t="s">
        <v>35</v>
      </c>
      <c r="Z40" s="30"/>
      <c r="AA40" s="30"/>
      <c r="AB40" s="30"/>
    </row>
    <row r="41" spans="3:28" x14ac:dyDescent="0.25">
      <c r="C41" s="19"/>
      <c r="D41" s="3"/>
      <c r="E41" s="17"/>
      <c r="F41" s="3"/>
      <c r="M41" s="3"/>
      <c r="N41" s="3"/>
      <c r="O41" s="3"/>
      <c r="P41" s="3"/>
      <c r="Q41" s="3"/>
      <c r="R41" s="3"/>
      <c r="S41" s="3"/>
      <c r="T41" s="3"/>
      <c r="U41" s="3"/>
      <c r="V41" s="3"/>
      <c r="W41" s="36"/>
      <c r="X41" s="30"/>
      <c r="Y41" s="30" t="s">
        <v>36</v>
      </c>
      <c r="Z41" s="30"/>
      <c r="AA41" s="30"/>
      <c r="AB41" s="30"/>
    </row>
    <row r="42" spans="3:28" x14ac:dyDescent="0.25">
      <c r="C42" s="19"/>
      <c r="D42" s="3"/>
      <c r="E42" s="17"/>
      <c r="F42" s="3"/>
      <c r="M42" s="3"/>
      <c r="N42" s="3"/>
      <c r="O42" s="3"/>
      <c r="P42" s="3"/>
      <c r="Q42" s="3"/>
      <c r="R42" s="3"/>
      <c r="S42" s="3"/>
      <c r="T42" s="3"/>
      <c r="U42" s="3"/>
      <c r="V42" s="3"/>
      <c r="W42" s="36"/>
      <c r="X42" s="30"/>
      <c r="Y42" s="30"/>
      <c r="Z42" s="30"/>
      <c r="AA42" s="30"/>
      <c r="AB42" s="30"/>
    </row>
    <row r="43" spans="3:28" x14ac:dyDescent="0.25">
      <c r="C43" s="19"/>
      <c r="D43" s="3"/>
      <c r="E43" s="17"/>
      <c r="F43" s="3"/>
      <c r="M43" s="3"/>
      <c r="N43" s="3"/>
      <c r="O43" s="3"/>
      <c r="P43" s="3"/>
      <c r="Q43" s="3"/>
      <c r="R43" s="3"/>
      <c r="S43" s="3"/>
      <c r="T43" s="3"/>
      <c r="U43" s="3"/>
      <c r="V43" s="3"/>
      <c r="W43" s="36"/>
      <c r="X43" s="30"/>
      <c r="Y43" s="30"/>
      <c r="Z43" s="30"/>
      <c r="AA43" s="30"/>
      <c r="AB43" s="30"/>
    </row>
    <row r="44" spans="3:28" x14ac:dyDescent="0.25">
      <c r="C44" s="19"/>
      <c r="D44" s="3"/>
      <c r="E44" s="17"/>
      <c r="F44" s="3"/>
      <c r="M44" s="3"/>
      <c r="N44" s="3"/>
      <c r="O44" s="3"/>
      <c r="P44" s="3"/>
      <c r="Q44" s="3"/>
      <c r="R44" s="3"/>
      <c r="S44" s="3"/>
      <c r="T44" s="3"/>
      <c r="U44" s="3"/>
      <c r="V44" s="3"/>
      <c r="W44" s="36"/>
      <c r="X44" s="30"/>
      <c r="Y44" s="30"/>
      <c r="Z44" s="30"/>
      <c r="AA44" s="30"/>
      <c r="AB44" s="30"/>
    </row>
    <row r="45" spans="3:28" ht="15" x14ac:dyDescent="0.25">
      <c r="C45" s="19"/>
      <c r="D45" s="3"/>
      <c r="E45" s="17"/>
      <c r="F45" s="3"/>
      <c r="M45" s="3"/>
      <c r="N45" s="3"/>
      <c r="O45" s="3"/>
      <c r="P45" s="3"/>
      <c r="Q45" s="3"/>
      <c r="R45" s="3"/>
      <c r="S45" s="3"/>
      <c r="T45" s="3"/>
      <c r="U45" s="3"/>
      <c r="V45" s="3"/>
      <c r="W45" s="36"/>
      <c r="X45" s="58"/>
      <c r="Y45" s="30"/>
      <c r="Z45" s="30"/>
      <c r="AA45" s="30"/>
      <c r="AB45" s="30"/>
    </row>
    <row r="46" spans="3:28" x14ac:dyDescent="0.25">
      <c r="C46" s="19"/>
      <c r="D46" s="3"/>
      <c r="E46" s="17"/>
      <c r="F46" s="3"/>
      <c r="M46" s="3"/>
      <c r="N46" s="3"/>
      <c r="O46" s="3"/>
      <c r="P46" s="3"/>
      <c r="Q46" s="3"/>
      <c r="R46" s="3"/>
      <c r="S46" s="3"/>
      <c r="T46" s="3"/>
      <c r="U46" s="3"/>
      <c r="V46" s="3"/>
      <c r="W46" s="36"/>
      <c r="X46" s="30"/>
      <c r="Y46" s="30"/>
      <c r="Z46" s="30"/>
      <c r="AA46" s="30"/>
      <c r="AB46" s="30"/>
    </row>
    <row r="47" spans="3:28" x14ac:dyDescent="0.25">
      <c r="C47" s="19"/>
      <c r="D47" s="3"/>
      <c r="E47" s="17"/>
      <c r="F47" s="3"/>
      <c r="M47" s="3"/>
      <c r="N47" s="3"/>
      <c r="O47" s="3"/>
      <c r="P47" s="3"/>
      <c r="Q47" s="3"/>
      <c r="R47" s="3"/>
      <c r="S47" s="3"/>
      <c r="T47" s="3"/>
      <c r="U47" s="3"/>
      <c r="V47" s="3"/>
      <c r="W47" s="36"/>
      <c r="X47" s="30"/>
      <c r="Y47" s="30"/>
      <c r="Z47" s="30"/>
      <c r="AA47" s="30"/>
      <c r="AB47" s="30"/>
    </row>
    <row r="48" spans="3:28" x14ac:dyDescent="0.25">
      <c r="C48" s="19"/>
      <c r="D48" s="3"/>
      <c r="E48" s="17"/>
      <c r="F48" s="3"/>
      <c r="M48" s="3"/>
      <c r="N48" s="3"/>
      <c r="O48" s="3"/>
      <c r="P48" s="3"/>
      <c r="Q48" s="3"/>
      <c r="R48" s="3"/>
      <c r="S48" s="3"/>
      <c r="T48" s="3"/>
      <c r="U48" s="3"/>
      <c r="V48" s="3"/>
      <c r="W48" s="36"/>
      <c r="X48" s="30"/>
      <c r="Y48" s="30"/>
      <c r="Z48" s="30"/>
      <c r="AA48" s="30"/>
      <c r="AB48" s="30"/>
    </row>
    <row r="49" spans="2:28" x14ac:dyDescent="0.25">
      <c r="C49" s="19"/>
      <c r="D49" s="3"/>
      <c r="E49" s="17"/>
      <c r="F49" s="3"/>
      <c r="M49" s="3"/>
      <c r="N49" s="3"/>
      <c r="O49" s="3"/>
      <c r="P49" s="3"/>
      <c r="Q49" s="3"/>
      <c r="R49" s="3"/>
      <c r="S49" s="3"/>
      <c r="T49" s="3"/>
      <c r="U49" s="3"/>
      <c r="V49" s="3"/>
      <c r="W49" s="36"/>
      <c r="X49" s="30"/>
      <c r="Y49" s="30"/>
      <c r="Z49" s="30"/>
      <c r="AA49" s="30"/>
      <c r="AB49" s="30"/>
    </row>
    <row r="50" spans="2:28" x14ac:dyDescent="0.25">
      <c r="C50" s="19"/>
      <c r="D50" s="3"/>
      <c r="E50" s="17"/>
      <c r="F50" s="3"/>
      <c r="M50" s="3"/>
      <c r="N50" s="3"/>
      <c r="O50" s="3"/>
      <c r="P50" s="3"/>
      <c r="Q50" s="3"/>
      <c r="R50" s="3"/>
      <c r="S50" s="3"/>
      <c r="T50" s="3"/>
      <c r="U50" s="3"/>
      <c r="V50" s="3"/>
      <c r="W50" s="36"/>
      <c r="X50" s="30"/>
      <c r="Y50" s="30"/>
      <c r="Z50" s="30"/>
      <c r="AA50" s="30"/>
      <c r="AB50" s="30"/>
    </row>
    <row r="51" spans="2:28" x14ac:dyDescent="0.25">
      <c r="C51" s="19"/>
      <c r="D51" s="3"/>
      <c r="E51" s="17"/>
      <c r="F51" s="3"/>
      <c r="M51" s="3"/>
      <c r="N51" s="3"/>
      <c r="O51" s="3"/>
      <c r="P51" s="3"/>
      <c r="Q51" s="3"/>
      <c r="R51" s="3"/>
      <c r="S51" s="3"/>
      <c r="T51" s="3"/>
      <c r="U51" s="3"/>
      <c r="V51" s="3"/>
      <c r="W51" s="36"/>
      <c r="X51" s="30"/>
      <c r="Y51" s="30"/>
      <c r="Z51" s="30"/>
      <c r="AA51" s="30"/>
      <c r="AB51" s="30"/>
    </row>
    <row r="52" spans="2:28" x14ac:dyDescent="0.25">
      <c r="C52" s="19"/>
      <c r="D52" s="3"/>
      <c r="E52" s="17"/>
      <c r="F52" s="3"/>
      <c r="M52" s="3"/>
      <c r="N52" s="3"/>
      <c r="O52" s="3"/>
      <c r="P52" s="3"/>
      <c r="Q52" s="3"/>
      <c r="R52" s="3"/>
      <c r="S52" s="3"/>
      <c r="T52" s="3"/>
      <c r="U52" s="3"/>
      <c r="V52" s="3"/>
      <c r="W52" s="36"/>
      <c r="X52" s="30"/>
      <c r="Y52" s="30"/>
      <c r="Z52" s="30"/>
      <c r="AA52" s="30"/>
      <c r="AB52" s="30"/>
    </row>
    <row r="53" spans="2:28" x14ac:dyDescent="0.25">
      <c r="C53" s="19"/>
      <c r="D53" s="3"/>
      <c r="E53" s="17"/>
      <c r="F53" s="3"/>
      <c r="M53" s="3"/>
      <c r="N53" s="3"/>
      <c r="O53" s="3"/>
      <c r="P53" s="3"/>
      <c r="Q53" s="3"/>
      <c r="R53" s="3"/>
      <c r="S53" s="3"/>
      <c r="T53" s="3"/>
      <c r="U53" s="3"/>
      <c r="V53" s="3"/>
      <c r="W53" s="36"/>
      <c r="X53" s="30"/>
      <c r="Y53" s="30"/>
      <c r="Z53" s="30"/>
      <c r="AA53" s="30"/>
      <c r="AB53" s="30"/>
    </row>
    <row r="54" spans="2:28" x14ac:dyDescent="0.25">
      <c r="C54" s="19"/>
      <c r="D54" s="3"/>
      <c r="E54" s="17"/>
      <c r="F54" s="3"/>
      <c r="M54" s="3"/>
      <c r="N54" s="3"/>
      <c r="O54" s="3"/>
      <c r="P54" s="3"/>
      <c r="Q54" s="3"/>
      <c r="R54" s="3"/>
      <c r="S54" s="3"/>
      <c r="T54" s="3"/>
      <c r="U54" s="3"/>
      <c r="V54" s="3"/>
      <c r="W54" s="36"/>
      <c r="X54" s="30"/>
      <c r="Y54" s="30"/>
      <c r="Z54" s="30"/>
      <c r="AA54" s="30"/>
      <c r="AB54" s="30"/>
    </row>
    <row r="55" spans="2:28" ht="15.75" customHeight="1" x14ac:dyDescent="0.3">
      <c r="C55" s="19"/>
      <c r="D55" s="3"/>
      <c r="E55" s="17"/>
      <c r="F55" s="3"/>
      <c r="M55" s="3"/>
      <c r="N55" s="3"/>
      <c r="O55" s="3"/>
      <c r="P55" s="3"/>
      <c r="Q55" s="3"/>
      <c r="R55" s="3"/>
      <c r="S55" s="3"/>
      <c r="T55" s="3"/>
      <c r="U55" s="3"/>
      <c r="V55" s="3"/>
      <c r="W55" s="36"/>
      <c r="X55" s="30"/>
      <c r="Y55" s="30"/>
      <c r="Z55" s="40"/>
      <c r="AA55" s="30"/>
      <c r="AB55" s="30"/>
    </row>
    <row r="56" spans="2:28" ht="15.75" customHeight="1" x14ac:dyDescent="0.3">
      <c r="C56" s="19"/>
      <c r="D56" s="3"/>
      <c r="E56" s="17"/>
      <c r="F56" s="3"/>
      <c r="M56" s="3"/>
      <c r="N56" s="3"/>
      <c r="O56" s="3"/>
      <c r="P56" s="3"/>
      <c r="Q56" s="3"/>
      <c r="R56" s="3"/>
      <c r="S56" s="3"/>
      <c r="T56" s="3"/>
      <c r="U56" s="3"/>
      <c r="V56" s="3"/>
      <c r="W56" s="36"/>
      <c r="X56" s="30"/>
      <c r="Y56" s="30"/>
      <c r="Z56" s="59"/>
      <c r="AA56" s="30"/>
      <c r="AB56" s="30"/>
    </row>
    <row r="57" spans="2:28" ht="15.75" customHeight="1" x14ac:dyDescent="0.3">
      <c r="C57" s="19"/>
      <c r="D57" s="3"/>
      <c r="E57" s="17"/>
      <c r="F57" s="3"/>
      <c r="M57" s="3"/>
      <c r="N57" s="3"/>
      <c r="O57" s="3"/>
      <c r="P57" s="3"/>
      <c r="Q57" s="3"/>
      <c r="R57" s="3"/>
      <c r="S57" s="3"/>
      <c r="T57" s="3"/>
      <c r="U57" s="3"/>
      <c r="V57" s="3"/>
      <c r="W57" s="36"/>
      <c r="X57" s="30"/>
      <c r="Y57" s="30"/>
      <c r="Z57" s="59"/>
      <c r="AA57" s="30"/>
      <c r="AB57" s="30"/>
    </row>
    <row r="58" spans="2:28" ht="15.75" customHeight="1" x14ac:dyDescent="0.3">
      <c r="C58" s="19"/>
      <c r="D58" s="3"/>
      <c r="E58" s="17"/>
      <c r="F58" s="3"/>
      <c r="M58" s="3"/>
      <c r="N58" s="3"/>
      <c r="O58" s="3"/>
      <c r="P58" s="3"/>
      <c r="Q58" s="3"/>
      <c r="R58" s="3"/>
      <c r="S58" s="3"/>
      <c r="T58" s="3"/>
      <c r="U58" s="3"/>
      <c r="V58" s="3"/>
      <c r="W58" s="36"/>
      <c r="X58" s="30" t="s">
        <v>30</v>
      </c>
      <c r="Y58" s="30"/>
      <c r="Z58" s="60"/>
      <c r="AA58" s="30"/>
      <c r="AB58" s="30"/>
    </row>
    <row r="59" spans="2:28" ht="17.399999999999999" x14ac:dyDescent="0.3">
      <c r="C59" s="19"/>
      <c r="D59" s="3"/>
      <c r="E59" s="17"/>
      <c r="F59" s="3"/>
      <c r="M59" s="3"/>
      <c r="N59" s="3"/>
      <c r="O59" s="3"/>
      <c r="P59" s="3"/>
      <c r="Q59" s="3"/>
      <c r="R59" s="3"/>
      <c r="S59" s="3"/>
      <c r="T59" s="3"/>
      <c r="U59" s="3"/>
      <c r="V59" s="3"/>
      <c r="W59" s="36">
        <f>W60*E8</f>
        <v>66.925312113819061</v>
      </c>
      <c r="X59" s="37">
        <f>X39</f>
        <v>142</v>
      </c>
      <c r="Y59" s="30"/>
      <c r="Z59" s="30"/>
      <c r="AA59" s="30"/>
      <c r="AB59" s="30"/>
    </row>
    <row r="60" spans="2:28" ht="17.399999999999999" x14ac:dyDescent="0.3">
      <c r="C60" s="19"/>
      <c r="D60" s="3"/>
      <c r="E60" s="17"/>
      <c r="F60" s="3"/>
      <c r="M60" s="3"/>
      <c r="N60" s="42"/>
      <c r="O60" s="3"/>
      <c r="P60" s="3"/>
      <c r="Q60" s="3"/>
      <c r="R60" s="3"/>
      <c r="S60" s="3"/>
      <c r="T60" s="3">
        <f>MEDIAN(Table223421023456789[abs(lab)])</f>
        <v>0.98999974999999907</v>
      </c>
      <c r="U60" s="3"/>
      <c r="V60" s="3">
        <f>MEDIAN(Table223421023456789[abs(anl)])</f>
        <v>1.0613301095756649</v>
      </c>
      <c r="W60" s="2">
        <f>MEDIAN(Table223421023456789[Produits Lab x Anl])</f>
        <v>0.8365664014227383</v>
      </c>
      <c r="X60" s="37"/>
      <c r="Z60" s="60"/>
      <c r="AA60" s="30"/>
      <c r="AB60" s="30"/>
    </row>
    <row r="61" spans="2:28" ht="13.8" x14ac:dyDescent="0.25">
      <c r="D61" s="43" t="s">
        <v>1</v>
      </c>
      <c r="E61" s="1"/>
      <c r="F61" s="43" t="s">
        <v>2</v>
      </c>
      <c r="G61" s="4"/>
      <c r="M61" s="3"/>
      <c r="W61" s="22"/>
      <c r="Y61" s="22"/>
    </row>
    <row r="62" spans="2:28" s="22" customFormat="1" ht="42.75" customHeight="1" x14ac:dyDescent="0.25">
      <c r="B62" s="20" t="s">
        <v>0</v>
      </c>
      <c r="C62" t="s">
        <v>67</v>
      </c>
      <c r="D62" t="s">
        <v>65</v>
      </c>
      <c r="E62" t="s">
        <v>66</v>
      </c>
      <c r="F62" s="82" t="s">
        <v>176</v>
      </c>
      <c r="G62" s="20" t="s">
        <v>48</v>
      </c>
      <c r="H62" s="20" t="s">
        <v>3</v>
      </c>
      <c r="I62" s="20" t="s">
        <v>23</v>
      </c>
      <c r="J62" s="20" t="s">
        <v>4</v>
      </c>
      <c r="K62" s="20" t="s">
        <v>51</v>
      </c>
      <c r="L62" s="20" t="s">
        <v>52</v>
      </c>
      <c r="M62" s="21" t="s">
        <v>5</v>
      </c>
      <c r="N62" s="21" t="s">
        <v>32</v>
      </c>
      <c r="O62" s="21" t="s">
        <v>31</v>
      </c>
      <c r="P62" s="21" t="s">
        <v>33</v>
      </c>
      <c r="Q62" s="21" t="s">
        <v>50</v>
      </c>
      <c r="R62" s="21" t="s">
        <v>49</v>
      </c>
      <c r="S62" s="21" t="s">
        <v>58</v>
      </c>
      <c r="T62" s="21" t="s">
        <v>60</v>
      </c>
      <c r="U62" s="64" t="s">
        <v>59</v>
      </c>
      <c r="V62" s="64" t="s">
        <v>61</v>
      </c>
      <c r="W62" s="21" t="s">
        <v>62</v>
      </c>
      <c r="X62" s="22" t="str">
        <f>D62</f>
        <v>REF</v>
      </c>
      <c r="Z62" s="2"/>
      <c r="AA62" s="22" t="str">
        <f>F62</f>
        <v xml:space="preserve">Joris </v>
      </c>
      <c r="AB62" s="2"/>
    </row>
    <row r="63" spans="2:28" x14ac:dyDescent="0.25">
      <c r="B63" s="46">
        <f ca="1">VALUE((Table223421023456789[[#This Row],[Column3]]-62))</f>
        <v>1</v>
      </c>
      <c r="C63" t="s">
        <v>69</v>
      </c>
      <c r="D63">
        <v>9.9399996000000002</v>
      </c>
      <c r="E63"/>
      <c r="F63">
        <v>11.001961888372531</v>
      </c>
      <c r="G63" s="29">
        <f>Table223421023456789[[#This Row],[Joris ]]-Table223421023456789[[#This Row],[REF]]</f>
        <v>1.0619622883725306</v>
      </c>
      <c r="H63" s="29">
        <f>Table223421023456789[[#This Row],[X-Y]]-E$20</f>
        <v>0.30042875848945094</v>
      </c>
      <c r="I63" s="29">
        <f>Table223421023456789[[#This Row],[Joris ]]-E$20</f>
        <v>10.240428358489451</v>
      </c>
      <c r="J63" s="29">
        <f>Table223421023456789[[#This Row],[Joris ]]*E$21+E$22</f>
        <v>10.592297479255466</v>
      </c>
      <c r="K63" s="56">
        <f>Table223421023456789[[#This Row],[Yest]]-Table223421023456789[[#This Row],[REF]]</f>
        <v>0.65229787925546567</v>
      </c>
      <c r="L63" s="56">
        <f>ABS(Table223421023456789[[#This Row],[RESyx]])</f>
        <v>0.65229787925546567</v>
      </c>
      <c r="M63" s="29">
        <f>Table223421023456789[[#This Row],[Joris ]]*E$25+E$26</f>
        <v>10.397755285653886</v>
      </c>
      <c r="N63" s="29">
        <f>Table223421023456789[[#This Row],[X-Y]]^2</f>
        <v>1.1277639019254218</v>
      </c>
      <c r="O63" s="57">
        <f>Table223421023456789[[#This Row],[yest_rect]]-Table223421023456789[[#This Row],[REF]]</f>
        <v>0.45775568565388625</v>
      </c>
      <c r="P63" s="57">
        <f>Table223421023456789[[#This Row],[dif rec]]^2</f>
        <v>0.20954026774845952</v>
      </c>
      <c r="Q63" s="57">
        <f>ABS(Table223421023456789[[#This Row],[diff-bias]])</f>
        <v>0.30042875848945094</v>
      </c>
      <c r="R63" s="57">
        <f ca="1">CELL("row",Table223421023456789[[#This Row],[Position]])</f>
        <v>63</v>
      </c>
      <c r="S63" s="4">
        <f>Table223421023456789[[#This Row],[REF]]-D$13</f>
        <v>-1.0700006500000008</v>
      </c>
      <c r="T63" s="4">
        <f>ABS(Table223421023456789[[#This Row],[lab-med]])</f>
        <v>1.0700006500000008</v>
      </c>
      <c r="U63" s="4">
        <f>Table223421023456789[[#This Row],[Joris ]]-F$13</f>
        <v>-0.80984952561934875</v>
      </c>
      <c r="V63" s="4">
        <f>ABS(Table223421023456789[[#This Row],[anl-med]])</f>
        <v>0.80984952561934875</v>
      </c>
      <c r="W63" s="4">
        <f>Table223421023456789[[#This Row],[lab-med]]*Table223421023456789[[#This Row],[anl-med]]</f>
        <v>0.86653951881489544</v>
      </c>
    </row>
    <row r="64" spans="2:28" x14ac:dyDescent="0.25">
      <c r="B64" s="46">
        <f ca="1">VALUE((Table223421023456789[[#This Row],[Column3]]-62))</f>
        <v>2</v>
      </c>
      <c r="C64" t="s">
        <v>70</v>
      </c>
      <c r="D64">
        <v>10.0200005</v>
      </c>
      <c r="E64"/>
      <c r="F64">
        <v>10.99806748945004</v>
      </c>
      <c r="G64" s="29">
        <f>Table223421023456789[[#This Row],[Joris ]]-Table223421023456789[[#This Row],[REF]]</f>
        <v>0.97806698945004023</v>
      </c>
      <c r="H64" s="29">
        <f>Table223421023456789[[#This Row],[X-Y]]-E$20</f>
        <v>0.21653345956696057</v>
      </c>
      <c r="I64" s="29">
        <f>Table223421023456789[[#This Row],[Joris ]]-E$20</f>
        <v>10.236533959566961</v>
      </c>
      <c r="J64" s="29">
        <f>Table223421023456789[[#This Row],[Joris ]]*E$21+E$22</f>
        <v>10.589979841891921</v>
      </c>
      <c r="K64" s="56">
        <f>Table223421023456789[[#This Row],[Yest]]-Table223421023456789[[#This Row],[REF]]</f>
        <v>0.56997934189192101</v>
      </c>
      <c r="L64" s="56">
        <f>ABS(Table223421023456789[[#This Row],[RESyx]])</f>
        <v>0.56997934189192101</v>
      </c>
      <c r="M64" s="29">
        <f>Table223421023456789[[#This Row],[Joris ]]*E$25+E$26</f>
        <v>10.394565884801132</v>
      </c>
      <c r="N64" s="29">
        <f>Table223421023456789[[#This Row],[X-Y]]^2</f>
        <v>0.95661503585186514</v>
      </c>
      <c r="O64" s="57">
        <f>Table223421023456789[[#This Row],[yest_rect]]-Table223421023456789[[#This Row],[REF]]</f>
        <v>0.37456538480113188</v>
      </c>
      <c r="P64" s="57">
        <f>Table223421023456789[[#This Row],[dif rec]]^2</f>
        <v>0.14029922749122001</v>
      </c>
      <c r="Q64" s="57">
        <f>ABS(Table223421023456789[[#This Row],[diff-bias]])</f>
        <v>0.21653345956696057</v>
      </c>
      <c r="R64" s="57">
        <f ca="1">CELL("row",Table223421023456789[[#This Row],[Position]])</f>
        <v>64</v>
      </c>
      <c r="S64" s="4">
        <f>Table223421023456789[[#This Row],[REF]]-D$13</f>
        <v>-0.98999975000000084</v>
      </c>
      <c r="T64" s="4">
        <f>ABS(Table223421023456789[[#This Row],[lab-med]])</f>
        <v>0.98999975000000084</v>
      </c>
      <c r="U64" s="4">
        <f>Table223421023456789[[#This Row],[Joris ]]-F$13</f>
        <v>-0.81374392454183919</v>
      </c>
      <c r="V64" s="4">
        <f>ABS(Table223421023456789[[#This Row],[anl-med]])</f>
        <v>0.81374392454183919</v>
      </c>
      <c r="W64" s="4">
        <f>Table223421023456789[[#This Row],[lab-med]]*Table223421023456789[[#This Row],[anl-med]]</f>
        <v>0.80560628186044037</v>
      </c>
    </row>
    <row r="65" spans="2:23" x14ac:dyDescent="0.25">
      <c r="B65" s="46">
        <f ca="1">VALUE((Table223421023456789[[#This Row],[Column3]]-62))</f>
        <v>3</v>
      </c>
      <c r="C65" t="s">
        <v>71</v>
      </c>
      <c r="D65">
        <v>10</v>
      </c>
      <c r="E65"/>
      <c r="F65">
        <v>11.84716994810624</v>
      </c>
      <c r="G65" s="29">
        <f>Table223421023456789[[#This Row],[Joris ]]-Table223421023456789[[#This Row],[REF]]</f>
        <v>1.8471699481062398</v>
      </c>
      <c r="H65" s="29">
        <f>Table223421023456789[[#This Row],[X-Y]]-E$20</f>
        <v>1.0856364182231601</v>
      </c>
      <c r="I65" s="29">
        <f>Table223421023456789[[#This Row],[Joris ]]-E$20</f>
        <v>11.08563641822316</v>
      </c>
      <c r="J65" s="29">
        <f>Table223421023456789[[#This Row],[Joris ]]*E$21+E$22</f>
        <v>11.095298280712893</v>
      </c>
      <c r="K65" s="56">
        <f>Table223421023456789[[#This Row],[Yest]]-Table223421023456789[[#This Row],[REF]]</f>
        <v>1.0952982807128926</v>
      </c>
      <c r="L65" s="56">
        <f>ABS(Table223421023456789[[#This Row],[RESyx]])</f>
        <v>1.0952982807128926</v>
      </c>
      <c r="M65" s="29">
        <f>Table223421023456789[[#This Row],[Joris ]]*E$25+E$26</f>
        <v>11.089956408374288</v>
      </c>
      <c r="N65" s="29">
        <f>Table223421023456789[[#This Row],[X-Y]]^2</f>
        <v>3.4120368171868085</v>
      </c>
      <c r="O65" s="57">
        <f>Table223421023456789[[#This Row],[yest_rect]]-Table223421023456789[[#This Row],[REF]]</f>
        <v>1.0899564083742881</v>
      </c>
      <c r="P65" s="57">
        <f>Table223421023456789[[#This Row],[dif rec]]^2</f>
        <v>1.1880049721561778</v>
      </c>
      <c r="Q65" s="57">
        <f>ABS(Table223421023456789[[#This Row],[diff-bias]])</f>
        <v>1.0856364182231601</v>
      </c>
      <c r="R65" s="57">
        <f ca="1">CELL("row",Table223421023456789[[#This Row],[Position]])</f>
        <v>65</v>
      </c>
      <c r="S65" s="4">
        <f>Table223421023456789[[#This Row],[REF]]-D$13</f>
        <v>-1.0100002500000009</v>
      </c>
      <c r="T65" s="4">
        <f>ABS(Table223421023456789[[#This Row],[lab-med]])</f>
        <v>1.0100002500000009</v>
      </c>
      <c r="U65" s="4">
        <f>Table223421023456789[[#This Row],[Joris ]]-F$13</f>
        <v>3.5358534114360296E-2</v>
      </c>
      <c r="V65" s="4">
        <f>ABS(Table223421023456789[[#This Row],[anl-med]])</f>
        <v>3.5358534114360296E-2</v>
      </c>
      <c r="W65" s="4">
        <f>Table223421023456789[[#This Row],[lab-med]]*Table223421023456789[[#This Row],[anl-med]]</f>
        <v>-3.5712128295137459E-2</v>
      </c>
    </row>
    <row r="66" spans="2:23" x14ac:dyDescent="0.25">
      <c r="B66" s="46">
        <f ca="1">VALUE((Table223421023456789[[#This Row],[Column3]]-62))</f>
        <v>4</v>
      </c>
      <c r="C66" t="s">
        <v>72</v>
      </c>
      <c r="D66">
        <v>10.5</v>
      </c>
      <c r="E66"/>
      <c r="F66">
        <v>12.22830864286138</v>
      </c>
      <c r="G66" s="29">
        <f>Table223421023456789[[#This Row],[Joris ]]-Table223421023456789[[#This Row],[REF]]</f>
        <v>1.7283086428613803</v>
      </c>
      <c r="H66" s="29">
        <f>Table223421023456789[[#This Row],[X-Y]]-E$20</f>
        <v>0.96677511297830065</v>
      </c>
      <c r="I66" s="29">
        <f>Table223421023456789[[#This Row],[Joris ]]-E$20</f>
        <v>11.466775112978301</v>
      </c>
      <c r="J66" s="29">
        <f>Table223421023456789[[#This Row],[Joris ]]*E$21+E$22</f>
        <v>11.322121802708971</v>
      </c>
      <c r="K66" s="56">
        <f>Table223421023456789[[#This Row],[Yest]]-Table223421023456789[[#This Row],[REF]]</f>
        <v>0.82212180270897051</v>
      </c>
      <c r="L66" s="56">
        <f>ABS(Table223421023456789[[#This Row],[RESyx]])</f>
        <v>0.82212180270897051</v>
      </c>
      <c r="M66" s="29">
        <f>Table223421023456789[[#This Row],[Joris ]]*E$25+E$26</f>
        <v>11.402098051350121</v>
      </c>
      <c r="N66" s="29">
        <f>Table223421023456789[[#This Row],[X-Y]]^2</f>
        <v>2.9870507649893461</v>
      </c>
      <c r="O66" s="57">
        <f>Table223421023456789[[#This Row],[yest_rect]]-Table223421023456789[[#This Row],[REF]]</f>
        <v>0.90209805135012111</v>
      </c>
      <c r="P66" s="57">
        <f>Table223421023456789[[#This Row],[dif rec]]^2</f>
        <v>0.81378089424968569</v>
      </c>
      <c r="Q66" s="57">
        <f>ABS(Table223421023456789[[#This Row],[diff-bias]])</f>
        <v>0.96677511297830065</v>
      </c>
      <c r="R66" s="57">
        <f ca="1">CELL("row",Table223421023456789[[#This Row],[Position]])</f>
        <v>66</v>
      </c>
      <c r="S66" s="4">
        <f>Table223421023456789[[#This Row],[REF]]-D$13</f>
        <v>-0.51000025000000093</v>
      </c>
      <c r="T66" s="4">
        <f>ABS(Table223421023456789[[#This Row],[lab-med]])</f>
        <v>0.51000025000000093</v>
      </c>
      <c r="U66" s="4">
        <f>Table223421023456789[[#This Row],[Joris ]]-F$13</f>
        <v>0.4164972288695008</v>
      </c>
      <c r="V66" s="4">
        <f>ABS(Table223421023456789[[#This Row],[anl-med]])</f>
        <v>0.4164972288695008</v>
      </c>
      <c r="W66" s="4">
        <f>Table223421023456789[[#This Row],[lab-med]]*Table223421023456789[[#This Row],[anl-med]]</f>
        <v>-0.21241369084775302</v>
      </c>
    </row>
    <row r="67" spans="2:23" x14ac:dyDescent="0.25">
      <c r="B67" s="46">
        <f ca="1">VALUE((Table223421023456789[[#This Row],[Column3]]-62))</f>
        <v>5</v>
      </c>
      <c r="C67" t="s">
        <v>73</v>
      </c>
      <c r="D67">
        <v>10.779999699999999</v>
      </c>
      <c r="E67"/>
      <c r="F67">
        <v>13.354394542486171</v>
      </c>
      <c r="G67" s="29">
        <f>Table223421023456789[[#This Row],[Joris ]]-Table223421023456789[[#This Row],[REF]]</f>
        <v>2.5743948424861713</v>
      </c>
      <c r="H67" s="29">
        <f>Table223421023456789[[#This Row],[X-Y]]-E$20</f>
        <v>1.8128613126030917</v>
      </c>
      <c r="I67" s="29">
        <f>Table223421023456789[[#This Row],[Joris ]]-E$20</f>
        <v>12.592861012603091</v>
      </c>
      <c r="J67" s="29">
        <f>Table223421023456789[[#This Row],[Joris ]]*E$21+E$22</f>
        <v>11.992278817302079</v>
      </c>
      <c r="K67" s="56">
        <f>Table223421023456789[[#This Row],[Yest]]-Table223421023456789[[#This Row],[REF]]</f>
        <v>1.2122791173020797</v>
      </c>
      <c r="L67" s="56">
        <f>ABS(Table223421023456789[[#This Row],[RESyx]])</f>
        <v>1.2122791173020797</v>
      </c>
      <c r="M67" s="29">
        <f>Table223421023456789[[#This Row],[Joris ]]*E$25+E$26</f>
        <v>12.324330056858297</v>
      </c>
      <c r="N67" s="29">
        <f>Table223421023456789[[#This Row],[X-Y]]^2</f>
        <v>6.6275088050193993</v>
      </c>
      <c r="O67" s="57">
        <f>Table223421023456789[[#This Row],[yest_rect]]-Table223421023456789[[#This Row],[REF]]</f>
        <v>1.544330356858298</v>
      </c>
      <c r="P67" s="57">
        <f>Table223421023456789[[#This Row],[dif rec]]^2</f>
        <v>2.3849562511140783</v>
      </c>
      <c r="Q67" s="57">
        <f>ABS(Table223421023456789[[#This Row],[diff-bias]])</f>
        <v>1.8128613126030917</v>
      </c>
      <c r="R67" s="57">
        <f ca="1">CELL("row",Table223421023456789[[#This Row],[Position]])</f>
        <v>67</v>
      </c>
      <c r="S67" s="4">
        <f>Table223421023456789[[#This Row],[REF]]-D$13</f>
        <v>-0.23000055000000152</v>
      </c>
      <c r="T67" s="4">
        <f>ABS(Table223421023456789[[#This Row],[lab-med]])</f>
        <v>0.23000055000000152</v>
      </c>
      <c r="U67" s="4">
        <f>Table223421023456789[[#This Row],[Joris ]]-F$13</f>
        <v>1.5425831284942912</v>
      </c>
      <c r="V67" s="4">
        <f>ABS(Table223421023456789[[#This Row],[anl-med]])</f>
        <v>1.5425831284942912</v>
      </c>
      <c r="W67" s="4">
        <f>Table223421023456789[[#This Row],[lab-med]]*Table223421023456789[[#This Row],[anl-med]]</f>
        <v>-0.35479496797441001</v>
      </c>
    </row>
    <row r="68" spans="2:23" x14ac:dyDescent="0.25">
      <c r="B68" s="46">
        <f ca="1">VALUE((Table223421023456789[[#This Row],[Column3]]-62))</f>
        <v>6</v>
      </c>
      <c r="C68" t="s">
        <v>74</v>
      </c>
      <c r="D68">
        <v>10.449999800000001</v>
      </c>
      <c r="E68"/>
      <c r="F68">
        <v>10.665983524245309</v>
      </c>
      <c r="G68" s="29">
        <f>Table223421023456789[[#This Row],[Joris ]]-Table223421023456789[[#This Row],[REF]]</f>
        <v>0.21598372424530865</v>
      </c>
      <c r="H68" s="29">
        <f>Table223421023456789[[#This Row],[X-Y]]-E$20</f>
        <v>-0.545549805637771</v>
      </c>
      <c r="I68" s="29">
        <f>Table223421023456789[[#This Row],[Joris ]]-E$20</f>
        <v>9.9044499943622295</v>
      </c>
      <c r="J68" s="29">
        <f>Table223421023456789[[#This Row],[Joris ]]*E$21+E$22</f>
        <v>10.392349804263358</v>
      </c>
      <c r="K68" s="56">
        <f>Table223421023456789[[#This Row],[Yest]]-Table223421023456789[[#This Row],[REF]]</f>
        <v>-5.7649995736642978E-2</v>
      </c>
      <c r="L68" s="56">
        <f>ABS(Table223421023456789[[#This Row],[RESyx]])</f>
        <v>5.7649995736642978E-2</v>
      </c>
      <c r="M68" s="29">
        <f>Table223421023456789[[#This Row],[Joris ]]*E$25+E$26</f>
        <v>10.122598656253194</v>
      </c>
      <c r="N68" s="29">
        <f>Table223421023456789[[#This Row],[X-Y]]^2</f>
        <v>4.6648969138873529E-2</v>
      </c>
      <c r="O68" s="57">
        <f>Table223421023456789[[#This Row],[yest_rect]]-Table223421023456789[[#This Row],[REF]]</f>
        <v>-0.32740114374680651</v>
      </c>
      <c r="P68" s="57">
        <f>Table223421023456789[[#This Row],[dif rec]]^2</f>
        <v>0.10719150892671706</v>
      </c>
      <c r="Q68" s="57">
        <f>ABS(Table223421023456789[[#This Row],[diff-bias]])</f>
        <v>0.545549805637771</v>
      </c>
      <c r="R68" s="57">
        <f ca="1">CELL("row",Table223421023456789[[#This Row],[Position]])</f>
        <v>68</v>
      </c>
      <c r="S68" s="4">
        <f>Table223421023456789[[#This Row],[REF]]-D$13</f>
        <v>-0.56000045000000043</v>
      </c>
      <c r="T68" s="4">
        <f>ABS(Table223421023456789[[#This Row],[lab-med]])</f>
        <v>0.56000045000000043</v>
      </c>
      <c r="U68" s="4">
        <f>Table223421023456789[[#This Row],[Joris ]]-F$13</f>
        <v>-1.1458278897465703</v>
      </c>
      <c r="V68" s="4">
        <f>ABS(Table223421023456789[[#This Row],[anl-med]])</f>
        <v>1.1458278897465703</v>
      </c>
      <c r="W68" s="4">
        <f>Table223421023456789[[#This Row],[lab-med]]*Table223421023456789[[#This Row],[anl-med]]</f>
        <v>0.64166413388063026</v>
      </c>
    </row>
    <row r="69" spans="2:23" x14ac:dyDescent="0.25">
      <c r="B69" s="46">
        <f ca="1">VALUE((Table223421023456789[[#This Row],[Column3]]-62))</f>
        <v>7</v>
      </c>
      <c r="C69" t="s">
        <v>75</v>
      </c>
      <c r="D69">
        <v>11.0200005</v>
      </c>
      <c r="E69"/>
      <c r="F69">
        <v>14.71213284531647</v>
      </c>
      <c r="G69" s="29">
        <f>Table223421023456789[[#This Row],[Joris ]]-Table223421023456789[[#This Row],[REF]]</f>
        <v>3.6921323453164696</v>
      </c>
      <c r="H69" s="29">
        <f>Table223421023456789[[#This Row],[X-Y]]-E$20</f>
        <v>2.93059881543339</v>
      </c>
      <c r="I69" s="29">
        <f>Table223421023456789[[#This Row],[Joris ]]-E$20</f>
        <v>13.95059931543339</v>
      </c>
      <c r="J69" s="29">
        <f>Table223421023456789[[#This Row],[Joris ]]*E$21+E$22</f>
        <v>12.800296969315742</v>
      </c>
      <c r="K69" s="56">
        <f>Table223421023456789[[#This Row],[Yest]]-Table223421023456789[[#This Row],[REF]]</f>
        <v>1.7802964693157417</v>
      </c>
      <c r="L69" s="56">
        <f>ABS(Table223421023456789[[#This Row],[RESyx]])</f>
        <v>1.7802964693157417</v>
      </c>
      <c r="M69" s="29">
        <f>Table223421023456789[[#This Row],[Joris ]]*E$25+E$26</f>
        <v>13.436278726486137</v>
      </c>
      <c r="N69" s="29">
        <f>Table223421023456789[[#This Row],[X-Y]]^2</f>
        <v>13.631841255332095</v>
      </c>
      <c r="O69" s="57">
        <f>Table223421023456789[[#This Row],[yest_rect]]-Table223421023456789[[#This Row],[REF]]</f>
        <v>2.4162782264861367</v>
      </c>
      <c r="P69" s="57">
        <f>Table223421023456789[[#This Row],[dif rec]]^2</f>
        <v>5.83840046779099</v>
      </c>
      <c r="Q69" s="57">
        <f>ABS(Table223421023456789[[#This Row],[diff-bias]])</f>
        <v>2.93059881543339</v>
      </c>
      <c r="R69" s="57">
        <f ca="1">CELL("row",Table223421023456789[[#This Row],[Position]])</f>
        <v>69</v>
      </c>
      <c r="S69" s="4">
        <f>Table223421023456789[[#This Row],[REF]]-D$13</f>
        <v>1.0000249999999156E-2</v>
      </c>
      <c r="T69" s="4">
        <f>ABS(Table223421023456789[[#This Row],[lab-med]])</f>
        <v>1.0000249999999156E-2</v>
      </c>
      <c r="U69" s="4">
        <f>Table223421023456789[[#This Row],[Joris ]]-F$13</f>
        <v>2.9003214313245902</v>
      </c>
      <c r="V69" s="4">
        <f>ABS(Table223421023456789[[#This Row],[anl-med]])</f>
        <v>2.9003214313245902</v>
      </c>
      <c r="W69" s="4">
        <f>Table223421023456789[[#This Row],[lab-med]]*Table223421023456789[[#This Row],[anl-med]]</f>
        <v>2.9003939393601283E-2</v>
      </c>
    </row>
    <row r="70" spans="2:23" x14ac:dyDescent="0.25">
      <c r="B70" s="46">
        <f ca="1">VALUE((Table223421023456789[[#This Row],[Column3]]-62))</f>
        <v>8</v>
      </c>
      <c r="C70" t="s">
        <v>76</v>
      </c>
      <c r="D70">
        <v>10.800000199999999</v>
      </c>
      <c r="E70"/>
      <c r="F70">
        <v>12.81764657246098</v>
      </c>
      <c r="G70" s="29">
        <f>Table223421023456789[[#This Row],[Joris ]]-Table223421023456789[[#This Row],[REF]]</f>
        <v>2.0176463724609803</v>
      </c>
      <c r="H70" s="29">
        <f>Table223421023456789[[#This Row],[X-Y]]-E$20</f>
        <v>1.2561128425779007</v>
      </c>
      <c r="I70" s="29">
        <f>Table223421023456789[[#This Row],[Joris ]]-E$20</f>
        <v>12.0561130425779</v>
      </c>
      <c r="J70" s="29">
        <f>Table223421023456789[[#This Row],[Joris ]]*E$21+E$22</f>
        <v>11.672848996450183</v>
      </c>
      <c r="K70" s="56">
        <f>Table223421023456789[[#This Row],[Yest]]-Table223421023456789[[#This Row],[REF]]</f>
        <v>0.87284879645018343</v>
      </c>
      <c r="L70" s="56">
        <f>ABS(Table223421023456789[[#This Row],[RESyx]])</f>
        <v>0.87284879645018343</v>
      </c>
      <c r="M70" s="29">
        <f>Table223421023456789[[#This Row],[Joris ]]*E$25+E$26</f>
        <v>11.884748887239079</v>
      </c>
      <c r="N70" s="29">
        <f>Table223421023456789[[#This Row],[X-Y]]^2</f>
        <v>4.0708968843049531</v>
      </c>
      <c r="O70" s="57">
        <f>Table223421023456789[[#This Row],[yest_rect]]-Table223421023456789[[#This Row],[REF]]</f>
        <v>1.0847486872390792</v>
      </c>
      <c r="P70" s="57">
        <f>Table223421023456789[[#This Row],[dif rec]]^2</f>
        <v>1.1766797144669057</v>
      </c>
      <c r="Q70" s="57">
        <f>ABS(Table223421023456789[[#This Row],[diff-bias]])</f>
        <v>1.2561128425779007</v>
      </c>
      <c r="R70" s="57">
        <f ca="1">CELL("row",Table223421023456789[[#This Row],[Position]])</f>
        <v>70</v>
      </c>
      <c r="S70" s="4">
        <f>Table223421023456789[[#This Row],[REF]]-D$13</f>
        <v>-0.21000005000000144</v>
      </c>
      <c r="T70" s="4">
        <f>ABS(Table223421023456789[[#This Row],[lab-med]])</f>
        <v>0.21000005000000144</v>
      </c>
      <c r="U70" s="4">
        <f>Table223421023456789[[#This Row],[Joris ]]-F$13</f>
        <v>1.0058351584691003</v>
      </c>
      <c r="V70" s="4">
        <f>ABS(Table223421023456789[[#This Row],[anl-med]])</f>
        <v>1.0058351584691003</v>
      </c>
      <c r="W70" s="4">
        <f>Table223421023456789[[#This Row],[lab-med]]*Table223421023456789[[#This Row],[anl-med]]</f>
        <v>-0.21122543357027043</v>
      </c>
    </row>
    <row r="71" spans="2:23" x14ac:dyDescent="0.25">
      <c r="B71" s="46">
        <f ca="1">VALUE((Table223421023456789[[#This Row],[Column3]]-62))</f>
        <v>9</v>
      </c>
      <c r="C71" t="s">
        <v>77</v>
      </c>
      <c r="D71">
        <v>10.8800001</v>
      </c>
      <c r="E71"/>
      <c r="F71">
        <v>10.78576975566012</v>
      </c>
      <c r="G71" s="29">
        <f>Table223421023456789[[#This Row],[Joris ]]-Table223421023456789[[#This Row],[REF]]</f>
        <v>-9.4230344339880645E-2</v>
      </c>
      <c r="H71" s="29">
        <f>Table223421023456789[[#This Row],[X-Y]]-E$20</f>
        <v>-0.8557638742229603</v>
      </c>
      <c r="I71" s="29">
        <f>Table223421023456789[[#This Row],[Joris ]]-E$20</f>
        <v>10.02423622577704</v>
      </c>
      <c r="J71" s="29">
        <f>Table223421023456789[[#This Row],[Joris ]]*E$21+E$22</f>
        <v>10.463637068637286</v>
      </c>
      <c r="K71" s="56">
        <f>Table223421023456789[[#This Row],[Yest]]-Table223421023456789[[#This Row],[REF]]</f>
        <v>-0.4163630313627138</v>
      </c>
      <c r="L71" s="56">
        <f>ABS(Table223421023456789[[#This Row],[RESyx]])</f>
        <v>0.4163630313627138</v>
      </c>
      <c r="M71" s="29">
        <f>Table223421023456789[[#This Row],[Joris ]]*E$25+E$26</f>
        <v>10.220700138979117</v>
      </c>
      <c r="N71" s="29">
        <f>Table223421023456789[[#This Row],[X-Y]]^2</f>
        <v>8.879357794412476E-3</v>
      </c>
      <c r="O71" s="57">
        <f>Table223421023456789[[#This Row],[yest_rect]]-Table223421023456789[[#This Row],[REF]]</f>
        <v>-0.65929996102088317</v>
      </c>
      <c r="P71" s="57">
        <f>Table223421023456789[[#This Row],[dif rec]]^2</f>
        <v>0.43467643860213806</v>
      </c>
      <c r="Q71" s="57">
        <f>ABS(Table223421023456789[[#This Row],[diff-bias]])</f>
        <v>0.8557638742229603</v>
      </c>
      <c r="R71" s="57">
        <f ca="1">CELL("row",Table223421023456789[[#This Row],[Position]])</f>
        <v>71</v>
      </c>
      <c r="S71" s="4">
        <f>Table223421023456789[[#This Row],[REF]]-D$13</f>
        <v>-0.13000015000000076</v>
      </c>
      <c r="T71" s="4">
        <f>ABS(Table223421023456789[[#This Row],[lab-med]])</f>
        <v>0.13000015000000076</v>
      </c>
      <c r="U71" s="4">
        <f>Table223421023456789[[#This Row],[Joris ]]-F$13</f>
        <v>-1.02604165833176</v>
      </c>
      <c r="V71" s="4">
        <f>ABS(Table223421023456789[[#This Row],[anl-med]])</f>
        <v>1.02604165833176</v>
      </c>
      <c r="W71" s="4">
        <f>Table223421023456789[[#This Row],[lab-med]]*Table223421023456789[[#This Row],[anl-med]]</f>
        <v>0.13338556948937833</v>
      </c>
    </row>
    <row r="72" spans="2:23" x14ac:dyDescent="0.25">
      <c r="B72" s="46">
        <f ca="1">VALUE((Table223421023456789[[#This Row],[Column3]]-62))</f>
        <v>10</v>
      </c>
      <c r="C72" t="s">
        <v>78</v>
      </c>
      <c r="D72">
        <v>11.0600004</v>
      </c>
      <c r="E72"/>
      <c r="F72">
        <v>12.46666730032203</v>
      </c>
      <c r="G72" s="29">
        <f>Table223421023456789[[#This Row],[Joris ]]-Table223421023456789[[#This Row],[REF]]</f>
        <v>1.4066669003220298</v>
      </c>
      <c r="H72" s="29">
        <f>Table223421023456789[[#This Row],[X-Y]]-E$20</f>
        <v>0.64513337043895014</v>
      </c>
      <c r="I72" s="29">
        <f>Table223421023456789[[#This Row],[Joris ]]-E$20</f>
        <v>11.70513377043895</v>
      </c>
      <c r="J72" s="29">
        <f>Table223421023456789[[#This Row],[Joris ]]*E$21+E$22</f>
        <v>11.463973970771349</v>
      </c>
      <c r="K72" s="56">
        <f>Table223421023456789[[#This Row],[Yest]]-Table223421023456789[[#This Row],[REF]]</f>
        <v>0.40397357077134899</v>
      </c>
      <c r="L72" s="56">
        <f>ABS(Table223421023456789[[#This Row],[RESyx]])</f>
        <v>0.40397357077134899</v>
      </c>
      <c r="M72" s="29">
        <f>Table223421023456789[[#This Row],[Joris ]]*E$25+E$26</f>
        <v>11.597306945070764</v>
      </c>
      <c r="N72" s="29">
        <f>Table223421023456789[[#This Row],[X-Y]]^2</f>
        <v>1.9787117684615874</v>
      </c>
      <c r="O72" s="57">
        <f>Table223421023456789[[#This Row],[yest_rect]]-Table223421023456789[[#This Row],[REF]]</f>
        <v>0.53730654507076459</v>
      </c>
      <c r="P72" s="57">
        <f>Table223421023456789[[#This Row],[dif rec]]^2</f>
        <v>0.28869832337588158</v>
      </c>
      <c r="Q72" s="57">
        <f>ABS(Table223421023456789[[#This Row],[diff-bias]])</f>
        <v>0.64513337043895014</v>
      </c>
      <c r="R72" s="57">
        <f ca="1">CELL("row",Table223421023456789[[#This Row],[Position]])</f>
        <v>72</v>
      </c>
      <c r="S72" s="4">
        <f>Table223421023456789[[#This Row],[REF]]-D$13</f>
        <v>5.0000149999998911E-2</v>
      </c>
      <c r="T72" s="4">
        <f>ABS(Table223421023456789[[#This Row],[lab-med]])</f>
        <v>5.0000149999998911E-2</v>
      </c>
      <c r="U72" s="4">
        <f>Table223421023456789[[#This Row],[Joris ]]-F$13</f>
        <v>0.65485588633015013</v>
      </c>
      <c r="V72" s="4">
        <f>ABS(Table223421023456789[[#This Row],[anl-med]])</f>
        <v>0.65485588633015013</v>
      </c>
      <c r="W72" s="4">
        <f>Table223421023456789[[#This Row],[lab-med]]*Table223421023456789[[#This Row],[anl-med]]</f>
        <v>3.274289254488974E-2</v>
      </c>
    </row>
    <row r="73" spans="2:23" x14ac:dyDescent="0.25">
      <c r="B73" s="46">
        <f ca="1">VALUE((Table223421023456789[[#This Row],[Column3]]-62))</f>
        <v>11</v>
      </c>
      <c r="C73" t="s">
        <v>79</v>
      </c>
      <c r="D73">
        <v>11.0900002</v>
      </c>
      <c r="E73"/>
      <c r="F73">
        <v>11.181603893253611</v>
      </c>
      <c r="G73" s="29">
        <f>Table223421023456789[[#This Row],[Joris ]]-Table223421023456789[[#This Row],[REF]]</f>
        <v>9.1603693253610174E-2</v>
      </c>
      <c r="H73" s="29">
        <f>Table223421023456789[[#This Row],[X-Y]]-E$20</f>
        <v>-0.66992983662946948</v>
      </c>
      <c r="I73" s="29">
        <f>Table223421023456789[[#This Row],[Joris ]]-E$20</f>
        <v>10.420070363370531</v>
      </c>
      <c r="J73" s="29">
        <f>Table223421023456789[[#This Row],[Joris ]]*E$21+E$22</f>
        <v>10.699206152676151</v>
      </c>
      <c r="K73" s="56">
        <f>Table223421023456789[[#This Row],[Yest]]-Table223421023456789[[#This Row],[REF]]</f>
        <v>-0.39079404732384937</v>
      </c>
      <c r="L73" s="56">
        <f>ABS(Table223421023456789[[#This Row],[RESyx]])</f>
        <v>0.39079404732384937</v>
      </c>
      <c r="M73" s="29">
        <f>Table223421023456789[[#This Row],[Joris ]]*E$25+E$26</f>
        <v>10.544876927519919</v>
      </c>
      <c r="N73" s="29">
        <f>Table223421023456789[[#This Row],[X-Y]]^2</f>
        <v>8.3912366177015061E-3</v>
      </c>
      <c r="O73" s="57">
        <f>Table223421023456789[[#This Row],[yest_rect]]-Table223421023456789[[#This Row],[REF]]</f>
        <v>-0.54512327248008141</v>
      </c>
      <c r="P73" s="57">
        <f>Table223421023456789[[#This Row],[dif rec]]^2</f>
        <v>0.29715938219939309</v>
      </c>
      <c r="Q73" s="57">
        <f>ABS(Table223421023456789[[#This Row],[diff-bias]])</f>
        <v>0.66992983662946948</v>
      </c>
      <c r="R73" s="57">
        <f ca="1">CELL("row",Table223421023456789[[#This Row],[Position]])</f>
        <v>73</v>
      </c>
      <c r="S73" s="4">
        <f>Table223421023456789[[#This Row],[REF]]-D$13</f>
        <v>7.9999949999999487E-2</v>
      </c>
      <c r="T73" s="4">
        <f>ABS(Table223421023456789[[#This Row],[lab-med]])</f>
        <v>7.9999949999999487E-2</v>
      </c>
      <c r="U73" s="4">
        <f>Table223421023456789[[#This Row],[Joris ]]-F$13</f>
        <v>-0.63020752073826891</v>
      </c>
      <c r="V73" s="4">
        <f>ABS(Table223421023456789[[#This Row],[anl-med]])</f>
        <v>0.63020752073826891</v>
      </c>
      <c r="W73" s="4">
        <f>Table223421023456789[[#This Row],[lab-med]]*Table223421023456789[[#This Row],[anl-med]]</f>
        <v>-5.0416570148685155E-2</v>
      </c>
    </row>
    <row r="74" spans="2:23" x14ac:dyDescent="0.25">
      <c r="B74" s="46">
        <f ca="1">VALUE((Table223421023456789[[#This Row],[Column3]]-62))</f>
        <v>12</v>
      </c>
      <c r="C74" t="s">
        <v>80</v>
      </c>
      <c r="D74">
        <v>11.6199999</v>
      </c>
      <c r="E74"/>
      <c r="F74">
        <v>13.25622823416357</v>
      </c>
      <c r="G74" s="29">
        <f>Table223421023456789[[#This Row],[Joris ]]-Table223421023456789[[#This Row],[REF]]</f>
        <v>1.6362283341635706</v>
      </c>
      <c r="H74" s="29">
        <f>Table223421023456789[[#This Row],[X-Y]]-E$20</f>
        <v>0.87469480428049096</v>
      </c>
      <c r="I74" s="29">
        <f>Table223421023456789[[#This Row],[Joris ]]-E$20</f>
        <v>12.494694704280491</v>
      </c>
      <c r="J74" s="29">
        <f>Table223421023456789[[#This Row],[Joris ]]*E$21+E$22</f>
        <v>11.933858016419109</v>
      </c>
      <c r="K74" s="56">
        <f>Table223421023456789[[#This Row],[Yest]]-Table223421023456789[[#This Row],[REF]]</f>
        <v>0.31385811641910877</v>
      </c>
      <c r="L74" s="56">
        <f>ABS(Table223421023456789[[#This Row],[RESyx]])</f>
        <v>0.31385811641910877</v>
      </c>
      <c r="M74" s="29">
        <f>Table223421023456789[[#This Row],[Joris ]]*E$25+E$26</f>
        <v>12.243934670122835</v>
      </c>
      <c r="N74" s="29">
        <f>Table223421023456789[[#This Row],[X-Y]]^2</f>
        <v>2.6772431615196934</v>
      </c>
      <c r="O74" s="57">
        <f>Table223421023456789[[#This Row],[yest_rect]]-Table223421023456789[[#This Row],[REF]]</f>
        <v>0.62393477012283505</v>
      </c>
      <c r="P74" s="57">
        <f>Table223421023456789[[#This Row],[dif rec]]^2</f>
        <v>0.38929459736823502</v>
      </c>
      <c r="Q74" s="57">
        <f>ABS(Table223421023456789[[#This Row],[diff-bias]])</f>
        <v>0.87469480428049096</v>
      </c>
      <c r="R74" s="57">
        <f ca="1">CELL("row",Table223421023456789[[#This Row],[Position]])</f>
        <v>74</v>
      </c>
      <c r="S74" s="4">
        <f>Table223421023456789[[#This Row],[REF]]-D$13</f>
        <v>0.60999964999999889</v>
      </c>
      <c r="T74" s="4">
        <f>ABS(Table223421023456789[[#This Row],[lab-med]])</f>
        <v>0.60999964999999889</v>
      </c>
      <c r="U74" s="4">
        <f>Table223421023456789[[#This Row],[Joris ]]-F$13</f>
        <v>1.4444168201716909</v>
      </c>
      <c r="V74" s="4">
        <f>ABS(Table223421023456789[[#This Row],[anl-med]])</f>
        <v>1.4444168201716909</v>
      </c>
      <c r="W74" s="4">
        <f>Table223421023456789[[#This Row],[lab-med]]*Table223421023456789[[#This Row],[anl-med]]</f>
        <v>0.88109375475884277</v>
      </c>
    </row>
    <row r="75" spans="2:23" x14ac:dyDescent="0.25">
      <c r="B75" s="46">
        <f ca="1">VALUE((Table223421023456789[[#This Row],[Column3]]-62))</f>
        <v>13</v>
      </c>
      <c r="C75" t="s">
        <v>81</v>
      </c>
      <c r="D75">
        <v>9.9600000000000009</v>
      </c>
      <c r="E75"/>
      <c r="F75">
        <v>11.00596659240153</v>
      </c>
      <c r="G75" s="29">
        <f>Table223421023456789[[#This Row],[Joris ]]-Table223421023456789[[#This Row],[REF]]</f>
        <v>1.0459665924015287</v>
      </c>
      <c r="H75" s="29">
        <f>Table223421023456789[[#This Row],[X-Y]]-E$20</f>
        <v>0.28443306251844902</v>
      </c>
      <c r="I75" s="29">
        <f>Table223421023456789[[#This Row],[Joris ]]-E$20</f>
        <v>10.24443306251845</v>
      </c>
      <c r="J75" s="29">
        <f>Table223421023456789[[#This Row],[Joris ]]*E$21+E$22</f>
        <v>10.594680761469814</v>
      </c>
      <c r="K75" s="56">
        <f>Table223421023456789[[#This Row],[Yest]]-Table223421023456789[[#This Row],[REF]]</f>
        <v>0.63468076146981289</v>
      </c>
      <c r="L75" s="56">
        <f>ABS(Table223421023456789[[#This Row],[RESyx]])</f>
        <v>0.63468076146981289</v>
      </c>
      <c r="M75" s="29">
        <f>Table223421023456789[[#This Row],[Joris ]]*E$25+E$26</f>
        <v>10.401035023220409</v>
      </c>
      <c r="N75" s="29">
        <f>Table223421023456789[[#This Row],[X-Y]]^2</f>
        <v>1.0940461124200656</v>
      </c>
      <c r="O75" s="57">
        <f>Table223421023456789[[#This Row],[yest_rect]]-Table223421023456789[[#This Row],[REF]]</f>
        <v>0.44103502322040811</v>
      </c>
      <c r="P75" s="57">
        <f>Table223421023456789[[#This Row],[dif rec]]^2</f>
        <v>0.19451189170702593</v>
      </c>
      <c r="Q75" s="57">
        <f>ABS(Table223421023456789[[#This Row],[diff-bias]])</f>
        <v>0.28443306251844902</v>
      </c>
      <c r="R75" s="57">
        <f ca="1">CELL("row",Table223421023456789[[#This Row],[Position]])</f>
        <v>75</v>
      </c>
      <c r="S75" s="4">
        <f>Table223421023456789[[#This Row],[REF]]-D$13</f>
        <v>-1.0500002500000001</v>
      </c>
      <c r="T75" s="4">
        <f>ABS(Table223421023456789[[#This Row],[lab-med]])</f>
        <v>1.0500002500000001</v>
      </c>
      <c r="U75" s="4">
        <f>Table223421023456789[[#This Row],[Joris ]]-F$13</f>
        <v>-0.80584482159034998</v>
      </c>
      <c r="V75" s="4">
        <f>ABS(Table223421023456789[[#This Row],[anl-med]])</f>
        <v>0.80584482159034998</v>
      </c>
      <c r="W75" s="4">
        <f>Table223421023456789[[#This Row],[lab-med]]*Table223421023456789[[#This Row],[anl-med]]</f>
        <v>0.84613726413107293</v>
      </c>
    </row>
    <row r="76" spans="2:23" x14ac:dyDescent="0.25">
      <c r="B76" s="46">
        <f ca="1">VALUE((Table223421023456789[[#This Row],[Column3]]-62))</f>
        <v>14</v>
      </c>
      <c r="C76" t="s">
        <v>82</v>
      </c>
      <c r="D76">
        <v>9.5</v>
      </c>
      <c r="E76"/>
      <c r="F76">
        <v>11.261369683439341</v>
      </c>
      <c r="G76" s="29">
        <f>Table223421023456789[[#This Row],[Joris ]]-Table223421023456789[[#This Row],[REF]]</f>
        <v>1.7613696834393409</v>
      </c>
      <c r="H76" s="29">
        <f>Table223421023456789[[#This Row],[X-Y]]-E$20</f>
        <v>0.99983615355626121</v>
      </c>
      <c r="I76" s="29">
        <f>Table223421023456789[[#This Row],[Joris ]]-E$20</f>
        <v>10.499836153556261</v>
      </c>
      <c r="J76" s="29">
        <f>Table223421023456789[[#This Row],[Joris ]]*E$21+E$22</f>
        <v>10.746676424558022</v>
      </c>
      <c r="K76" s="56">
        <f>Table223421023456789[[#This Row],[Yest]]-Table223421023456789[[#This Row],[REF]]</f>
        <v>1.2466764245580215</v>
      </c>
      <c r="L76" s="56">
        <f>ABS(Table223421023456789[[#This Row],[RESyx]])</f>
        <v>1.2466764245580215</v>
      </c>
      <c r="M76" s="29">
        <f>Table223421023456789[[#This Row],[Joris ]]*E$25+E$26</f>
        <v>10.61020281844746</v>
      </c>
      <c r="N76" s="29">
        <f>Table223421023456789[[#This Row],[X-Y]]^2</f>
        <v>3.1024231617392037</v>
      </c>
      <c r="O76" s="57">
        <f>Table223421023456789[[#This Row],[yest_rect]]-Table223421023456789[[#This Row],[REF]]</f>
        <v>1.1102028184474602</v>
      </c>
      <c r="P76" s="57">
        <f>Table223421023456789[[#This Row],[dif rec]]^2</f>
        <v>1.2325502980886842</v>
      </c>
      <c r="Q76" s="57">
        <f>ABS(Table223421023456789[[#This Row],[diff-bias]])</f>
        <v>0.99983615355626121</v>
      </c>
      <c r="R76" s="57">
        <f ca="1">CELL("row",Table223421023456789[[#This Row],[Position]])</f>
        <v>76</v>
      </c>
      <c r="S76" s="4">
        <f>Table223421023456789[[#This Row],[REF]]-D$13</f>
        <v>-1.5100002500000009</v>
      </c>
      <c r="T76" s="4">
        <f>ABS(Table223421023456789[[#This Row],[lab-med]])</f>
        <v>1.5100002500000009</v>
      </c>
      <c r="U76" s="4">
        <f>Table223421023456789[[#This Row],[Joris ]]-F$13</f>
        <v>-0.55044173055253864</v>
      </c>
      <c r="V76" s="4">
        <f>ABS(Table223421023456789[[#This Row],[anl-med]])</f>
        <v>0.55044173055253864</v>
      </c>
      <c r="W76" s="4">
        <f>Table223421023456789[[#This Row],[lab-med]]*Table223421023456789[[#This Row],[anl-med]]</f>
        <v>0.83116715074476655</v>
      </c>
    </row>
    <row r="77" spans="2:23" x14ac:dyDescent="0.25">
      <c r="B77" s="46">
        <f ca="1">VALUE((Table223421023456789[[#This Row],[Column3]]-62))</f>
        <v>15</v>
      </c>
      <c r="C77" t="s">
        <v>83</v>
      </c>
      <c r="D77">
        <v>9.9899997999999997</v>
      </c>
      <c r="E77"/>
      <c r="F77">
        <v>11.112319274127969</v>
      </c>
      <c r="G77" s="29">
        <f>Table223421023456789[[#This Row],[Joris ]]-Table223421023456789[[#This Row],[REF]]</f>
        <v>1.1223194741279698</v>
      </c>
      <c r="H77" s="29">
        <f>Table223421023456789[[#This Row],[X-Y]]-E$20</f>
        <v>0.36078594424489019</v>
      </c>
      <c r="I77" s="29">
        <f>Table223421023456789[[#This Row],[Joris ]]-E$20</f>
        <v>10.35078574424489</v>
      </c>
      <c r="J77" s="29">
        <f>Table223421023456789[[#This Row],[Joris ]]*E$21+E$22</f>
        <v>10.657973442519731</v>
      </c>
      <c r="K77" s="56">
        <f>Table223421023456789[[#This Row],[Yest]]-Table223421023456789[[#This Row],[REF]]</f>
        <v>0.66797364251973157</v>
      </c>
      <c r="L77" s="56">
        <f>ABS(Table223421023456789[[#This Row],[RESyx]])</f>
        <v>0.66797364251973157</v>
      </c>
      <c r="M77" s="29">
        <f>Table223421023456789[[#This Row],[Joris ]]*E$25+E$26</f>
        <v>10.488134814623914</v>
      </c>
      <c r="N77" s="29">
        <f>Table223421023456789[[#This Row],[X-Y]]^2</f>
        <v>1.2596010020068829</v>
      </c>
      <c r="O77" s="57">
        <f>Table223421023456789[[#This Row],[yest_rect]]-Table223421023456789[[#This Row],[REF]]</f>
        <v>0.49813501462391407</v>
      </c>
      <c r="P77" s="57">
        <f>Table223421023456789[[#This Row],[dif rec]]^2</f>
        <v>0.24813849279436709</v>
      </c>
      <c r="Q77" s="57">
        <f>ABS(Table223421023456789[[#This Row],[diff-bias]])</f>
        <v>0.36078594424489019</v>
      </c>
      <c r="R77" s="57">
        <f ca="1">CELL("row",Table223421023456789[[#This Row],[Position]])</f>
        <v>77</v>
      </c>
      <c r="S77" s="4">
        <f>Table223421023456789[[#This Row],[REF]]-D$13</f>
        <v>-1.0200004500000013</v>
      </c>
      <c r="T77" s="4">
        <f>ABS(Table223421023456789[[#This Row],[lab-med]])</f>
        <v>1.0200004500000013</v>
      </c>
      <c r="U77" s="4">
        <f>Table223421023456789[[#This Row],[Joris ]]-F$13</f>
        <v>-0.69949213986391001</v>
      </c>
      <c r="V77" s="4">
        <f>ABS(Table223421023456789[[#This Row],[anl-med]])</f>
        <v>0.69949213986391001</v>
      </c>
      <c r="W77" s="4">
        <f>Table223421023456789[[#This Row],[lab-med]]*Table223421023456789[[#This Row],[anl-med]]</f>
        <v>0.71348229743265201</v>
      </c>
    </row>
    <row r="78" spans="2:23" x14ac:dyDescent="0.25">
      <c r="B78" s="46">
        <f ca="1">VALUE((Table223421023456789[[#This Row],[Column3]]-62))</f>
        <v>16</v>
      </c>
      <c r="C78" t="s">
        <v>84</v>
      </c>
      <c r="D78">
        <v>10.0100002</v>
      </c>
      <c r="E78"/>
      <c r="F78">
        <v>10.958001479586089</v>
      </c>
      <c r="G78" s="29">
        <f>Table223421023456789[[#This Row],[Joris ]]-Table223421023456789[[#This Row],[REF]]</f>
        <v>0.94800127958608904</v>
      </c>
      <c r="H78" s="29">
        <f>Table223421023456789[[#This Row],[X-Y]]-E$20</f>
        <v>0.18646774970300939</v>
      </c>
      <c r="I78" s="29">
        <f>Table223421023456789[[#This Row],[Joris ]]-E$20</f>
        <v>10.19646794970301</v>
      </c>
      <c r="J78" s="29">
        <f>Table223421023456789[[#This Row],[Joris ]]*E$21+E$22</f>
        <v>10.566135730562555</v>
      </c>
      <c r="K78" s="56">
        <f>Table223421023456789[[#This Row],[Yest]]-Table223421023456789[[#This Row],[REF]]</f>
        <v>0.55613553056255505</v>
      </c>
      <c r="L78" s="56">
        <f>ABS(Table223421023456789[[#This Row],[RESyx]])</f>
        <v>0.55613553056255505</v>
      </c>
      <c r="M78" s="29">
        <f>Table223421023456789[[#This Row],[Joris ]]*E$25+E$26</f>
        <v>10.361752973599728</v>
      </c>
      <c r="N78" s="29">
        <f>Table223421023456789[[#This Row],[X-Y]]^2</f>
        <v>0.89870642609686213</v>
      </c>
      <c r="O78" s="57">
        <f>Table223421023456789[[#This Row],[yest_rect]]-Table223421023456789[[#This Row],[REF]]</f>
        <v>0.35175277359972767</v>
      </c>
      <c r="P78" s="57">
        <f>Table223421023456789[[#This Row],[dif rec]]^2</f>
        <v>0.12373001373510127</v>
      </c>
      <c r="Q78" s="57">
        <f>ABS(Table223421023456789[[#This Row],[diff-bias]])</f>
        <v>0.18646774970300939</v>
      </c>
      <c r="R78" s="57">
        <f ca="1">CELL("row",Table223421023456789[[#This Row],[Position]])</f>
        <v>78</v>
      </c>
      <c r="S78" s="4">
        <f>Table223421023456789[[#This Row],[REF]]-D$13</f>
        <v>-1.0000000500000006</v>
      </c>
      <c r="T78" s="4">
        <f>ABS(Table223421023456789[[#This Row],[lab-med]])</f>
        <v>1.0000000500000006</v>
      </c>
      <c r="U78" s="4">
        <f>Table223421023456789[[#This Row],[Joris ]]-F$13</f>
        <v>-0.85380993440579012</v>
      </c>
      <c r="V78" s="4">
        <f>ABS(Table223421023456789[[#This Row],[anl-med]])</f>
        <v>0.85380993440579012</v>
      </c>
      <c r="W78" s="4">
        <f>Table223421023456789[[#This Row],[lab-med]]*Table223421023456789[[#This Row],[anl-med]]</f>
        <v>0.85380997709628736</v>
      </c>
    </row>
    <row r="79" spans="2:23" x14ac:dyDescent="0.25">
      <c r="B79" s="46">
        <f ca="1">VALUE((Table223421023456789[[#This Row],[Column3]]-62))</f>
        <v>17</v>
      </c>
      <c r="C79" t="s">
        <v>85</v>
      </c>
      <c r="D79">
        <v>9.8299999000000007</v>
      </c>
      <c r="E79"/>
      <c r="F79">
        <v>10.556504632829309</v>
      </c>
      <c r="G79" s="29">
        <f>Table223421023456789[[#This Row],[Joris ]]-Table223421023456789[[#This Row],[REF]]</f>
        <v>0.72650473282930861</v>
      </c>
      <c r="H79" s="29">
        <f>Table223421023456789[[#This Row],[X-Y]]-E$20</f>
        <v>-3.5028797053771044E-2</v>
      </c>
      <c r="I79" s="29">
        <f>Table223421023456789[[#This Row],[Joris ]]-E$20</f>
        <v>9.7949711029462296</v>
      </c>
      <c r="J79" s="29">
        <f>Table223421023456789[[#This Row],[Joris ]]*E$21+E$22</f>
        <v>10.327196651154207</v>
      </c>
      <c r="K79" s="56">
        <f>Table223421023456789[[#This Row],[Yest]]-Table223421023456789[[#This Row],[REF]]</f>
        <v>0.49719675115420614</v>
      </c>
      <c r="L79" s="56">
        <f>ABS(Table223421023456789[[#This Row],[RESyx]])</f>
        <v>0.49719675115420614</v>
      </c>
      <c r="M79" s="29">
        <f>Table223421023456789[[#This Row],[Joris ]]*E$25+E$26</f>
        <v>10.032938588912833</v>
      </c>
      <c r="N79" s="29">
        <f>Table223421023456789[[#This Row],[X-Y]]^2</f>
        <v>0.5278091268233851</v>
      </c>
      <c r="O79" s="57">
        <f>Table223421023456789[[#This Row],[yest_rect]]-Table223421023456789[[#This Row],[REF]]</f>
        <v>0.20293868891283218</v>
      </c>
      <c r="P79" s="57">
        <f>Table223421023456789[[#This Row],[dif rec]]^2</f>
        <v>4.1184111457659274E-2</v>
      </c>
      <c r="Q79" s="57">
        <f>ABS(Table223421023456789[[#This Row],[diff-bias]])</f>
        <v>3.5028797053771044E-2</v>
      </c>
      <c r="R79" s="57">
        <f ca="1">CELL("row",Table223421023456789[[#This Row],[Position]])</f>
        <v>79</v>
      </c>
      <c r="S79" s="4">
        <f>Table223421023456789[[#This Row],[REF]]-D$13</f>
        <v>-1.1800003500000003</v>
      </c>
      <c r="T79" s="4">
        <f>ABS(Table223421023456789[[#This Row],[lab-med]])</f>
        <v>1.1800003500000003</v>
      </c>
      <c r="U79" s="4">
        <f>Table223421023456789[[#This Row],[Joris ]]-F$13</f>
        <v>-1.2553067811625702</v>
      </c>
      <c r="V79" s="4">
        <f>ABS(Table223421023456789[[#This Row],[anl-med]])</f>
        <v>1.2553067811625702</v>
      </c>
      <c r="W79" s="4">
        <f>Table223421023456789[[#This Row],[lab-med]]*Table223421023456789[[#This Row],[anl-med]]</f>
        <v>1.4812624411292066</v>
      </c>
    </row>
    <row r="80" spans="2:23" x14ac:dyDescent="0.25">
      <c r="B80" s="46">
        <f ca="1">VALUE((Table223421023456789[[#This Row],[Column3]]-62))</f>
        <v>18</v>
      </c>
      <c r="C80" t="s">
        <v>86</v>
      </c>
      <c r="D80">
        <v>9.5699997000000003</v>
      </c>
      <c r="E80"/>
      <c r="F80">
        <v>10.71083687349411</v>
      </c>
      <c r="G80" s="29">
        <f>Table223421023456789[[#This Row],[Joris ]]-Table223421023456789[[#This Row],[REF]]</f>
        <v>1.1408371734941092</v>
      </c>
      <c r="H80" s="29">
        <f>Table223421023456789[[#This Row],[X-Y]]-E$20</f>
        <v>0.37930364361102953</v>
      </c>
      <c r="I80" s="29">
        <f>Table223421023456789[[#This Row],[Joris ]]-E$20</f>
        <v>9.9493033436110299</v>
      </c>
      <c r="J80" s="29">
        <f>Table223421023456789[[#This Row],[Joris ]]*E$21+E$22</f>
        <v>10.419042960297983</v>
      </c>
      <c r="K80" s="56">
        <f>Table223421023456789[[#This Row],[Yest]]-Table223421023456789[[#This Row],[REF]]</f>
        <v>0.84904326029798227</v>
      </c>
      <c r="L80" s="56">
        <f>ABS(Table223421023456789[[#This Row],[RESyx]])</f>
        <v>0.84904326029798227</v>
      </c>
      <c r="M80" s="29">
        <f>Table223421023456789[[#This Row],[Joris ]]*E$25+E$26</f>
        <v>10.159332260896733</v>
      </c>
      <c r="N80" s="29">
        <f>Table223421023456789[[#This Row],[X-Y]]^2</f>
        <v>1.3015094564260281</v>
      </c>
      <c r="O80" s="57">
        <f>Table223421023456789[[#This Row],[yest_rect]]-Table223421023456789[[#This Row],[REF]]</f>
        <v>0.58933256089673236</v>
      </c>
      <c r="P80" s="57">
        <f>Table223421023456789[[#This Row],[dif rec]]^2</f>
        <v>0.34731286733310074</v>
      </c>
      <c r="Q80" s="57">
        <f>ABS(Table223421023456789[[#This Row],[diff-bias]])</f>
        <v>0.37930364361102953</v>
      </c>
      <c r="R80" s="57">
        <f ca="1">CELL("row",Table223421023456789[[#This Row],[Position]])</f>
        <v>80</v>
      </c>
      <c r="S80" s="4">
        <f>Table223421023456789[[#This Row],[REF]]-D$13</f>
        <v>-1.4400005500000006</v>
      </c>
      <c r="T80" s="4">
        <f>ABS(Table223421023456789[[#This Row],[lab-med]])</f>
        <v>1.4400005500000006</v>
      </c>
      <c r="U80" s="4">
        <f>Table223421023456789[[#This Row],[Joris ]]-F$13</f>
        <v>-1.10097454049777</v>
      </c>
      <c r="V80" s="4">
        <f>ABS(Table223421023456789[[#This Row],[anl-med]])</f>
        <v>1.10097454049777</v>
      </c>
      <c r="W80" s="4">
        <f>Table223421023456789[[#This Row],[lab-med]]*Table223421023456789[[#This Row],[anl-med]]</f>
        <v>1.5854039438527867</v>
      </c>
    </row>
    <row r="81" spans="2:23" x14ac:dyDescent="0.25">
      <c r="B81" s="46">
        <f ca="1">VALUE((Table223421023456789[[#This Row],[Column3]]-62))</f>
        <v>19</v>
      </c>
      <c r="C81" t="s">
        <v>87</v>
      </c>
      <c r="D81">
        <v>9.9200000999999993</v>
      </c>
      <c r="E81"/>
      <c r="F81">
        <v>10.612861552170621</v>
      </c>
      <c r="G81" s="29">
        <f>Table223421023456789[[#This Row],[Joris ]]-Table223421023456789[[#This Row],[REF]]</f>
        <v>0.69286145217062156</v>
      </c>
      <c r="H81" s="29">
        <f>Table223421023456789[[#This Row],[X-Y]]-E$20</f>
        <v>-6.8672077712458091E-2</v>
      </c>
      <c r="I81" s="29">
        <f>Table223421023456789[[#This Row],[Joris ]]-E$20</f>
        <v>9.8513280222875412</v>
      </c>
      <c r="J81" s="29">
        <f>Table223421023456789[[#This Row],[Joris ]]*E$21+E$22</f>
        <v>10.360735819729198</v>
      </c>
      <c r="K81" s="56">
        <f>Table223421023456789[[#This Row],[Yest]]-Table223421023456789[[#This Row],[REF]]</f>
        <v>0.440735719729199</v>
      </c>
      <c r="L81" s="56">
        <f>ABS(Table223421023456789[[#This Row],[RESyx]])</f>
        <v>0.440735719729199</v>
      </c>
      <c r="M81" s="29">
        <f>Table223421023456789[[#This Row],[Joris ]]*E$25+E$26</f>
        <v>10.079093287027531</v>
      </c>
      <c r="N81" s="29">
        <f>Table223421023456789[[#This Row],[X-Y]]^2</f>
        <v>0.48005699190398249</v>
      </c>
      <c r="O81" s="57">
        <f>Table223421023456789[[#This Row],[yest_rect]]-Table223421023456789[[#This Row],[REF]]</f>
        <v>0.15909318702753161</v>
      </c>
      <c r="P81" s="57">
        <f>Table223421023456789[[#This Row],[dif rec]]^2</f>
        <v>2.5310642158577153E-2</v>
      </c>
      <c r="Q81" s="57">
        <f>ABS(Table223421023456789[[#This Row],[diff-bias]])</f>
        <v>6.8672077712458091E-2</v>
      </c>
      <c r="R81" s="57">
        <f ca="1">CELL("row",Table223421023456789[[#This Row],[Position]])</f>
        <v>81</v>
      </c>
      <c r="S81" s="4">
        <f>Table223421023456789[[#This Row],[REF]]-D$13</f>
        <v>-1.0900001500000016</v>
      </c>
      <c r="T81" s="4">
        <f>ABS(Table223421023456789[[#This Row],[lab-med]])</f>
        <v>1.0900001500000016</v>
      </c>
      <c r="U81" s="4">
        <f>Table223421023456789[[#This Row],[Joris ]]-F$13</f>
        <v>-1.1989498618212586</v>
      </c>
      <c r="V81" s="4">
        <f>ABS(Table223421023456789[[#This Row],[anl-med]])</f>
        <v>1.1989498618212586</v>
      </c>
      <c r="W81" s="4">
        <f>Table223421023456789[[#This Row],[lab-med]]*Table223421023456789[[#This Row],[anl-med]]</f>
        <v>1.3068555292276531</v>
      </c>
    </row>
    <row r="82" spans="2:23" x14ac:dyDescent="0.25">
      <c r="B82" s="46">
        <f ca="1">VALUE((Table223421023456789[[#This Row],[Column3]]-62))</f>
        <v>20</v>
      </c>
      <c r="C82" t="s">
        <v>88</v>
      </c>
      <c r="D82">
        <v>11.670000099999999</v>
      </c>
      <c r="E82"/>
      <c r="F82">
        <v>13.802318450583471</v>
      </c>
      <c r="G82" s="29">
        <f>Table223421023456789[[#This Row],[Joris ]]-Table223421023456789[[#This Row],[REF]]</f>
        <v>2.1323183505834713</v>
      </c>
      <c r="H82" s="29">
        <f>Table223421023456789[[#This Row],[X-Y]]-E$20</f>
        <v>1.3707848207003916</v>
      </c>
      <c r="I82" s="29">
        <f>Table223421023456789[[#This Row],[Joris ]]-E$20</f>
        <v>13.040784920700391</v>
      </c>
      <c r="J82" s="29">
        <f>Table223421023456789[[#This Row],[Joris ]]*E$21+E$22</f>
        <v>12.25884760136676</v>
      </c>
      <c r="K82" s="56">
        <f>Table223421023456789[[#This Row],[Yest]]-Table223421023456789[[#This Row],[REF]]</f>
        <v>0.58884750136676089</v>
      </c>
      <c r="L82" s="56">
        <f>ABS(Table223421023456789[[#This Row],[RESyx]])</f>
        <v>0.58884750136676089</v>
      </c>
      <c r="M82" s="29">
        <f>Table223421023456789[[#This Row],[Joris ]]*E$25+E$26</f>
        <v>12.691166871187713</v>
      </c>
      <c r="N82" s="29">
        <f>Table223421023456789[[#This Row],[X-Y]]^2</f>
        <v>4.5467815482350158</v>
      </c>
      <c r="O82" s="57">
        <f>Table223421023456789[[#This Row],[yest_rect]]-Table223421023456789[[#This Row],[REF]]</f>
        <v>1.0211667711877137</v>
      </c>
      <c r="P82" s="57">
        <f>Table223421023456789[[#This Row],[dif rec]]^2</f>
        <v>1.0427815745779405</v>
      </c>
      <c r="Q82" s="57">
        <f>ABS(Table223421023456789[[#This Row],[diff-bias]])</f>
        <v>1.3707848207003916</v>
      </c>
      <c r="R82" s="57">
        <f ca="1">CELL("row",Table223421023456789[[#This Row],[Position]])</f>
        <v>82</v>
      </c>
      <c r="S82" s="4">
        <f>Table223421023456789[[#This Row],[REF]]-D$13</f>
        <v>0.65999984999999839</v>
      </c>
      <c r="T82" s="4">
        <f>ABS(Table223421023456789[[#This Row],[lab-med]])</f>
        <v>0.65999984999999839</v>
      </c>
      <c r="U82" s="4">
        <f>Table223421023456789[[#This Row],[Joris ]]-F$13</f>
        <v>1.9905070365915911</v>
      </c>
      <c r="V82" s="4">
        <f>ABS(Table223421023456789[[#This Row],[anl-med]])</f>
        <v>1.9905070365915911</v>
      </c>
      <c r="W82" s="4">
        <f>Table223421023456789[[#This Row],[lab-med]]*Table223421023456789[[#This Row],[anl-med]]</f>
        <v>1.3137343455743915</v>
      </c>
    </row>
    <row r="83" spans="2:23" x14ac:dyDescent="0.25">
      <c r="B83" s="46">
        <f ca="1">VALUE((Table223421023456789[[#This Row],[Column3]]-62))</f>
        <v>21</v>
      </c>
      <c r="C83" t="s">
        <v>89</v>
      </c>
      <c r="D83">
        <v>11.5</v>
      </c>
      <c r="E83"/>
      <c r="F83">
        <v>13.718942195769801</v>
      </c>
      <c r="G83" s="29">
        <f>Table223421023456789[[#This Row],[Joris ]]-Table223421023456789[[#This Row],[REF]]</f>
        <v>2.2189421957698006</v>
      </c>
      <c r="H83" s="29">
        <f>Table223421023456789[[#This Row],[X-Y]]-E$20</f>
        <v>1.4574086658867209</v>
      </c>
      <c r="I83" s="29">
        <f>Table223421023456789[[#This Row],[Joris ]]-E$20</f>
        <v>12.957408665886721</v>
      </c>
      <c r="J83" s="29">
        <f>Table223421023456789[[#This Row],[Joris ]]*E$21+E$22</f>
        <v>12.20922866729388</v>
      </c>
      <c r="K83" s="56">
        <f>Table223421023456789[[#This Row],[Yest]]-Table223421023456789[[#This Row],[REF]]</f>
        <v>0.70922866729388012</v>
      </c>
      <c r="L83" s="56">
        <f>ABS(Table223421023456789[[#This Row],[RESyx]])</f>
        <v>0.70922866729388012</v>
      </c>
      <c r="M83" s="29">
        <f>Table223421023456789[[#This Row],[Joris ]]*E$25+E$26</f>
        <v>12.622884113438777</v>
      </c>
      <c r="N83" s="29">
        <f>Table223421023456789[[#This Row],[X-Y]]^2</f>
        <v>4.9237044681677036</v>
      </c>
      <c r="O83" s="57">
        <f>Table223421023456789[[#This Row],[yest_rect]]-Table223421023456789[[#This Row],[REF]]</f>
        <v>1.1228841134387775</v>
      </c>
      <c r="P83" s="57">
        <f>Table223421023456789[[#This Row],[dif rec]]^2</f>
        <v>1.2608687322131893</v>
      </c>
      <c r="Q83" s="57">
        <f>ABS(Table223421023456789[[#This Row],[diff-bias]])</f>
        <v>1.4574086658867209</v>
      </c>
      <c r="R83" s="57">
        <f ca="1">CELL("row",Table223421023456789[[#This Row],[Position]])</f>
        <v>83</v>
      </c>
      <c r="S83" s="4">
        <f>Table223421023456789[[#This Row],[REF]]-D$13</f>
        <v>0.48999974999999907</v>
      </c>
      <c r="T83" s="4">
        <f>ABS(Table223421023456789[[#This Row],[lab-med]])</f>
        <v>0.48999974999999907</v>
      </c>
      <c r="U83" s="4">
        <f>Table223421023456789[[#This Row],[Joris ]]-F$13</f>
        <v>1.9071307817779211</v>
      </c>
      <c r="V83" s="4">
        <f>ABS(Table223421023456789[[#This Row],[anl-med]])</f>
        <v>1.9071307817779211</v>
      </c>
      <c r="W83" s="4">
        <f>Table223421023456789[[#This Row],[lab-med]]*Table223421023456789[[#This Row],[anl-med]]</f>
        <v>0.9344936062884841</v>
      </c>
    </row>
    <row r="84" spans="2:23" x14ac:dyDescent="0.25">
      <c r="B84" s="46">
        <f ca="1">VALUE((Table223421023456789[[#This Row],[Column3]]-62))</f>
        <v>22</v>
      </c>
      <c r="C84" t="s">
        <v>90</v>
      </c>
      <c r="D84">
        <v>11.3699999</v>
      </c>
      <c r="E84"/>
      <c r="F84">
        <v>12.133810942924679</v>
      </c>
      <c r="G84" s="29">
        <f>Table223421023456789[[#This Row],[Joris ]]-Table223421023456789[[#This Row],[REF]]</f>
        <v>0.76381104292467938</v>
      </c>
      <c r="H84" s="29">
        <f>Table223421023456789[[#This Row],[X-Y]]-E$20</f>
        <v>2.2775130415997324E-3</v>
      </c>
      <c r="I84" s="29">
        <f>Table223421023456789[[#This Row],[Joris ]]-E$20</f>
        <v>11.3722774130416</v>
      </c>
      <c r="J84" s="29">
        <f>Table223421023456789[[#This Row],[Joris ]]*E$21+E$22</f>
        <v>11.265884266570213</v>
      </c>
      <c r="K84" s="56">
        <f>Table223421023456789[[#This Row],[Yest]]-Table223421023456789[[#This Row],[REF]]</f>
        <v>-0.10411563342978702</v>
      </c>
      <c r="L84" s="56">
        <f>ABS(Table223421023456789[[#This Row],[RESyx]])</f>
        <v>0.10411563342978702</v>
      </c>
      <c r="M84" s="29">
        <f>Table223421023456789[[#This Row],[Joris ]]*E$25+E$26</f>
        <v>11.324707149503672</v>
      </c>
      <c r="N84" s="29">
        <f>Table223421023456789[[#This Row],[X-Y]]^2</f>
        <v>0.58340730929368645</v>
      </c>
      <c r="O84" s="57">
        <f>Table223421023456789[[#This Row],[yest_rect]]-Table223421023456789[[#This Row],[REF]]</f>
        <v>-4.5292750496328082E-2</v>
      </c>
      <c r="P84" s="57">
        <f>Table223421023456789[[#This Row],[dif rec]]^2</f>
        <v>2.0514332475226279E-3</v>
      </c>
      <c r="Q84" s="57">
        <f>ABS(Table223421023456789[[#This Row],[diff-bias]])</f>
        <v>2.2775130415997324E-3</v>
      </c>
      <c r="R84" s="57">
        <f ca="1">CELL("row",Table223421023456789[[#This Row],[Position]])</f>
        <v>84</v>
      </c>
      <c r="S84" s="4">
        <f>Table223421023456789[[#This Row],[REF]]-D$13</f>
        <v>0.35999964999999889</v>
      </c>
      <c r="T84" s="4">
        <f>ABS(Table223421023456789[[#This Row],[lab-med]])</f>
        <v>0.35999964999999889</v>
      </c>
      <c r="U84" s="4">
        <f>Table223421023456789[[#This Row],[Joris ]]-F$13</f>
        <v>0.32199952893279971</v>
      </c>
      <c r="V84" s="4">
        <f>ABS(Table223421023456789[[#This Row],[anl-med]])</f>
        <v>0.32199952893279971</v>
      </c>
      <c r="W84" s="4">
        <f>Table223421023456789[[#This Row],[lab-med]]*Table223421023456789[[#This Row],[anl-med]]</f>
        <v>0.11591971771597241</v>
      </c>
    </row>
    <row r="85" spans="2:23" x14ac:dyDescent="0.25">
      <c r="B85" s="46">
        <f ca="1">VALUE((Table223421023456789[[#This Row],[Column3]]-62))</f>
        <v>23</v>
      </c>
      <c r="C85" t="s">
        <v>91</v>
      </c>
      <c r="D85">
        <v>11.5900002</v>
      </c>
      <c r="E85"/>
      <c r="F85">
        <v>13.31393854148906</v>
      </c>
      <c r="G85" s="29">
        <f>Table223421023456789[[#This Row],[Joris ]]-Table223421023456789[[#This Row],[REF]]</f>
        <v>1.7239383414890597</v>
      </c>
      <c r="H85" s="29">
        <f>Table223421023456789[[#This Row],[X-Y]]-E$20</f>
        <v>0.96240481160598002</v>
      </c>
      <c r="I85" s="29">
        <f>Table223421023456789[[#This Row],[Joris ]]-E$20</f>
        <v>12.55240501160598</v>
      </c>
      <c r="J85" s="29">
        <f>Table223421023456789[[#This Row],[Joris ]]*E$21+E$22</f>
        <v>11.968202614181488</v>
      </c>
      <c r="K85" s="56">
        <f>Table223421023456789[[#This Row],[Yest]]-Table223421023456789[[#This Row],[REF]]</f>
        <v>0.37820241418148726</v>
      </c>
      <c r="L85" s="56">
        <f>ABS(Table223421023456789[[#This Row],[RESyx]])</f>
        <v>0.37820241418148726</v>
      </c>
      <c r="M85" s="29">
        <f>Table223421023456789[[#This Row],[Joris ]]*E$25+E$26</f>
        <v>12.291197754121146</v>
      </c>
      <c r="N85" s="29">
        <f>Table223421023456789[[#This Row],[X-Y]]^2</f>
        <v>2.9719634052560497</v>
      </c>
      <c r="O85" s="57">
        <f>Table223421023456789[[#This Row],[yest_rect]]-Table223421023456789[[#This Row],[REF]]</f>
        <v>0.70119755412114593</v>
      </c>
      <c r="P85" s="57">
        <f>Table223421023456789[[#This Row],[dif rec]]^2</f>
        <v>0.49167800990547739</v>
      </c>
      <c r="Q85" s="57">
        <f>ABS(Table223421023456789[[#This Row],[diff-bias]])</f>
        <v>0.96240481160598002</v>
      </c>
      <c r="R85" s="57">
        <f ca="1">CELL("row",Table223421023456789[[#This Row],[Position]])</f>
        <v>85</v>
      </c>
      <c r="S85" s="4">
        <f>Table223421023456789[[#This Row],[REF]]-D$13</f>
        <v>0.57999994999999949</v>
      </c>
      <c r="T85" s="4">
        <f>ABS(Table223421023456789[[#This Row],[lab-med]])</f>
        <v>0.57999994999999949</v>
      </c>
      <c r="U85" s="4">
        <f>Table223421023456789[[#This Row],[Joris ]]-F$13</f>
        <v>1.5021271274971806</v>
      </c>
      <c r="V85" s="4">
        <f>ABS(Table223421023456789[[#This Row],[anl-med]])</f>
        <v>1.5021271274971806</v>
      </c>
      <c r="W85" s="4">
        <f>Table223421023456789[[#This Row],[lab-med]]*Table223421023456789[[#This Row],[anl-med]]</f>
        <v>0.87123365884200754</v>
      </c>
    </row>
    <row r="86" spans="2:23" x14ac:dyDescent="0.25">
      <c r="B86" s="46">
        <f ca="1">VALUE((Table223421023456789[[#This Row],[Column3]]-62))</f>
        <v>24</v>
      </c>
      <c r="C86" t="s">
        <v>92</v>
      </c>
      <c r="D86">
        <v>9.8800001000000002</v>
      </c>
      <c r="E86"/>
      <c r="F86">
        <v>11.066709165907479</v>
      </c>
      <c r="G86" s="29">
        <f>Table223421023456789[[#This Row],[Joris ]]-Table223421023456789[[#This Row],[REF]]</f>
        <v>1.186709065907479</v>
      </c>
      <c r="H86" s="29">
        <f>Table223421023456789[[#This Row],[X-Y]]-E$20</f>
        <v>0.42517553602439939</v>
      </c>
      <c r="I86" s="29">
        <f>Table223421023456789[[#This Row],[Joris ]]-E$20</f>
        <v>10.3051756360244</v>
      </c>
      <c r="J86" s="29">
        <f>Table223421023456789[[#This Row],[Joris ]]*E$21+E$22</f>
        <v>10.630829923565718</v>
      </c>
      <c r="K86" s="56">
        <f>Table223421023456789[[#This Row],[Yest]]-Table223421023456789[[#This Row],[REF]]</f>
        <v>0.75082982356571826</v>
      </c>
      <c r="L86" s="56">
        <f>ABS(Table223421023456789[[#This Row],[RESyx]])</f>
        <v>0.75082982356571826</v>
      </c>
      <c r="M86" s="29">
        <f>Table223421023456789[[#This Row],[Joris ]]*E$25+E$26</f>
        <v>10.450781446120105</v>
      </c>
      <c r="N86" s="29">
        <f>Table223421023456789[[#This Row],[X-Y]]^2</f>
        <v>1.4082784071070014</v>
      </c>
      <c r="O86" s="57">
        <f>Table223421023456789[[#This Row],[yest_rect]]-Table223421023456789[[#This Row],[REF]]</f>
        <v>0.57078134612010523</v>
      </c>
      <c r="P86" s="57">
        <f>Table223421023456789[[#This Row],[dif rec]]^2</f>
        <v>0.32579134507867935</v>
      </c>
      <c r="Q86" s="57">
        <f>ABS(Table223421023456789[[#This Row],[diff-bias]])</f>
        <v>0.42517553602439939</v>
      </c>
      <c r="R86" s="57">
        <f ca="1">CELL("row",Table223421023456789[[#This Row],[Position]])</f>
        <v>86</v>
      </c>
      <c r="S86" s="4">
        <f>Table223421023456789[[#This Row],[REF]]-D$13</f>
        <v>-1.1300001500000008</v>
      </c>
      <c r="T86" s="4">
        <f>ABS(Table223421023456789[[#This Row],[lab-med]])</f>
        <v>1.1300001500000008</v>
      </c>
      <c r="U86" s="4">
        <f>Table223421023456789[[#This Row],[Joris ]]-F$13</f>
        <v>-0.74510224808440029</v>
      </c>
      <c r="V86" s="4">
        <f>ABS(Table223421023456789[[#This Row],[anl-med]])</f>
        <v>0.74510224808440029</v>
      </c>
      <c r="W86" s="4">
        <f>Table223421023456789[[#This Row],[lab-med]]*Table223421023456789[[#This Row],[anl-med]]</f>
        <v>0.84196565210071006</v>
      </c>
    </row>
    <row r="87" spans="2:23" x14ac:dyDescent="0.25">
      <c r="B87" s="46">
        <f ca="1">VALUE((Table223421023456789[[#This Row],[Column3]]-62))</f>
        <v>25</v>
      </c>
      <c r="C87" t="s">
        <v>93</v>
      </c>
      <c r="D87">
        <v>11.8400002</v>
      </c>
      <c r="E87"/>
      <c r="F87">
        <v>13.113774023772841</v>
      </c>
      <c r="G87" s="29">
        <f>Table223421023456789[[#This Row],[Joris ]]-Table223421023456789[[#This Row],[REF]]</f>
        <v>1.2737738237728404</v>
      </c>
      <c r="H87" s="29">
        <f>Table223421023456789[[#This Row],[X-Y]]-E$20</f>
        <v>0.51224029388976078</v>
      </c>
      <c r="I87" s="29">
        <f>Table223421023456789[[#This Row],[Joris ]]-E$20</f>
        <v>12.352240493889761</v>
      </c>
      <c r="J87" s="29">
        <f>Table223421023456789[[#This Row],[Joris ]]*E$21+E$22</f>
        <v>11.84908056881633</v>
      </c>
      <c r="K87" s="56">
        <f>Table223421023456789[[#This Row],[Yest]]-Table223421023456789[[#This Row],[REF]]</f>
        <v>9.0803688163294538E-3</v>
      </c>
      <c r="L87" s="56">
        <f>ABS(Table223421023456789[[#This Row],[RESyx]])</f>
        <v>9.0803688163294538E-3</v>
      </c>
      <c r="M87" s="29">
        <f>Table223421023456789[[#This Row],[Joris ]]*E$25+E$26</f>
        <v>12.127268763742602</v>
      </c>
      <c r="N87" s="29">
        <f>Table223421023456789[[#This Row],[X-Y]]^2</f>
        <v>1.6224997541288833</v>
      </c>
      <c r="O87" s="57">
        <f>Table223421023456789[[#This Row],[yest_rect]]-Table223421023456789[[#This Row],[REF]]</f>
        <v>0.28726856374260201</v>
      </c>
      <c r="P87" s="57">
        <f>Table223421023456789[[#This Row],[dif rec]]^2</f>
        <v>8.2523227714737399E-2</v>
      </c>
      <c r="Q87" s="57">
        <f>ABS(Table223421023456789[[#This Row],[diff-bias]])</f>
        <v>0.51224029388976078</v>
      </c>
      <c r="R87" s="57">
        <f ca="1">CELL("row",Table223421023456789[[#This Row],[Position]])</f>
        <v>87</v>
      </c>
      <c r="S87" s="4">
        <f>Table223421023456789[[#This Row],[REF]]-D$13</f>
        <v>0.82999994999999949</v>
      </c>
      <c r="T87" s="4">
        <f>ABS(Table223421023456789[[#This Row],[lab-med]])</f>
        <v>0.82999994999999949</v>
      </c>
      <c r="U87" s="4">
        <f>Table223421023456789[[#This Row],[Joris ]]-F$13</f>
        <v>1.3019626097809613</v>
      </c>
      <c r="V87" s="4">
        <f>ABS(Table223421023456789[[#This Row],[anl-med]])</f>
        <v>1.3019626097809613</v>
      </c>
      <c r="W87" s="4">
        <f>Table223421023456789[[#This Row],[lab-med]]*Table223421023456789[[#This Row],[anl-med]]</f>
        <v>1.0806289010200667</v>
      </c>
    </row>
    <row r="88" spans="2:23" x14ac:dyDescent="0.25">
      <c r="B88" s="46">
        <f ca="1">VALUE((Table223421023456789[[#This Row],[Column3]]-62))</f>
        <v>26</v>
      </c>
      <c r="C88" t="s">
        <v>94</v>
      </c>
      <c r="D88">
        <v>10</v>
      </c>
      <c r="E88"/>
      <c r="F88">
        <v>10.468783802706559</v>
      </c>
      <c r="G88" s="29">
        <f>Table223421023456789[[#This Row],[Joris ]]-Table223421023456789[[#This Row],[REF]]</f>
        <v>0.46878380270655917</v>
      </c>
      <c r="H88" s="29">
        <f>Table223421023456789[[#This Row],[X-Y]]-E$20</f>
        <v>-0.29274972717652048</v>
      </c>
      <c r="I88" s="29">
        <f>Table223421023456789[[#This Row],[Joris ]]-E$20</f>
        <v>9.7072502728234795</v>
      </c>
      <c r="J88" s="29">
        <f>Table223421023456789[[#This Row],[Joris ]]*E$21+E$22</f>
        <v>10.274992170437168</v>
      </c>
      <c r="K88" s="56">
        <f>Table223421023456789[[#This Row],[Yest]]-Table223421023456789[[#This Row],[REF]]</f>
        <v>0.27499217043716762</v>
      </c>
      <c r="L88" s="56">
        <f>ABS(Table223421023456789[[#This Row],[RESyx]])</f>
        <v>0.27499217043716762</v>
      </c>
      <c r="M88" s="29">
        <f>Table223421023456789[[#This Row],[Joris ]]*E$25+E$26</f>
        <v>9.961097748781631</v>
      </c>
      <c r="N88" s="29">
        <f>Table223421023456789[[#This Row],[X-Y]]^2</f>
        <v>0.21975825368002219</v>
      </c>
      <c r="O88" s="57">
        <f>Table223421023456789[[#This Row],[yest_rect]]-Table223421023456789[[#This Row],[REF]]</f>
        <v>-3.8902251218368988E-2</v>
      </c>
      <c r="P88" s="57">
        <f>Table223421023456789[[#This Row],[dif rec]]^2</f>
        <v>1.5133851498570915E-3</v>
      </c>
      <c r="Q88" s="57">
        <f>ABS(Table223421023456789[[#This Row],[diff-bias]])</f>
        <v>0.29274972717652048</v>
      </c>
      <c r="R88" s="57">
        <f ca="1">CELL("row",Table223421023456789[[#This Row],[Position]])</f>
        <v>88</v>
      </c>
      <c r="S88" s="4">
        <f>Table223421023456789[[#This Row],[REF]]-D$13</f>
        <v>-1.0100002500000009</v>
      </c>
      <c r="T88" s="4">
        <f>ABS(Table223421023456789[[#This Row],[lab-med]])</f>
        <v>1.0100002500000009</v>
      </c>
      <c r="U88" s="4">
        <f>Table223421023456789[[#This Row],[Joris ]]-F$13</f>
        <v>-1.3430276112853203</v>
      </c>
      <c r="V88" s="4">
        <f>ABS(Table223421023456789[[#This Row],[anl-med]])</f>
        <v>1.3430276112853203</v>
      </c>
      <c r="W88" s="4">
        <f>Table223421023456789[[#This Row],[lab-med]]*Table223421023456789[[#This Row],[anl-med]]</f>
        <v>1.3564582231550777</v>
      </c>
    </row>
    <row r="89" spans="2:23" x14ac:dyDescent="0.25">
      <c r="B89" s="46">
        <f ca="1">VALUE((Table223421023456789[[#This Row],[Column3]]-62))</f>
        <v>27</v>
      </c>
      <c r="C89" t="s">
        <v>95</v>
      </c>
      <c r="D89">
        <v>10.100000400000001</v>
      </c>
      <c r="E89"/>
      <c r="F89">
        <v>10.170732378091641</v>
      </c>
      <c r="G89" s="29">
        <f>Table223421023456789[[#This Row],[Joris ]]-Table223421023456789[[#This Row],[REF]]</f>
        <v>7.0731978091640002E-2</v>
      </c>
      <c r="H89" s="29">
        <f>Table223421023456789[[#This Row],[X-Y]]-E$20</f>
        <v>-0.69080155179143965</v>
      </c>
      <c r="I89" s="29">
        <f>Table223421023456789[[#This Row],[Joris ]]-E$20</f>
        <v>9.4091988482085611</v>
      </c>
      <c r="J89" s="29">
        <f>Table223421023456789[[#This Row],[Joris ]]*E$21+E$22</f>
        <v>10.097615601756475</v>
      </c>
      <c r="K89" s="56">
        <f>Table223421023456789[[#This Row],[Yest]]-Table223421023456789[[#This Row],[REF]]</f>
        <v>-2.3847982435256654E-3</v>
      </c>
      <c r="L89" s="56">
        <f>ABS(Table223421023456789[[#This Row],[RESyx]])</f>
        <v>2.3847982435256654E-3</v>
      </c>
      <c r="M89" s="29">
        <f>Table223421023456789[[#This Row],[Joris ]]*E$25+E$26</f>
        <v>9.7170021934081259</v>
      </c>
      <c r="N89" s="29">
        <f>Table223421023456789[[#This Row],[X-Y]]^2</f>
        <v>5.0030127247562414E-3</v>
      </c>
      <c r="O89" s="57">
        <f>Table223421023456789[[#This Row],[yest_rect]]-Table223421023456789[[#This Row],[REF]]</f>
        <v>-0.38299820659187489</v>
      </c>
      <c r="P89" s="57">
        <f>Table223421023456789[[#This Row],[dif rec]]^2</f>
        <v>0.14668762625259249</v>
      </c>
      <c r="Q89" s="57">
        <f>ABS(Table223421023456789[[#This Row],[diff-bias]])</f>
        <v>0.69080155179143965</v>
      </c>
      <c r="R89" s="57">
        <f ca="1">CELL("row",Table223421023456789[[#This Row],[Position]])</f>
        <v>89</v>
      </c>
      <c r="S89" s="4">
        <f>Table223421023456789[[#This Row],[REF]]-D$13</f>
        <v>-0.90999985000000017</v>
      </c>
      <c r="T89" s="4">
        <f>ABS(Table223421023456789[[#This Row],[lab-med]])</f>
        <v>0.90999985000000017</v>
      </c>
      <c r="U89" s="4">
        <f>Table223421023456789[[#This Row],[Joris ]]-F$13</f>
        <v>-1.6410790359002387</v>
      </c>
      <c r="V89" s="4">
        <f>ABS(Table223421023456789[[#This Row],[anl-med]])</f>
        <v>1.6410790359002387</v>
      </c>
      <c r="W89" s="4">
        <f>Table223421023456789[[#This Row],[lab-med]]*Table223421023456789[[#This Row],[anl-med]]</f>
        <v>1.4933816765073622</v>
      </c>
    </row>
    <row r="90" spans="2:23" x14ac:dyDescent="0.25">
      <c r="B90" s="46">
        <f ca="1">VALUE((Table223421023456789[[#This Row],[Column3]]-62))</f>
        <v>28</v>
      </c>
      <c r="C90" t="s">
        <v>96</v>
      </c>
      <c r="D90">
        <v>11.399999599999999</v>
      </c>
      <c r="E90"/>
      <c r="F90">
        <v>11.442023817097811</v>
      </c>
      <c r="G90" s="29">
        <f>Table223421023456789[[#This Row],[Joris ]]-Table223421023456789[[#This Row],[REF]]</f>
        <v>4.2024217097811345E-2</v>
      </c>
      <c r="H90" s="29">
        <f>Table223421023456789[[#This Row],[X-Y]]-E$20</f>
        <v>-0.71950931278526831</v>
      </c>
      <c r="I90" s="29">
        <f>Table223421023456789[[#This Row],[Joris ]]-E$20</f>
        <v>10.680490287214731</v>
      </c>
      <c r="J90" s="29">
        <f>Table223421023456789[[#This Row],[Joris ]]*E$21+E$22</f>
        <v>10.854187436752387</v>
      </c>
      <c r="K90" s="56">
        <f>Table223421023456789[[#This Row],[Yest]]-Table223421023456789[[#This Row],[REF]]</f>
        <v>-0.5458121632476125</v>
      </c>
      <c r="L90" s="56">
        <f>ABS(Table223421023456789[[#This Row],[RESyx]])</f>
        <v>0.5458121632476125</v>
      </c>
      <c r="M90" s="29">
        <f>Table223421023456789[[#This Row],[Joris ]]*E$25+E$26</f>
        <v>10.758153364709255</v>
      </c>
      <c r="N90" s="29">
        <f>Table223421023456789[[#This Row],[X-Y]]^2</f>
        <v>1.7660348226839794E-3</v>
      </c>
      <c r="O90" s="57">
        <f>Table223421023456789[[#This Row],[yest_rect]]-Table223421023456789[[#This Row],[REF]]</f>
        <v>-0.64184623529074436</v>
      </c>
      <c r="P90" s="57">
        <f>Table223421023456789[[#This Row],[dif rec]]^2</f>
        <v>0.41196658975690159</v>
      </c>
      <c r="Q90" s="57">
        <f>ABS(Table223421023456789[[#This Row],[diff-bias]])</f>
        <v>0.71950931278526831</v>
      </c>
      <c r="R90" s="57">
        <f ca="1">CELL("row",Table223421023456789[[#This Row],[Position]])</f>
        <v>90</v>
      </c>
      <c r="S90" s="4">
        <f>Table223421023456789[[#This Row],[REF]]-D$13</f>
        <v>0.3899993499999983</v>
      </c>
      <c r="T90" s="4">
        <f>ABS(Table223421023456789[[#This Row],[lab-med]])</f>
        <v>0.3899993499999983</v>
      </c>
      <c r="U90" s="4">
        <f>Table223421023456789[[#This Row],[Joris ]]-F$13</f>
        <v>-0.36978759689406893</v>
      </c>
      <c r="V90" s="4">
        <f>ABS(Table223421023456789[[#This Row],[anl-med]])</f>
        <v>0.36978759689406893</v>
      </c>
      <c r="W90" s="4">
        <f>Table223421023456789[[#This Row],[lab-med]]*Table223421023456789[[#This Row],[anl-med]]</f>
        <v>-0.14421692242674827</v>
      </c>
    </row>
    <row r="91" spans="2:23" x14ac:dyDescent="0.25">
      <c r="B91" s="46">
        <f ca="1">VALUE((Table223421023456789[[#This Row],[Column3]]-62))</f>
        <v>29</v>
      </c>
      <c r="C91" t="s">
        <v>97</v>
      </c>
      <c r="D91">
        <v>10.279999699999999</v>
      </c>
      <c r="E91"/>
      <c r="F91">
        <v>12.154008647872431</v>
      </c>
      <c r="G91" s="29">
        <f>Table223421023456789[[#This Row],[Joris ]]-Table223421023456789[[#This Row],[REF]]</f>
        <v>1.8740089478724311</v>
      </c>
      <c r="H91" s="29">
        <f>Table223421023456789[[#This Row],[X-Y]]-E$20</f>
        <v>1.1124754179893515</v>
      </c>
      <c r="I91" s="29">
        <f>Table223421023456789[[#This Row],[Joris ]]-E$20</f>
        <v>11.392475117989351</v>
      </c>
      <c r="J91" s="29">
        <f>Table223421023456789[[#This Row],[Joris ]]*E$21+E$22</f>
        <v>11.277904338621489</v>
      </c>
      <c r="K91" s="56">
        <f>Table223421023456789[[#This Row],[Yest]]-Table223421023456789[[#This Row],[REF]]</f>
        <v>0.99790463862149004</v>
      </c>
      <c r="L91" s="56">
        <f>ABS(Table223421023456789[[#This Row],[RESyx]])</f>
        <v>0.99790463862149004</v>
      </c>
      <c r="M91" s="29">
        <f>Table223421023456789[[#This Row],[Joris ]]*E$25+E$26</f>
        <v>11.341248489686363</v>
      </c>
      <c r="N91" s="29">
        <f>Table223421023456789[[#This Row],[X-Y]]^2</f>
        <v>3.5119095367059363</v>
      </c>
      <c r="O91" s="57">
        <f>Table223421023456789[[#This Row],[yest_rect]]-Table223421023456789[[#This Row],[REF]]</f>
        <v>1.0612487896863634</v>
      </c>
      <c r="P91" s="57">
        <f>Table223421023456789[[#This Row],[dif rec]]^2</f>
        <v>1.1262489936107711</v>
      </c>
      <c r="Q91" s="57">
        <f>ABS(Table223421023456789[[#This Row],[diff-bias]])</f>
        <v>1.1124754179893515</v>
      </c>
      <c r="R91" s="57">
        <f ca="1">CELL("row",Table223421023456789[[#This Row],[Position]])</f>
        <v>91</v>
      </c>
      <c r="S91" s="4">
        <f>Table223421023456789[[#This Row],[REF]]-D$13</f>
        <v>-0.73000055000000152</v>
      </c>
      <c r="T91" s="4">
        <f>ABS(Table223421023456789[[#This Row],[lab-med]])</f>
        <v>0.73000055000000152</v>
      </c>
      <c r="U91" s="4">
        <f>Table223421023456789[[#This Row],[Joris ]]-F$13</f>
        <v>0.34219723388055101</v>
      </c>
      <c r="V91" s="4">
        <f>ABS(Table223421023456789[[#This Row],[anl-med]])</f>
        <v>0.34219723388055101</v>
      </c>
      <c r="W91" s="4">
        <f>Table223421023456789[[#This Row],[lab-med]]*Table223421023456789[[#This Row],[anl-med]]</f>
        <v>-0.24980416894128141</v>
      </c>
    </row>
    <row r="92" spans="2:23" x14ac:dyDescent="0.25">
      <c r="B92" s="46">
        <f ca="1">VALUE((Table223421023456789[[#This Row],[Column3]]-62))</f>
        <v>30</v>
      </c>
      <c r="C92" t="s">
        <v>98</v>
      </c>
      <c r="D92">
        <v>12.21</v>
      </c>
      <c r="E92"/>
      <c r="F92">
        <v>14.37744433091399</v>
      </c>
      <c r="G92" s="29">
        <f>Table223421023456789[[#This Row],[Joris ]]-Table223421023456789[[#This Row],[REF]]</f>
        <v>2.1674443309139892</v>
      </c>
      <c r="H92" s="29">
        <f>Table223421023456789[[#This Row],[X-Y]]-E$20</f>
        <v>1.4059108010309096</v>
      </c>
      <c r="I92" s="29">
        <f>Table223421023456789[[#This Row],[Joris ]]-E$20</f>
        <v>13.61591080103091</v>
      </c>
      <c r="J92" s="29">
        <f>Table223421023456789[[#This Row],[Joris ]]*E$21+E$22</f>
        <v>12.601116910578391</v>
      </c>
      <c r="K92" s="56">
        <f>Table223421023456789[[#This Row],[Yest]]-Table223421023456789[[#This Row],[REF]]</f>
        <v>0.39111691057838982</v>
      </c>
      <c r="L92" s="56">
        <f>ABS(Table223421023456789[[#This Row],[RESyx]])</f>
        <v>0.39111691057838982</v>
      </c>
      <c r="M92" s="29">
        <f>Table223421023456789[[#This Row],[Joris ]]*E$25+E$26</f>
        <v>13.162178446959684</v>
      </c>
      <c r="N92" s="29">
        <f>Table223421023456789[[#This Row],[X-Y]]^2</f>
        <v>4.6978149276111907</v>
      </c>
      <c r="O92" s="57">
        <f>Table223421023456789[[#This Row],[yest_rect]]-Table223421023456789[[#This Row],[REF]]</f>
        <v>0.95217844695968346</v>
      </c>
      <c r="P92" s="57">
        <f>Table223421023456789[[#This Row],[dif rec]]^2</f>
        <v>0.90664379485455471</v>
      </c>
      <c r="Q92" s="57">
        <f>ABS(Table223421023456789[[#This Row],[diff-bias]])</f>
        <v>1.4059108010309096</v>
      </c>
      <c r="R92" s="57">
        <f ca="1">CELL("row",Table223421023456789[[#This Row],[Position]])</f>
        <v>92</v>
      </c>
      <c r="S92" s="4">
        <f>Table223421023456789[[#This Row],[REF]]-D$13</f>
        <v>1.1999997499999999</v>
      </c>
      <c r="T92" s="4">
        <f>ABS(Table223421023456789[[#This Row],[lab-med]])</f>
        <v>1.1999997499999999</v>
      </c>
      <c r="U92" s="4">
        <f>Table223421023456789[[#This Row],[Joris ]]-F$13</f>
        <v>2.5656329169221106</v>
      </c>
      <c r="V92" s="4">
        <f>ABS(Table223421023456789[[#This Row],[anl-med]])</f>
        <v>2.5656329169221106</v>
      </c>
      <c r="W92" s="4">
        <f>Table223421023456789[[#This Row],[lab-med]]*Table223421023456789[[#This Row],[anl-med]]</f>
        <v>3.0787588588983033</v>
      </c>
    </row>
    <row r="93" spans="2:23" x14ac:dyDescent="0.25">
      <c r="B93" s="46">
        <f ca="1">VALUE((Table223421023456789[[#This Row],[Column3]]-62))</f>
        <v>31</v>
      </c>
      <c r="C93" t="s">
        <v>99</v>
      </c>
      <c r="D93">
        <v>11.9399996</v>
      </c>
      <c r="E93"/>
      <c r="F93">
        <v>12.474578084412309</v>
      </c>
      <c r="G93" s="29">
        <f>Table223421023456789[[#This Row],[Joris ]]-Table223421023456789[[#This Row],[REF]]</f>
        <v>0.53457848441230915</v>
      </c>
      <c r="H93" s="29">
        <f>Table223421023456789[[#This Row],[X-Y]]-E$20</f>
        <v>-0.2269550454707705</v>
      </c>
      <c r="I93" s="29">
        <f>Table223421023456789[[#This Row],[Joris ]]-E$20</f>
        <v>11.71304455452923</v>
      </c>
      <c r="J93" s="29">
        <f>Table223421023456789[[#This Row],[Joris ]]*E$21+E$22</f>
        <v>11.468681842036586</v>
      </c>
      <c r="K93" s="56">
        <f>Table223421023456789[[#This Row],[Yest]]-Table223421023456789[[#This Row],[REF]]</f>
        <v>-0.4713177579634138</v>
      </c>
      <c r="L93" s="56">
        <f>ABS(Table223421023456789[[#This Row],[RESyx]])</f>
        <v>0.4713177579634138</v>
      </c>
      <c r="M93" s="29">
        <f>Table223421023456789[[#This Row],[Joris ]]*E$25+E$26</f>
        <v>11.603785650007175</v>
      </c>
      <c r="N93" s="29">
        <f>Table223421023456789[[#This Row],[X-Y]]^2</f>
        <v>0.28577415599656147</v>
      </c>
      <c r="O93" s="57">
        <f>Table223421023456789[[#This Row],[yest_rect]]-Table223421023456789[[#This Row],[REF]]</f>
        <v>-0.33621394999282472</v>
      </c>
      <c r="P93" s="57">
        <f>Table223421023456789[[#This Row],[dif rec]]^2</f>
        <v>0.11303982016977765</v>
      </c>
      <c r="Q93" s="57">
        <f>ABS(Table223421023456789[[#This Row],[diff-bias]])</f>
        <v>0.2269550454707705</v>
      </c>
      <c r="R93" s="57">
        <f ca="1">CELL("row",Table223421023456789[[#This Row],[Position]])</f>
        <v>93</v>
      </c>
      <c r="S93" s="4">
        <f>Table223421023456789[[#This Row],[REF]]-D$13</f>
        <v>0.92999934999999923</v>
      </c>
      <c r="T93" s="4">
        <f>ABS(Table223421023456789[[#This Row],[lab-med]])</f>
        <v>0.92999934999999923</v>
      </c>
      <c r="U93" s="4">
        <f>Table223421023456789[[#This Row],[Joris ]]-F$13</f>
        <v>0.6627666704204298</v>
      </c>
      <c r="V93" s="4">
        <f>ABS(Table223421023456789[[#This Row],[anl-med]])</f>
        <v>0.6627666704204298</v>
      </c>
      <c r="W93" s="4">
        <f>Table223421023456789[[#This Row],[lab-med]]*Table223421023456789[[#This Row],[anl-med]]</f>
        <v>0.61637257269266343</v>
      </c>
    </row>
    <row r="94" spans="2:23" x14ac:dyDescent="0.25">
      <c r="B94" s="46">
        <f ca="1">VALUE((Table223421023456789[[#This Row],[Column3]]-62))</f>
        <v>32</v>
      </c>
      <c r="C94" t="s">
        <v>100</v>
      </c>
      <c r="D94">
        <v>10.3699999</v>
      </c>
      <c r="E94"/>
      <c r="F94">
        <v>11.24834753373827</v>
      </c>
      <c r="G94" s="29">
        <f>Table223421023456789[[#This Row],[Joris ]]-Table223421023456789[[#This Row],[REF]]</f>
        <v>0.87834763373827052</v>
      </c>
      <c r="H94" s="29">
        <f>Table223421023456789[[#This Row],[X-Y]]-E$20</f>
        <v>0.11681410385519087</v>
      </c>
      <c r="I94" s="29">
        <f>Table223421023456789[[#This Row],[Joris ]]-E$20</f>
        <v>10.486814003855191</v>
      </c>
      <c r="J94" s="29">
        <f>Table223421023456789[[#This Row],[Joris ]]*E$21+E$22</f>
        <v>10.738926673877224</v>
      </c>
      <c r="K94" s="56">
        <f>Table223421023456789[[#This Row],[Yest]]-Table223421023456789[[#This Row],[REF]]</f>
        <v>0.36892677387722372</v>
      </c>
      <c r="L94" s="56">
        <f>ABS(Table223421023456789[[#This Row],[RESyx]])</f>
        <v>0.36892677387722372</v>
      </c>
      <c r="M94" s="29">
        <f>Table223421023456789[[#This Row],[Joris ]]*E$25+E$26</f>
        <v>10.599538051897371</v>
      </c>
      <c r="N94" s="29">
        <f>Table223421023456789[[#This Row],[X-Y]]^2</f>
        <v>0.77149456569361896</v>
      </c>
      <c r="O94" s="57">
        <f>Table223421023456789[[#This Row],[yest_rect]]-Table223421023456789[[#This Row],[REF]]</f>
        <v>0.22953815189737092</v>
      </c>
      <c r="P94" s="57">
        <f>Table223421023456789[[#This Row],[dif rec]]^2</f>
        <v>5.2687763176460525E-2</v>
      </c>
      <c r="Q94" s="57">
        <f>ABS(Table223421023456789[[#This Row],[diff-bias]])</f>
        <v>0.11681410385519087</v>
      </c>
      <c r="R94" s="57">
        <f ca="1">CELL("row",Table223421023456789[[#This Row],[Position]])</f>
        <v>94</v>
      </c>
      <c r="S94" s="4">
        <f>Table223421023456789[[#This Row],[REF]]-D$13</f>
        <v>-0.64000035000000111</v>
      </c>
      <c r="T94" s="4">
        <f>ABS(Table223421023456789[[#This Row],[lab-med]])</f>
        <v>0.64000035000000111</v>
      </c>
      <c r="U94" s="4">
        <f>Table223421023456789[[#This Row],[Joris ]]-F$13</f>
        <v>-0.56346388025360916</v>
      </c>
      <c r="V94" s="4">
        <f>ABS(Table223421023456789[[#This Row],[anl-med]])</f>
        <v>0.56346388025360916</v>
      </c>
      <c r="W94" s="4">
        <f>Table223421023456789[[#This Row],[lab-med]]*Table223421023456789[[#This Row],[anl-med]]</f>
        <v>0.36061708057466857</v>
      </c>
    </row>
    <row r="95" spans="2:23" x14ac:dyDescent="0.25">
      <c r="B95" s="46">
        <f ca="1">VALUE((Table223421023456789[[#This Row],[Column3]]-62))</f>
        <v>33</v>
      </c>
      <c r="C95" t="s">
        <v>101</v>
      </c>
      <c r="D95">
        <v>10.3800001</v>
      </c>
      <c r="E95"/>
      <c r="F95">
        <v>11.39560976928643</v>
      </c>
      <c r="G95" s="29">
        <f>Table223421023456789[[#This Row],[Joris ]]-Table223421023456789[[#This Row],[REF]]</f>
        <v>1.0156096692864303</v>
      </c>
      <c r="H95" s="29">
        <f>Table223421023456789[[#This Row],[X-Y]]-E$20</f>
        <v>0.25407613940335061</v>
      </c>
      <c r="I95" s="29">
        <f>Table223421023456789[[#This Row],[Joris ]]-E$20</f>
        <v>10.634076239403351</v>
      </c>
      <c r="J95" s="29">
        <f>Table223421023456789[[#This Row],[Joris ]]*E$21+E$22</f>
        <v>10.826565476716461</v>
      </c>
      <c r="K95" s="56">
        <f>Table223421023456789[[#This Row],[Yest]]-Table223421023456789[[#This Row],[REF]]</f>
        <v>0.44656537671646035</v>
      </c>
      <c r="L95" s="56">
        <f>ABS(Table223421023456789[[#This Row],[RESyx]])</f>
        <v>0.44656537671646035</v>
      </c>
      <c r="M95" s="29">
        <f>Table223421023456789[[#This Row],[Joris ]]*E$25+E$26</f>
        <v>10.720141592773292</v>
      </c>
      <c r="N95" s="29">
        <f>Table223421023456789[[#This Row],[X-Y]]^2</f>
        <v>1.0314630003480922</v>
      </c>
      <c r="O95" s="57">
        <f>Table223421023456789[[#This Row],[yest_rect]]-Table223421023456789[[#This Row],[REF]]</f>
        <v>0.34014149277329153</v>
      </c>
      <c r="P95" s="57">
        <f>Table223421023456789[[#This Row],[dif rec]]^2</f>
        <v>0.11569623510604314</v>
      </c>
      <c r="Q95" s="57">
        <f>ABS(Table223421023456789[[#This Row],[diff-bias]])</f>
        <v>0.25407613940335061</v>
      </c>
      <c r="R95" s="57">
        <f ca="1">CELL("row",Table223421023456789[[#This Row],[Position]])</f>
        <v>95</v>
      </c>
      <c r="S95" s="4">
        <f>Table223421023456789[[#This Row],[REF]]-D$13</f>
        <v>-0.63000015000000076</v>
      </c>
      <c r="T95" s="4">
        <f>ABS(Table223421023456789[[#This Row],[lab-med]])</f>
        <v>0.63000015000000076</v>
      </c>
      <c r="U95" s="4">
        <f>Table223421023456789[[#This Row],[Joris ]]-F$13</f>
        <v>-0.41620164470544907</v>
      </c>
      <c r="V95" s="4">
        <f>ABS(Table223421023456789[[#This Row],[anl-med]])</f>
        <v>0.41620164470544907</v>
      </c>
      <c r="W95" s="4">
        <f>Table223421023456789[[#This Row],[lab-med]]*Table223421023456789[[#This Row],[anl-med]]</f>
        <v>0.26220709859467994</v>
      </c>
    </row>
    <row r="96" spans="2:23" x14ac:dyDescent="0.25">
      <c r="B96" s="46">
        <f ca="1">VALUE((Table223421023456789[[#This Row],[Column3]]-62))</f>
        <v>34</v>
      </c>
      <c r="C96" t="s">
        <v>102</v>
      </c>
      <c r="D96">
        <v>9.8800001000000002</v>
      </c>
      <c r="E96"/>
      <c r="F96">
        <v>9.4032088645367633</v>
      </c>
      <c r="G96" s="29">
        <f>Table223421023456789[[#This Row],[Joris ]]-Table223421023456789[[#This Row],[REF]]</f>
        <v>-0.47679123546323687</v>
      </c>
      <c r="H96" s="29">
        <f>Table223421023456789[[#This Row],[X-Y]]-E$20</f>
        <v>-1.2383247653463165</v>
      </c>
      <c r="I96" s="29">
        <f>Table223421023456789[[#This Row],[Joris ]]-E$20</f>
        <v>8.6416753346536836</v>
      </c>
      <c r="J96" s="29">
        <f>Table223421023456789[[#This Row],[Joris ]]*E$21+E$22</f>
        <v>9.6408464808170038</v>
      </c>
      <c r="K96" s="56">
        <f>Table223421023456789[[#This Row],[Yest]]-Table223421023456789[[#This Row],[REF]]</f>
        <v>-0.23915361918299638</v>
      </c>
      <c r="L96" s="56">
        <f>ABS(Table223421023456789[[#This Row],[RESyx]])</f>
        <v>0.23915361918299638</v>
      </c>
      <c r="M96" s="29">
        <f>Table223421023456789[[#This Row],[Joris ]]*E$25+E$26</f>
        <v>9.0884224825563642</v>
      </c>
      <c r="N96" s="29">
        <f>Table223421023456789[[#This Row],[X-Y]]^2</f>
        <v>0.2273298822145598</v>
      </c>
      <c r="O96" s="57">
        <f>Table223421023456789[[#This Row],[yest_rect]]-Table223421023456789[[#This Row],[REF]]</f>
        <v>-0.79157761744363597</v>
      </c>
      <c r="P96" s="57">
        <f>Table223421023456789[[#This Row],[dif rec]]^2</f>
        <v>0.62659512443774334</v>
      </c>
      <c r="Q96" s="57">
        <f>ABS(Table223421023456789[[#This Row],[diff-bias]])</f>
        <v>1.2383247653463165</v>
      </c>
      <c r="R96" s="57">
        <f ca="1">CELL("row",Table223421023456789[[#This Row],[Position]])</f>
        <v>96</v>
      </c>
      <c r="S96" s="4">
        <f>Table223421023456789[[#This Row],[REF]]-D$13</f>
        <v>-1.1300001500000008</v>
      </c>
      <c r="T96" s="4">
        <f>ABS(Table223421023456789[[#This Row],[lab-med]])</f>
        <v>1.1300001500000008</v>
      </c>
      <c r="U96" s="4">
        <f>Table223421023456789[[#This Row],[Joris ]]-F$13</f>
        <v>-2.4086025494551162</v>
      </c>
      <c r="V96" s="4">
        <f>ABS(Table223421023456789[[#This Row],[anl-med]])</f>
        <v>2.4086025494551162</v>
      </c>
      <c r="W96" s="4">
        <f>Table223421023456789[[#This Row],[lab-med]]*Table223421023456789[[#This Row],[anl-med]]</f>
        <v>2.7217212421746657</v>
      </c>
    </row>
    <row r="97" spans="2:23" x14ac:dyDescent="0.25">
      <c r="B97" s="46">
        <f ca="1">VALUE((Table223421023456789[[#This Row],[Column3]]-62))</f>
        <v>35</v>
      </c>
      <c r="C97" t="s">
        <v>103</v>
      </c>
      <c r="D97">
        <v>12.079999900000001</v>
      </c>
      <c r="E97"/>
      <c r="F97">
        <v>14.252654087026359</v>
      </c>
      <c r="G97" s="29">
        <f>Table223421023456789[[#This Row],[Joris ]]-Table223421023456789[[#This Row],[REF]]</f>
        <v>2.1726541870263585</v>
      </c>
      <c r="H97" s="29">
        <f>Table223421023456789[[#This Row],[X-Y]]-E$20</f>
        <v>1.4111206571432788</v>
      </c>
      <c r="I97" s="29">
        <f>Table223421023456789[[#This Row],[Joris ]]-E$20</f>
        <v>13.49112055714328</v>
      </c>
      <c r="J97" s="29">
        <f>Table223421023456789[[#This Row],[Joris ]]*E$21+E$22</f>
        <v>12.526851654862156</v>
      </c>
      <c r="K97" s="56">
        <f>Table223421023456789[[#This Row],[Yest]]-Table223421023456789[[#This Row],[REF]]</f>
        <v>0.44685175486215556</v>
      </c>
      <c r="L97" s="56">
        <f>ABS(Table223421023456789[[#This Row],[RESyx]])</f>
        <v>0.44685175486215556</v>
      </c>
      <c r="M97" s="29">
        <f>Table223421023456789[[#This Row],[Joris ]]*E$25+E$26</f>
        <v>13.059978821756411</v>
      </c>
      <c r="N97" s="29">
        <f>Table223421023456789[[#This Row],[X-Y]]^2</f>
        <v>4.7204262164031663</v>
      </c>
      <c r="O97" s="57">
        <f>Table223421023456789[[#This Row],[yest_rect]]-Table223421023456789[[#This Row],[REF]]</f>
        <v>0.97997892175641077</v>
      </c>
      <c r="P97" s="57">
        <f>Table223421023456789[[#This Row],[dif rec]]^2</f>
        <v>0.96035868708685745</v>
      </c>
      <c r="Q97" s="57">
        <f>ABS(Table223421023456789[[#This Row],[diff-bias]])</f>
        <v>1.4111206571432788</v>
      </c>
      <c r="R97" s="57">
        <f ca="1">CELL("row",Table223421023456789[[#This Row],[Position]])</f>
        <v>97</v>
      </c>
      <c r="S97" s="4">
        <f>Table223421023456789[[#This Row],[REF]]-D$13</f>
        <v>1.0699996499999997</v>
      </c>
      <c r="T97" s="4">
        <f>ABS(Table223421023456789[[#This Row],[lab-med]])</f>
        <v>1.0699996499999997</v>
      </c>
      <c r="U97" s="4">
        <f>Table223421023456789[[#This Row],[Joris ]]-F$13</f>
        <v>2.4408426730344797</v>
      </c>
      <c r="V97" s="4">
        <f>ABS(Table223421023456789[[#This Row],[anl-med]])</f>
        <v>2.4408426730344797</v>
      </c>
      <c r="W97" s="4">
        <f>Table223421023456789[[#This Row],[lab-med]]*Table223421023456789[[#This Row],[anl-med]]</f>
        <v>2.6117008058519571</v>
      </c>
    </row>
    <row r="98" spans="2:23" x14ac:dyDescent="0.25">
      <c r="B98" s="46">
        <f ca="1">VALUE((Table223421023456789[[#This Row],[Column3]]-62))</f>
        <v>36</v>
      </c>
      <c r="C98" t="s">
        <v>104</v>
      </c>
      <c r="D98">
        <v>9.0799999000000007</v>
      </c>
      <c r="E98"/>
      <c r="F98">
        <v>10.445976935567471</v>
      </c>
      <c r="G98" s="29">
        <f>Table223421023456789[[#This Row],[Joris ]]-Table223421023456789[[#This Row],[REF]]</f>
        <v>1.3659770355674699</v>
      </c>
      <c r="H98" s="29">
        <f>Table223421023456789[[#This Row],[X-Y]]-E$20</f>
        <v>0.6044435056843902</v>
      </c>
      <c r="I98" s="29">
        <f>Table223421023456789[[#This Row],[Joris ]]-E$20</f>
        <v>9.6844434056843909</v>
      </c>
      <c r="J98" s="29">
        <f>Table223421023456789[[#This Row],[Joris ]]*E$21+E$22</f>
        <v>10.261419331989188</v>
      </c>
      <c r="K98" s="56">
        <f>Table223421023456789[[#This Row],[Yest]]-Table223421023456789[[#This Row],[REF]]</f>
        <v>1.1814194319891875</v>
      </c>
      <c r="L98" s="56">
        <f>ABS(Table223421023456789[[#This Row],[RESyx]])</f>
        <v>1.1814194319891875</v>
      </c>
      <c r="M98" s="29">
        <f>Table223421023456789[[#This Row],[Joris ]]*E$25+E$26</f>
        <v>9.9424195797111814</v>
      </c>
      <c r="N98" s="29">
        <f>Table223421023456789[[#This Row],[X-Y]]^2</f>
        <v>1.8658932616976929</v>
      </c>
      <c r="O98" s="57">
        <f>Table223421023456789[[#This Row],[yest_rect]]-Table223421023456789[[#This Row],[REF]]</f>
        <v>0.86241967971118072</v>
      </c>
      <c r="P98" s="57">
        <f>Table223421023456789[[#This Row],[dif rec]]^2</f>
        <v>0.74376770395313552</v>
      </c>
      <c r="Q98" s="57">
        <f>ABS(Table223421023456789[[#This Row],[diff-bias]])</f>
        <v>0.6044435056843902</v>
      </c>
      <c r="R98" s="57">
        <f ca="1">CELL("row",Table223421023456789[[#This Row],[Position]])</f>
        <v>98</v>
      </c>
      <c r="S98" s="4">
        <f>Table223421023456789[[#This Row],[REF]]-D$13</f>
        <v>-1.9300003500000003</v>
      </c>
      <c r="T98" s="4">
        <f>ABS(Table223421023456789[[#This Row],[lab-med]])</f>
        <v>1.9300003500000003</v>
      </c>
      <c r="U98" s="4">
        <f>Table223421023456789[[#This Row],[Joris ]]-F$13</f>
        <v>-1.365834478424409</v>
      </c>
      <c r="V98" s="4">
        <f>ABS(Table223421023456789[[#This Row],[anl-med]])</f>
        <v>1.365834478424409</v>
      </c>
      <c r="W98" s="4">
        <f>Table223421023456789[[#This Row],[lab-med]]*Table223421023456789[[#This Row],[anl-med]]</f>
        <v>2.636061021401177</v>
      </c>
    </row>
    <row r="99" spans="2:23" x14ac:dyDescent="0.25">
      <c r="B99" s="46">
        <f ca="1">VALUE((Table223421023456789[[#This Row],[Column3]]-62))</f>
        <v>37</v>
      </c>
      <c r="C99" t="s">
        <v>105</v>
      </c>
      <c r="D99">
        <v>10.800000199999999</v>
      </c>
      <c r="E99"/>
      <c r="F99">
        <v>10.753096537771709</v>
      </c>
      <c r="G99" s="29">
        <f>Table223421023456789[[#This Row],[Joris ]]-Table223421023456789[[#This Row],[REF]]</f>
        <v>-4.6903662228290344E-2</v>
      </c>
      <c r="H99" s="29">
        <f>Table223421023456789[[#This Row],[X-Y]]-E$20</f>
        <v>-0.80843719211137</v>
      </c>
      <c r="I99" s="29">
        <f>Table223421023456789[[#This Row],[Joris ]]-E$20</f>
        <v>9.9915630078886295</v>
      </c>
      <c r="J99" s="29">
        <f>Table223421023456789[[#This Row],[Joris ]]*E$21+E$22</f>
        <v>10.444192560749796</v>
      </c>
      <c r="K99" s="56">
        <f>Table223421023456789[[#This Row],[Yest]]-Table223421023456789[[#This Row],[REF]]</f>
        <v>-0.35580763925020342</v>
      </c>
      <c r="L99" s="56">
        <f>ABS(Table223421023456789[[#This Row],[RESyx]])</f>
        <v>0.35580763925020342</v>
      </c>
      <c r="M99" s="29">
        <f>Table223421023456789[[#This Row],[Joris ]]*E$25+E$26</f>
        <v>10.193941712051229</v>
      </c>
      <c r="N99" s="29">
        <f>Table223421023456789[[#This Row],[X-Y]]^2</f>
        <v>2.1999535304255504E-3</v>
      </c>
      <c r="O99" s="57">
        <f>Table223421023456789[[#This Row],[yest_rect]]-Table223421023456789[[#This Row],[REF]]</f>
        <v>-0.60605848794877026</v>
      </c>
      <c r="P99" s="57">
        <f>Table223421023456789[[#This Row],[dif rec]]^2</f>
        <v>0.36730689081474971</v>
      </c>
      <c r="Q99" s="57">
        <f>ABS(Table223421023456789[[#This Row],[diff-bias]])</f>
        <v>0.80843719211137</v>
      </c>
      <c r="R99" s="57">
        <f ca="1">CELL("row",Table223421023456789[[#This Row],[Position]])</f>
        <v>99</v>
      </c>
      <c r="S99" s="4">
        <f>Table223421023456789[[#This Row],[REF]]-D$13</f>
        <v>-0.21000005000000144</v>
      </c>
      <c r="T99" s="4">
        <f>ABS(Table223421023456789[[#This Row],[lab-med]])</f>
        <v>0.21000005000000144</v>
      </c>
      <c r="U99" s="4">
        <f>Table223421023456789[[#This Row],[Joris ]]-F$13</f>
        <v>-1.0587148762201704</v>
      </c>
      <c r="V99" s="4">
        <f>ABS(Table223421023456789[[#This Row],[anl-med]])</f>
        <v>1.0587148762201704</v>
      </c>
      <c r="W99" s="4">
        <f>Table223421023456789[[#This Row],[lab-med]]*Table223421023456789[[#This Row],[anl-med]]</f>
        <v>0.22233017694198109</v>
      </c>
    </row>
    <row r="100" spans="2:23" x14ac:dyDescent="0.25">
      <c r="B100" s="46">
        <f ca="1">VALUE((Table223421023456789[[#This Row],[Column3]]-62))</f>
        <v>38</v>
      </c>
      <c r="C100" t="s">
        <v>106</v>
      </c>
      <c r="D100">
        <v>9.3599996999999995</v>
      </c>
      <c r="E100"/>
      <c r="F100">
        <v>9.7780950437025869</v>
      </c>
      <c r="G100" s="29">
        <f>Table223421023456789[[#This Row],[Joris ]]-Table223421023456789[[#This Row],[REF]]</f>
        <v>0.41809534370258739</v>
      </c>
      <c r="H100" s="29">
        <f>Table223421023456789[[#This Row],[X-Y]]-E$20</f>
        <v>-0.34343818618049227</v>
      </c>
      <c r="I100" s="29">
        <f>Table223421023456789[[#This Row],[Joris ]]-E$20</f>
        <v>9.0165615138195072</v>
      </c>
      <c r="J100" s="29">
        <f>Table223421023456789[[#This Row],[Joris ]]*E$21+E$22</f>
        <v>9.8639490014379394</v>
      </c>
      <c r="K100" s="56">
        <f>Table223421023456789[[#This Row],[Yest]]-Table223421023456789[[#This Row],[REF]]</f>
        <v>0.50394930143793992</v>
      </c>
      <c r="L100" s="56">
        <f>ABS(Table223421023456789[[#This Row],[RESyx]])</f>
        <v>0.50394930143793992</v>
      </c>
      <c r="M100" s="29">
        <f>Table223421023456789[[#This Row],[Joris ]]*E$25+E$26</f>
        <v>9.3954434948651002</v>
      </c>
      <c r="N100" s="29">
        <f>Table223421023456789[[#This Row],[X-Y]]^2</f>
        <v>0.17480371642578468</v>
      </c>
      <c r="O100" s="57">
        <f>Table223421023456789[[#This Row],[yest_rect]]-Table223421023456789[[#This Row],[REF]]</f>
        <v>3.5443794865100742E-2</v>
      </c>
      <c r="P100" s="57">
        <f>Table223421023456789[[#This Row],[dif rec]]^2</f>
        <v>1.2562625944393417E-3</v>
      </c>
      <c r="Q100" s="57">
        <f>ABS(Table223421023456789[[#This Row],[diff-bias]])</f>
        <v>0.34343818618049227</v>
      </c>
      <c r="R100" s="57">
        <f ca="1">CELL("row",Table223421023456789[[#This Row],[Position]])</f>
        <v>100</v>
      </c>
      <c r="S100" s="4">
        <f>Table223421023456789[[#This Row],[REF]]-D$13</f>
        <v>-1.6500005500000015</v>
      </c>
      <c r="T100" s="4">
        <f>ABS(Table223421023456789[[#This Row],[lab-med]])</f>
        <v>1.6500005500000015</v>
      </c>
      <c r="U100" s="4">
        <f>Table223421023456789[[#This Row],[Joris ]]-F$13</f>
        <v>-2.0337163702892926</v>
      </c>
      <c r="V100" s="4">
        <f>ABS(Table223421023456789[[#This Row],[anl-med]])</f>
        <v>2.0337163702892926</v>
      </c>
      <c r="W100" s="4">
        <f>Table223421023456789[[#This Row],[lab-med]]*Table223421023456789[[#This Row],[anl-med]]</f>
        <v>3.3556331295213395</v>
      </c>
    </row>
    <row r="101" spans="2:23" x14ac:dyDescent="0.25">
      <c r="B101" s="46">
        <f ca="1">VALUE((Table223421023456789[[#This Row],[Column3]]-62))</f>
        <v>39</v>
      </c>
      <c r="C101" t="s">
        <v>107</v>
      </c>
      <c r="D101">
        <v>12.449999800000001</v>
      </c>
      <c r="E101"/>
      <c r="F101">
        <v>13.55444805845706</v>
      </c>
      <c r="G101" s="29">
        <f>Table223421023456789[[#This Row],[Joris ]]-Table223421023456789[[#This Row],[REF]]</f>
        <v>1.1044482584570599</v>
      </c>
      <c r="H101" s="29">
        <f>Table223421023456789[[#This Row],[X-Y]]-E$20</f>
        <v>0.3429147285739802</v>
      </c>
      <c r="I101" s="29">
        <f>Table223421023456789[[#This Row],[Joris ]]-E$20</f>
        <v>12.792914528573981</v>
      </c>
      <c r="J101" s="29">
        <f>Table223421023456789[[#This Row],[Joris ]]*E$21+E$22</f>
        <v>12.111334803232261</v>
      </c>
      <c r="K101" s="56">
        <f>Table223421023456789[[#This Row],[Yest]]-Table223421023456789[[#This Row],[REF]]</f>
        <v>-0.33866499676773998</v>
      </c>
      <c r="L101" s="56">
        <f>ABS(Table223421023456789[[#This Row],[RESyx]])</f>
        <v>0.33866499676773998</v>
      </c>
      <c r="M101" s="29">
        <f>Table223421023456789[[#This Row],[Joris ]]*E$25+E$26</f>
        <v>12.488168139995889</v>
      </c>
      <c r="N101" s="29">
        <f>Table223421023456789[[#This Row],[X-Y]]^2</f>
        <v>1.2198059556088325</v>
      </c>
      <c r="O101" s="57">
        <f>Table223421023456789[[#This Row],[yest_rect]]-Table223421023456789[[#This Row],[REF]]</f>
        <v>3.816833999588809E-2</v>
      </c>
      <c r="P101" s="57">
        <f>Table223421023456789[[#This Row],[dif rec]]^2</f>
        <v>1.4568221780417105E-3</v>
      </c>
      <c r="Q101" s="57">
        <f>ABS(Table223421023456789[[#This Row],[diff-bias]])</f>
        <v>0.3429147285739802</v>
      </c>
      <c r="R101" s="57">
        <f ca="1">CELL("row",Table223421023456789[[#This Row],[Position]])</f>
        <v>101</v>
      </c>
      <c r="S101" s="4">
        <f>Table223421023456789[[#This Row],[REF]]-D$13</f>
        <v>1.4399995499999996</v>
      </c>
      <c r="T101" s="4">
        <f>ABS(Table223421023456789[[#This Row],[lab-med]])</f>
        <v>1.4399995499999996</v>
      </c>
      <c r="U101" s="4">
        <f>Table223421023456789[[#This Row],[Joris ]]-F$13</f>
        <v>1.7426366444651809</v>
      </c>
      <c r="V101" s="4">
        <f>ABS(Table223421023456789[[#This Row],[anl-med]])</f>
        <v>1.7426366444651809</v>
      </c>
      <c r="W101" s="4">
        <f>Table223421023456789[[#This Row],[lab-med]]*Table223421023456789[[#This Row],[anl-med]]</f>
        <v>2.5093959838433695</v>
      </c>
    </row>
    <row r="102" spans="2:23" x14ac:dyDescent="0.25">
      <c r="B102" s="46">
        <f ca="1">VALUE((Table223421023456789[[#This Row],[Column3]]-62))</f>
        <v>40</v>
      </c>
      <c r="C102" t="s">
        <v>108</v>
      </c>
      <c r="D102">
        <v>10.920000099999999</v>
      </c>
      <c r="E102"/>
      <c r="F102">
        <v>11.53030349200726</v>
      </c>
      <c r="G102" s="29">
        <f>Table223421023456789[[#This Row],[Joris ]]-Table223421023456789[[#This Row],[REF]]</f>
        <v>0.61030339200726047</v>
      </c>
      <c r="H102" s="29">
        <f>Table223421023456789[[#This Row],[X-Y]]-E$20</f>
        <v>-0.15123013787581918</v>
      </c>
      <c r="I102" s="29">
        <f>Table223421023456789[[#This Row],[Joris ]]-E$20</f>
        <v>10.76876996212418</v>
      </c>
      <c r="J102" s="29">
        <f>Table223421023456789[[#This Row],[Joris ]]*E$21+E$22</f>
        <v>10.906724497563005</v>
      </c>
      <c r="K102" s="56">
        <f>Table223421023456789[[#This Row],[Yest]]-Table223421023456789[[#This Row],[REF]]</f>
        <v>-1.327560243699466E-2</v>
      </c>
      <c r="L102" s="56">
        <f>ABS(Table223421023456789[[#This Row],[RESyx]])</f>
        <v>1.327560243699466E-2</v>
      </c>
      <c r="M102" s="29">
        <f>Table223421023456789[[#This Row],[Joris ]]*E$25+E$26</f>
        <v>10.830451882668212</v>
      </c>
      <c r="N102" s="29">
        <f>Table223421023456789[[#This Row],[X-Y]]^2</f>
        <v>0.37247023029556786</v>
      </c>
      <c r="O102" s="57">
        <f>Table223421023456789[[#This Row],[yest_rect]]-Table223421023456789[[#This Row],[REF]]</f>
        <v>-8.9548217331786972E-2</v>
      </c>
      <c r="P102" s="57">
        <f>Table223421023456789[[#This Row],[dif rec]]^2</f>
        <v>8.0188832273009533E-3</v>
      </c>
      <c r="Q102" s="57">
        <f>ABS(Table223421023456789[[#This Row],[diff-bias]])</f>
        <v>0.15123013787581918</v>
      </c>
      <c r="R102" s="57">
        <f ca="1">CELL("row",Table223421023456789[[#This Row],[Position]])</f>
        <v>102</v>
      </c>
      <c r="S102" s="4">
        <f>Table223421023456789[[#This Row],[REF]]-D$13</f>
        <v>-9.0000150000001611E-2</v>
      </c>
      <c r="T102" s="4">
        <f>ABS(Table223421023456789[[#This Row],[lab-med]])</f>
        <v>9.0000150000001611E-2</v>
      </c>
      <c r="U102" s="4">
        <f>Table223421023456789[[#This Row],[Joris ]]-F$13</f>
        <v>-0.28150792198461971</v>
      </c>
      <c r="V102" s="4">
        <f>ABS(Table223421023456789[[#This Row],[anl-med]])</f>
        <v>0.28150792198461971</v>
      </c>
      <c r="W102" s="4">
        <f>Table223421023456789[[#This Row],[lab-med]]*Table223421023456789[[#This Row],[anl-med]]</f>
        <v>2.5335755204804526E-2</v>
      </c>
    </row>
    <row r="103" spans="2:23" x14ac:dyDescent="0.25">
      <c r="B103" s="46">
        <f ca="1">VALUE((Table223421023456789[[#This Row],[Column3]]-62))</f>
        <v>41</v>
      </c>
      <c r="C103" t="s">
        <v>109</v>
      </c>
      <c r="D103">
        <v>10.949999800000001</v>
      </c>
      <c r="E103"/>
      <c r="F103">
        <v>11.70577621102745</v>
      </c>
      <c r="G103" s="29">
        <f>Table223421023456789[[#This Row],[Joris ]]-Table223421023456789[[#This Row],[REF]]</f>
        <v>0.75577641102744941</v>
      </c>
      <c r="H103" s="29">
        <f>Table223421023456789[[#This Row],[X-Y]]-E$20</f>
        <v>-5.7571188556302388E-3</v>
      </c>
      <c r="I103" s="29">
        <f>Table223421023456789[[#This Row],[Joris ]]-E$20</f>
        <v>10.94424268114437</v>
      </c>
      <c r="J103" s="29">
        <f>Table223421023456789[[#This Row],[Joris ]]*E$21+E$22</f>
        <v>11.011151942716424</v>
      </c>
      <c r="K103" s="56">
        <f>Table223421023456789[[#This Row],[Yest]]-Table223421023456789[[#This Row],[REF]]</f>
        <v>6.1152142716423441E-2</v>
      </c>
      <c r="L103" s="56">
        <f>ABS(Table223421023456789[[#This Row],[RESyx]])</f>
        <v>6.1152142716423441E-2</v>
      </c>
      <c r="M103" s="29">
        <f>Table223421023456789[[#This Row],[Joris ]]*E$25+E$26</f>
        <v>10.974158999174939</v>
      </c>
      <c r="N103" s="29">
        <f>Table223421023456789[[#This Row],[X-Y]]^2</f>
        <v>0.57119798346553219</v>
      </c>
      <c r="O103" s="57">
        <f>Table223421023456789[[#This Row],[yest_rect]]-Table223421023456789[[#This Row],[REF]]</f>
        <v>2.4159199174938806E-2</v>
      </c>
      <c r="P103" s="57">
        <f>Table223421023456789[[#This Row],[dif rec]]^2</f>
        <v>5.8366690477436387E-4</v>
      </c>
      <c r="Q103" s="57">
        <f>ABS(Table223421023456789[[#This Row],[diff-bias]])</f>
        <v>5.7571188556302388E-3</v>
      </c>
      <c r="R103" s="57">
        <f ca="1">CELL("row",Table223421023456789[[#This Row],[Position]])</f>
        <v>103</v>
      </c>
      <c r="S103" s="4">
        <f>Table223421023456789[[#This Row],[REF]]-D$13</f>
        <v>-6.0000450000000427E-2</v>
      </c>
      <c r="T103" s="4">
        <f>ABS(Table223421023456789[[#This Row],[lab-med]])</f>
        <v>6.0000450000000427E-2</v>
      </c>
      <c r="U103" s="4">
        <f>Table223421023456789[[#This Row],[Joris ]]-F$13</f>
        <v>-0.10603520296442959</v>
      </c>
      <c r="V103" s="4">
        <f>ABS(Table223421023456789[[#This Row],[anl-med]])</f>
        <v>0.10603520296442959</v>
      </c>
      <c r="W103" s="4">
        <f>Table223421023456789[[#This Row],[lab-med]]*Table223421023456789[[#This Row],[anl-med]]</f>
        <v>6.3621598937071543E-3</v>
      </c>
    </row>
    <row r="104" spans="2:23" x14ac:dyDescent="0.25">
      <c r="B104" s="46">
        <f ca="1">VALUE((Table223421023456789[[#This Row],[Column3]]-62))</f>
        <v>42</v>
      </c>
      <c r="C104" t="s">
        <v>110</v>
      </c>
      <c r="D104">
        <v>10.9899998</v>
      </c>
      <c r="E104"/>
      <c r="F104">
        <v>10.731389153681789</v>
      </c>
      <c r="G104" s="29">
        <f>Table223421023456789[[#This Row],[Joris ]]-Table223421023456789[[#This Row],[REF]]</f>
        <v>-0.25861064631821051</v>
      </c>
      <c r="H104" s="29">
        <f>Table223421023456789[[#This Row],[X-Y]]-E$20</f>
        <v>-1.0201441762012902</v>
      </c>
      <c r="I104" s="29">
        <f>Table223421023456789[[#This Row],[Joris ]]-E$20</f>
        <v>9.9698556237987095</v>
      </c>
      <c r="J104" s="29">
        <f>Table223421023456789[[#This Row],[Joris ]]*E$21+E$22</f>
        <v>10.431274047409762</v>
      </c>
      <c r="K104" s="56">
        <f>Table223421023456789[[#This Row],[Yest]]-Table223421023456789[[#This Row],[REF]]</f>
        <v>-0.55872575259023805</v>
      </c>
      <c r="L104" s="56">
        <f>ABS(Table223421023456789[[#This Row],[RESyx]])</f>
        <v>0.55872575259023805</v>
      </c>
      <c r="M104" s="29">
        <f>Table223421023456789[[#This Row],[Joris ]]*E$25+E$26</f>
        <v>10.17616398801592</v>
      </c>
      <c r="N104" s="29">
        <f>Table223421023456789[[#This Row],[X-Y]]^2</f>
        <v>6.6879466389122566E-2</v>
      </c>
      <c r="O104" s="57">
        <f>Table223421023456789[[#This Row],[yest_rect]]-Table223421023456789[[#This Row],[REF]]</f>
        <v>-0.81383581198407917</v>
      </c>
      <c r="P104" s="57">
        <f>Table223421023456789[[#This Row],[dif rec]]^2</f>
        <v>0.66232872886778549</v>
      </c>
      <c r="Q104" s="57">
        <f>ABS(Table223421023456789[[#This Row],[diff-bias]])</f>
        <v>1.0201441762012902</v>
      </c>
      <c r="R104" s="57">
        <f ca="1">CELL("row",Table223421023456789[[#This Row],[Position]])</f>
        <v>104</v>
      </c>
      <c r="S104" s="4">
        <f>Table223421023456789[[#This Row],[REF]]-D$13</f>
        <v>-2.000045000000128E-2</v>
      </c>
      <c r="T104" s="4">
        <f>ABS(Table223421023456789[[#This Row],[lab-med]])</f>
        <v>2.000045000000128E-2</v>
      </c>
      <c r="U104" s="4">
        <f>Table223421023456789[[#This Row],[Joris ]]-F$13</f>
        <v>-1.0804222603100904</v>
      </c>
      <c r="V104" s="4">
        <f>ABS(Table223421023456789[[#This Row],[anl-med]])</f>
        <v>1.0804222603100904</v>
      </c>
      <c r="W104" s="4">
        <f>Table223421023456789[[#This Row],[lab-med]]*Table223421023456789[[#This Row],[anl-med]]</f>
        <v>2.1608931396220329E-2</v>
      </c>
    </row>
    <row r="105" spans="2:23" x14ac:dyDescent="0.25">
      <c r="B105" s="46">
        <f ca="1">VALUE((Table223421023456789[[#This Row],[Column3]]-62))</f>
        <v>43</v>
      </c>
      <c r="C105" t="s">
        <v>111</v>
      </c>
      <c r="D105">
        <v>11</v>
      </c>
      <c r="E105"/>
      <c r="F105">
        <v>11.247159419024189</v>
      </c>
      <c r="G105" s="29">
        <f>Table223421023456789[[#This Row],[Joris ]]-Table223421023456789[[#This Row],[REF]]</f>
        <v>0.24715941902418948</v>
      </c>
      <c r="H105" s="29">
        <f>Table223421023456789[[#This Row],[X-Y]]-E$20</f>
        <v>-0.51437411085889018</v>
      </c>
      <c r="I105" s="29">
        <f>Table223421023456789[[#This Row],[Joris ]]-E$20</f>
        <v>10.48562588914111</v>
      </c>
      <c r="J105" s="29">
        <f>Table223421023456789[[#This Row],[Joris ]]*E$21+E$22</f>
        <v>10.738219602231936</v>
      </c>
      <c r="K105" s="56">
        <f>Table223421023456789[[#This Row],[Yest]]-Table223421023456789[[#This Row],[REF]]</f>
        <v>-0.26178039776806372</v>
      </c>
      <c r="L105" s="56">
        <f>ABS(Table223421023456789[[#This Row],[RESyx]])</f>
        <v>0.26178039776806372</v>
      </c>
      <c r="M105" s="29">
        <f>Table223421023456789[[#This Row],[Joris ]]*E$25+E$26</f>
        <v>10.59856502007457</v>
      </c>
      <c r="N105" s="29">
        <f>Table223421023456789[[#This Row],[X-Y]]^2</f>
        <v>6.1087778412374873E-2</v>
      </c>
      <c r="O105" s="57">
        <f>Table223421023456789[[#This Row],[yest_rect]]-Table223421023456789[[#This Row],[REF]]</f>
        <v>-0.40143497992542976</v>
      </c>
      <c r="P105" s="57">
        <f>Table223421023456789[[#This Row],[dif rec]]^2</f>
        <v>0.16115004310773021</v>
      </c>
      <c r="Q105" s="57">
        <f>ABS(Table223421023456789[[#This Row],[diff-bias]])</f>
        <v>0.51437411085889018</v>
      </c>
      <c r="R105" s="57">
        <f ca="1">CELL("row",Table223421023456789[[#This Row],[Position]])</f>
        <v>105</v>
      </c>
      <c r="S105" s="4">
        <f>Table223421023456789[[#This Row],[REF]]-D$13</f>
        <v>-1.0000250000000932E-2</v>
      </c>
      <c r="T105" s="4">
        <f>ABS(Table223421023456789[[#This Row],[lab-med]])</f>
        <v>1.0000250000000932E-2</v>
      </c>
      <c r="U105" s="4">
        <f>Table223421023456789[[#This Row],[Joris ]]-F$13</f>
        <v>-0.56465199496769003</v>
      </c>
      <c r="V105" s="4">
        <f>ABS(Table223421023456789[[#This Row],[anl-med]])</f>
        <v>0.56465199496769003</v>
      </c>
      <c r="W105" s="4">
        <f>Table223421023456789[[#This Row],[lab-med]]*Table223421023456789[[#This Row],[anl-med]]</f>
        <v>5.6466611126761686E-3</v>
      </c>
    </row>
    <row r="106" spans="2:23" x14ac:dyDescent="0.25">
      <c r="B106" s="46">
        <f ca="1">VALUE((Table223421023456789[[#This Row],[Column3]]-62))</f>
        <v>44</v>
      </c>
      <c r="C106" t="s">
        <v>112</v>
      </c>
      <c r="D106">
        <v>9.9700003000000006</v>
      </c>
      <c r="E106"/>
      <c r="F106">
        <v>8.1680052345295273</v>
      </c>
      <c r="G106" s="29">
        <f>Table223421023456789[[#This Row],[Joris ]]-Table223421023456789[[#This Row],[REF]]</f>
        <v>-1.8019950654704733</v>
      </c>
      <c r="H106" s="29">
        <f>Table223421023456789[[#This Row],[X-Y]]-E$20</f>
        <v>-2.5635285953535529</v>
      </c>
      <c r="I106" s="29">
        <f>Table223421023456789[[#This Row],[Joris ]]-E$20</f>
        <v>7.4064717046464477</v>
      </c>
      <c r="J106" s="29">
        <f>Table223421023456789[[#This Row],[Joris ]]*E$21+E$22</f>
        <v>8.9057512475172764</v>
      </c>
      <c r="K106" s="56">
        <f>Table223421023456789[[#This Row],[Yest]]-Table223421023456789[[#This Row],[REF]]</f>
        <v>-1.0642490524827242</v>
      </c>
      <c r="L106" s="56">
        <f>ABS(Table223421023456789[[#This Row],[RESyx]])</f>
        <v>1.0642490524827242</v>
      </c>
      <c r="M106" s="29">
        <f>Table223421023456789[[#This Row],[Joris ]]*E$25+E$26</f>
        <v>8.0768261902201299</v>
      </c>
      <c r="N106" s="29">
        <f>Table223421023456789[[#This Row],[X-Y]]^2</f>
        <v>3.2471862159799354</v>
      </c>
      <c r="O106" s="57">
        <f>Table223421023456789[[#This Row],[yest_rect]]-Table223421023456789[[#This Row],[REF]]</f>
        <v>-1.8931741097798707</v>
      </c>
      <c r="P106" s="57">
        <f>Table223421023456789[[#This Row],[dif rec]]^2</f>
        <v>3.5841082099408057</v>
      </c>
      <c r="Q106" s="57">
        <f>ABS(Table223421023456789[[#This Row],[diff-bias]])</f>
        <v>2.5635285953535529</v>
      </c>
      <c r="R106" s="57">
        <f ca="1">CELL("row",Table223421023456789[[#This Row],[Position]])</f>
        <v>106</v>
      </c>
      <c r="S106" s="4">
        <f>Table223421023456789[[#This Row],[REF]]-D$13</f>
        <v>-1.0399999500000003</v>
      </c>
      <c r="T106" s="4">
        <f>ABS(Table223421023456789[[#This Row],[lab-med]])</f>
        <v>1.0399999500000003</v>
      </c>
      <c r="U106" s="4">
        <f>Table223421023456789[[#This Row],[Joris ]]-F$13</f>
        <v>-3.6438061794623522</v>
      </c>
      <c r="V106" s="4">
        <f>ABS(Table223421023456789[[#This Row],[anl-med]])</f>
        <v>3.6438061794623522</v>
      </c>
      <c r="W106" s="4">
        <f>Table223421023456789[[#This Row],[lab-med]]*Table223421023456789[[#This Row],[anl-med]]</f>
        <v>3.7895582444505385</v>
      </c>
    </row>
    <row r="107" spans="2:23" x14ac:dyDescent="0.25">
      <c r="B107" s="46">
        <f ca="1">VALUE((Table223421023456789[[#This Row],[Column3]]-62))</f>
        <v>45</v>
      </c>
      <c r="C107" t="s">
        <v>113</v>
      </c>
      <c r="D107">
        <v>12.899999599999999</v>
      </c>
      <c r="E107"/>
      <c r="F107">
        <v>13.89182593084085</v>
      </c>
      <c r="G107" s="29">
        <f>Table223421023456789[[#This Row],[Joris ]]-Table223421023456789[[#This Row],[REF]]</f>
        <v>0.99182633084085126</v>
      </c>
      <c r="H107" s="29">
        <f>Table223421023456789[[#This Row],[X-Y]]-E$20</f>
        <v>0.2302928009577716</v>
      </c>
      <c r="I107" s="29">
        <f>Table223421023456789[[#This Row],[Joris ]]-E$20</f>
        <v>13.130292400957771</v>
      </c>
      <c r="J107" s="29">
        <f>Table223421023456789[[#This Row],[Joris ]]*E$21+E$22</f>
        <v>12.312115354539964</v>
      </c>
      <c r="K107" s="56">
        <f>Table223421023456789[[#This Row],[Yest]]-Table223421023456789[[#This Row],[REF]]</f>
        <v>-0.58788424546003526</v>
      </c>
      <c r="L107" s="56">
        <f>ABS(Table223421023456789[[#This Row],[RESyx]])</f>
        <v>0.58788424546003526</v>
      </c>
      <c r="M107" s="29">
        <f>Table223421023456789[[#This Row],[Joris ]]*E$25+E$26</f>
        <v>12.764470926458499</v>
      </c>
      <c r="N107" s="29">
        <f>Table223421023456789[[#This Row],[X-Y]]^2</f>
        <v>0.98371947054922571</v>
      </c>
      <c r="O107" s="57">
        <f>Table223421023456789[[#This Row],[yest_rect]]-Table223421023456789[[#This Row],[REF]]</f>
        <v>-0.13552867354150067</v>
      </c>
      <c r="P107" s="57">
        <f>Table223421023456789[[#This Row],[dif rec]]^2</f>
        <v>1.8368021351918663E-2</v>
      </c>
      <c r="Q107" s="57">
        <f>ABS(Table223421023456789[[#This Row],[diff-bias]])</f>
        <v>0.2302928009577716</v>
      </c>
      <c r="R107" s="57">
        <f ca="1">CELL("row",Table223421023456789[[#This Row],[Position]])</f>
        <v>107</v>
      </c>
      <c r="S107" s="4">
        <f>Table223421023456789[[#This Row],[REF]]-D$13</f>
        <v>1.8899993499999983</v>
      </c>
      <c r="T107" s="4">
        <f>ABS(Table223421023456789[[#This Row],[lab-med]])</f>
        <v>1.8899993499999983</v>
      </c>
      <c r="U107" s="4">
        <f>Table223421023456789[[#This Row],[Joris ]]-F$13</f>
        <v>2.080014516848971</v>
      </c>
      <c r="V107" s="4">
        <f>ABS(Table223421023456789[[#This Row],[anl-med]])</f>
        <v>2.080014516848971</v>
      </c>
      <c r="W107" s="4">
        <f>Table223421023456789[[#This Row],[lab-med]]*Table223421023456789[[#This Row],[anl-med]]</f>
        <v>3.9312260848351155</v>
      </c>
    </row>
    <row r="108" spans="2:23" x14ac:dyDescent="0.25">
      <c r="B108" s="46">
        <f ca="1">VALUE((Table223421023456789[[#This Row],[Column3]]-62))</f>
        <v>46</v>
      </c>
      <c r="C108" t="s">
        <v>114</v>
      </c>
      <c r="D108">
        <v>10.529999699999999</v>
      </c>
      <c r="E108"/>
      <c r="F108">
        <v>10.309878925360641</v>
      </c>
      <c r="G108" s="29">
        <f>Table223421023456789[[#This Row],[Joris ]]-Table223421023456789[[#This Row],[REF]]</f>
        <v>-0.22012077463935853</v>
      </c>
      <c r="H108" s="29">
        <f>Table223421023456789[[#This Row],[X-Y]]-E$20</f>
        <v>-0.98165430452243818</v>
      </c>
      <c r="I108" s="29">
        <f>Table223421023456789[[#This Row],[Joris ]]-E$20</f>
        <v>9.5483453954775612</v>
      </c>
      <c r="J108" s="29">
        <f>Table223421023456789[[#This Row],[Joris ]]*E$21+E$22</f>
        <v>10.180424590608748</v>
      </c>
      <c r="K108" s="56">
        <f>Table223421023456789[[#This Row],[Yest]]-Table223421023456789[[#This Row],[REF]]</f>
        <v>-0.34957510939125136</v>
      </c>
      <c r="L108" s="56">
        <f>ABS(Table223421023456789[[#This Row],[RESyx]])</f>
        <v>0.34957510939125136</v>
      </c>
      <c r="M108" s="29">
        <f>Table223421023456789[[#This Row],[Joris ]]*E$25+E$26</f>
        <v>9.8309592187027217</v>
      </c>
      <c r="N108" s="29">
        <f>Table223421023456789[[#This Row],[X-Y]]^2</f>
        <v>4.8453155427831268E-2</v>
      </c>
      <c r="O108" s="57">
        <f>Table223421023456789[[#This Row],[yest_rect]]-Table223421023456789[[#This Row],[REF]]</f>
        <v>-0.69904048129727769</v>
      </c>
      <c r="P108" s="57">
        <f>Table223421023456789[[#This Row],[dif rec]]^2</f>
        <v>0.48865759449232965</v>
      </c>
      <c r="Q108" s="57">
        <f>ABS(Table223421023456789[[#This Row],[diff-bias]])</f>
        <v>0.98165430452243818</v>
      </c>
      <c r="R108" s="57">
        <f ca="1">CELL("row",Table223421023456789[[#This Row],[Position]])</f>
        <v>108</v>
      </c>
      <c r="S108" s="4">
        <f>Table223421023456789[[#This Row],[REF]]-D$13</f>
        <v>-0.48000055000000152</v>
      </c>
      <c r="T108" s="4">
        <f>ABS(Table223421023456789[[#This Row],[lab-med]])</f>
        <v>0.48000055000000152</v>
      </c>
      <c r="U108" s="4">
        <f>Table223421023456789[[#This Row],[Joris ]]-F$13</f>
        <v>-1.5019324886312386</v>
      </c>
      <c r="V108" s="4">
        <f>ABS(Table223421023456789[[#This Row],[anl-med]])</f>
        <v>1.5019324886312386</v>
      </c>
      <c r="W108" s="4">
        <f>Table223421023456789[[#This Row],[lab-med]]*Table223421023456789[[#This Row],[anl-med]]</f>
        <v>0.72092842060586559</v>
      </c>
    </row>
    <row r="109" spans="2:23" x14ac:dyDescent="0.25">
      <c r="B109" s="46">
        <f ca="1">VALUE((Table223421023456789[[#This Row],[Column3]]-62))</f>
        <v>47</v>
      </c>
      <c r="C109" t="s">
        <v>115</v>
      </c>
      <c r="D109">
        <v>11.0600004</v>
      </c>
      <c r="E109"/>
      <c r="F109">
        <v>11.618621068577751</v>
      </c>
      <c r="G109" s="29">
        <f>Table223421023456789[[#This Row],[Joris ]]-Table223421023456789[[#This Row],[REF]]</f>
        <v>0.55862066857775083</v>
      </c>
      <c r="H109" s="29">
        <f>Table223421023456789[[#This Row],[X-Y]]-E$20</f>
        <v>-0.20291286130532882</v>
      </c>
      <c r="I109" s="29">
        <f>Table223421023456789[[#This Row],[Joris ]]-E$20</f>
        <v>10.857087538694671</v>
      </c>
      <c r="J109" s="29">
        <f>Table223421023456789[[#This Row],[Joris ]]*E$21+E$22</f>
        <v>10.959284114436194</v>
      </c>
      <c r="K109" s="56">
        <f>Table223421023456789[[#This Row],[Yest]]-Table223421023456789[[#This Row],[REF]]</f>
        <v>-0.10071628556380574</v>
      </c>
      <c r="L109" s="56">
        <f>ABS(Table223421023456789[[#This Row],[RESyx]])</f>
        <v>0.10071628556380574</v>
      </c>
      <c r="M109" s="29">
        <f>Table223421023456789[[#This Row],[Joris ]]*E$25+E$26</f>
        <v>10.902781440998854</v>
      </c>
      <c r="N109" s="29">
        <f>Table223421023456789[[#This Row],[X-Y]]^2</f>
        <v>0.31205705136225331</v>
      </c>
      <c r="O109" s="57">
        <f>Table223421023456789[[#This Row],[yest_rect]]-Table223421023456789[[#This Row],[REF]]</f>
        <v>-0.15721895900114546</v>
      </c>
      <c r="P109" s="57">
        <f>Table223421023456789[[#This Row],[dif rec]]^2</f>
        <v>2.4717801069403859E-2</v>
      </c>
      <c r="Q109" s="57">
        <f>ABS(Table223421023456789[[#This Row],[diff-bias]])</f>
        <v>0.20291286130532882</v>
      </c>
      <c r="R109" s="57">
        <f ca="1">CELL("row",Table223421023456789[[#This Row],[Position]])</f>
        <v>109</v>
      </c>
      <c r="S109" s="4">
        <f>Table223421023456789[[#This Row],[REF]]-D$13</f>
        <v>5.0000149999998911E-2</v>
      </c>
      <c r="T109" s="4">
        <f>ABS(Table223421023456789[[#This Row],[lab-med]])</f>
        <v>5.0000149999998911E-2</v>
      </c>
      <c r="U109" s="4">
        <f>Table223421023456789[[#This Row],[Joris ]]-F$13</f>
        <v>-0.19319034541412883</v>
      </c>
      <c r="V109" s="4">
        <f>ABS(Table223421023456789[[#This Row],[anl-med]])</f>
        <v>0.19319034541412883</v>
      </c>
      <c r="W109" s="4">
        <f>Table223421023456789[[#This Row],[lab-med]]*Table223421023456789[[#This Row],[anl-med]]</f>
        <v>-9.6595462492580428E-3</v>
      </c>
    </row>
    <row r="110" spans="2:23" x14ac:dyDescent="0.25">
      <c r="B110" s="46">
        <f ca="1">VALUE((Table223421023456789[[#This Row],[Column3]]-62))</f>
        <v>48</v>
      </c>
      <c r="C110" t="s">
        <v>116</v>
      </c>
      <c r="D110">
        <v>9.1000004000000008</v>
      </c>
      <c r="E110"/>
      <c r="F110">
        <v>8.6402524412987241</v>
      </c>
      <c r="G110" s="29">
        <f>Table223421023456789[[#This Row],[Joris ]]-Table223421023456789[[#This Row],[REF]]</f>
        <v>-0.45974795870127672</v>
      </c>
      <c r="H110" s="29">
        <f>Table223421023456789[[#This Row],[X-Y]]-E$20</f>
        <v>-1.2212814885843564</v>
      </c>
      <c r="I110" s="29">
        <f>Table223421023456789[[#This Row],[Joris ]]-E$20</f>
        <v>7.8787189114156444</v>
      </c>
      <c r="J110" s="29">
        <f>Table223421023456789[[#This Row],[Joris ]]*E$21+E$22</f>
        <v>9.186795329806051</v>
      </c>
      <c r="K110" s="56">
        <f>Table223421023456789[[#This Row],[Yest]]-Table223421023456789[[#This Row],[REF]]</f>
        <v>8.6794929806050192E-2</v>
      </c>
      <c r="L110" s="56">
        <f>ABS(Table223421023456789[[#This Row],[RESyx]])</f>
        <v>8.6794929806050192E-2</v>
      </c>
      <c r="M110" s="29">
        <f>Table223421023456789[[#This Row],[Joris ]]*E$25+E$26</f>
        <v>8.4635830874865867</v>
      </c>
      <c r="N110" s="29">
        <f>Table223421023456789[[#This Row],[X-Y]]^2</f>
        <v>0.21136818552999084</v>
      </c>
      <c r="O110" s="57">
        <f>Table223421023456789[[#This Row],[yest_rect]]-Table223421023456789[[#This Row],[REF]]</f>
        <v>-0.63641731251341405</v>
      </c>
      <c r="P110" s="57">
        <f>Table223421023456789[[#This Row],[dif rec]]^2</f>
        <v>0.40502699566679651</v>
      </c>
      <c r="Q110" s="57">
        <f>ABS(Table223421023456789[[#This Row],[diff-bias]])</f>
        <v>1.2212814885843564</v>
      </c>
      <c r="R110" s="57">
        <f ca="1">CELL("row",Table223421023456789[[#This Row],[Position]])</f>
        <v>110</v>
      </c>
      <c r="S110" s="4">
        <f>Table223421023456789[[#This Row],[REF]]-D$13</f>
        <v>-1.9099998500000002</v>
      </c>
      <c r="T110" s="4">
        <f>ABS(Table223421023456789[[#This Row],[lab-med]])</f>
        <v>1.9099998500000002</v>
      </c>
      <c r="U110" s="4">
        <f>Table223421023456789[[#This Row],[Joris ]]-F$13</f>
        <v>-3.1715589726931555</v>
      </c>
      <c r="V110" s="4">
        <f>ABS(Table223421023456789[[#This Row],[anl-med]])</f>
        <v>3.1715589726931555</v>
      </c>
      <c r="W110" s="4">
        <f>Table223421023456789[[#This Row],[lab-med]]*Table223421023456789[[#This Row],[anl-med]]</f>
        <v>6.0576771621100818</v>
      </c>
    </row>
    <row r="111" spans="2:23" x14ac:dyDescent="0.25">
      <c r="B111" s="46">
        <f ca="1">VALUE((Table223421023456789[[#This Row],[Column3]]-62))</f>
        <v>49</v>
      </c>
      <c r="C111" t="s">
        <v>117</v>
      </c>
      <c r="D111">
        <v>8.9700003000000006</v>
      </c>
      <c r="E111"/>
      <c r="F111">
        <v>10.562898291373751</v>
      </c>
      <c r="G111" s="29">
        <f>Table223421023456789[[#This Row],[Joris ]]-Table223421023456789[[#This Row],[REF]]</f>
        <v>1.59289799137375</v>
      </c>
      <c r="H111" s="29">
        <f>Table223421023456789[[#This Row],[X-Y]]-E$20</f>
        <v>0.83136446149067034</v>
      </c>
      <c r="I111" s="29">
        <f>Table223421023456789[[#This Row],[Joris ]]-E$20</f>
        <v>9.8013647614906709</v>
      </c>
      <c r="J111" s="29">
        <f>Table223421023456789[[#This Row],[Joris ]]*E$21+E$22</f>
        <v>10.331001649621816</v>
      </c>
      <c r="K111" s="56">
        <f>Table223421023456789[[#This Row],[Yest]]-Table223421023456789[[#This Row],[REF]]</f>
        <v>1.3610013496218158</v>
      </c>
      <c r="L111" s="56">
        <f>ABS(Table223421023456789[[#This Row],[RESyx]])</f>
        <v>1.3610013496218158</v>
      </c>
      <c r="M111" s="29">
        <f>Table223421023456789[[#This Row],[Joris ]]*E$25+E$26</f>
        <v>10.038174811605915</v>
      </c>
      <c r="N111" s="29">
        <f>Table223421023456789[[#This Row],[X-Y]]^2</f>
        <v>2.5373240109225272</v>
      </c>
      <c r="O111" s="57">
        <f>Table223421023456789[[#This Row],[yest_rect]]-Table223421023456789[[#This Row],[REF]]</f>
        <v>1.068174511605914</v>
      </c>
      <c r="P111" s="57">
        <f>Table223421023456789[[#This Row],[dif rec]]^2</f>
        <v>1.140996787244533</v>
      </c>
      <c r="Q111" s="57">
        <f>ABS(Table223421023456789[[#This Row],[diff-bias]])</f>
        <v>0.83136446149067034</v>
      </c>
      <c r="R111" s="57">
        <f ca="1">CELL("row",Table223421023456789[[#This Row],[Position]])</f>
        <v>111</v>
      </c>
      <c r="S111" s="4">
        <f>Table223421023456789[[#This Row],[REF]]-D$13</f>
        <v>-2.0399999500000003</v>
      </c>
      <c r="T111" s="4">
        <f>ABS(Table223421023456789[[#This Row],[lab-med]])</f>
        <v>2.0399999500000003</v>
      </c>
      <c r="U111" s="4">
        <f>Table223421023456789[[#This Row],[Joris ]]-F$13</f>
        <v>-1.2489131226181289</v>
      </c>
      <c r="V111" s="4">
        <f>ABS(Table223421023456789[[#This Row],[anl-med]])</f>
        <v>1.2489131226181289</v>
      </c>
      <c r="W111" s="4">
        <f>Table223421023456789[[#This Row],[lab-med]]*Table223421023456789[[#This Row],[anl-med]]</f>
        <v>2.5477827076953274</v>
      </c>
    </row>
    <row r="112" spans="2:23" x14ac:dyDescent="0.25">
      <c r="B112" s="46">
        <f ca="1">VALUE((Table223421023456789[[#This Row],[Column3]]-62))</f>
        <v>50</v>
      </c>
      <c r="C112" t="s">
        <v>118</v>
      </c>
      <c r="D112">
        <v>11.1199999</v>
      </c>
      <c r="E112"/>
      <c r="F112">
        <v>11.776452879877519</v>
      </c>
      <c r="G112" s="29">
        <f>Table223421023456789[[#This Row],[Joris ]]-Table223421023456789[[#This Row],[REF]]</f>
        <v>0.65645297987751938</v>
      </c>
      <c r="H112" s="29">
        <f>Table223421023456789[[#This Row],[X-Y]]-E$20</f>
        <v>-0.10508055000556027</v>
      </c>
      <c r="I112" s="29">
        <f>Table223421023456789[[#This Row],[Joris ]]-E$20</f>
        <v>11.01491934999444</v>
      </c>
      <c r="J112" s="29">
        <f>Table223421023456789[[#This Row],[Joris ]]*E$21+E$22</f>
        <v>11.053213090461661</v>
      </c>
      <c r="K112" s="56">
        <f>Table223421023456789[[#This Row],[Yest]]-Table223421023456789[[#This Row],[REF]]</f>
        <v>-6.6786809538339043E-2</v>
      </c>
      <c r="L112" s="56">
        <f>ABS(Table223421023456789[[#This Row],[RESyx]])</f>
        <v>6.6786809538339043E-2</v>
      </c>
      <c r="M112" s="29">
        <f>Table223421023456789[[#This Row],[Joris ]]*E$25+E$26</f>
        <v>11.032041160809282</v>
      </c>
      <c r="N112" s="29">
        <f>Table223421023456789[[#This Row],[X-Y]]^2</f>
        <v>0.43093051479007488</v>
      </c>
      <c r="O112" s="57">
        <f>Table223421023456789[[#This Row],[yest_rect]]-Table223421023456789[[#This Row],[REF]]</f>
        <v>-8.7958739190717949E-2</v>
      </c>
      <c r="P112" s="57">
        <f>Table223421023456789[[#This Row],[dif rec]]^2</f>
        <v>7.7367398000207418E-3</v>
      </c>
      <c r="Q112" s="57">
        <f>ABS(Table223421023456789[[#This Row],[diff-bias]])</f>
        <v>0.10508055000556027</v>
      </c>
      <c r="R112" s="57">
        <f ca="1">CELL("row",Table223421023456789[[#This Row],[Position]])</f>
        <v>112</v>
      </c>
      <c r="S112" s="4">
        <f>Table223421023456789[[#This Row],[REF]]-D$13</f>
        <v>0.10999964999999889</v>
      </c>
      <c r="T112" s="4">
        <f>ABS(Table223421023456789[[#This Row],[lab-med]])</f>
        <v>0.10999964999999889</v>
      </c>
      <c r="U112" s="4">
        <f>Table223421023456789[[#This Row],[Joris ]]-F$13</f>
        <v>-3.5358534114360296E-2</v>
      </c>
      <c r="V112" s="4">
        <f>ABS(Table223421023456789[[#This Row],[anl-med]])</f>
        <v>3.5358534114360296E-2</v>
      </c>
      <c r="W112" s="4">
        <f>Table223421023456789[[#This Row],[lab-med]]*Table223421023456789[[#This Row],[anl-med]]</f>
        <v>-3.8894263770926536E-3</v>
      </c>
    </row>
    <row r="113" spans="2:23" x14ac:dyDescent="0.25">
      <c r="B113" s="46">
        <f ca="1">VALUE((Table223421023456789[[#This Row],[Column3]]-62))</f>
        <v>51</v>
      </c>
      <c r="C113" t="s">
        <v>119</v>
      </c>
      <c r="D113">
        <v>9.2299994999999999</v>
      </c>
      <c r="E113"/>
      <c r="F113">
        <v>12.678063667501</v>
      </c>
      <c r="G113" s="29">
        <f>Table223421023456789[[#This Row],[Joris ]]-Table223421023456789[[#This Row],[REF]]</f>
        <v>3.4480641675010002</v>
      </c>
      <c r="H113" s="29">
        <f>Table223421023456789[[#This Row],[X-Y]]-E$20</f>
        <v>2.6865306376179205</v>
      </c>
      <c r="I113" s="29">
        <f>Table223421023456789[[#This Row],[Joris ]]-E$20</f>
        <v>11.91653013761792</v>
      </c>
      <c r="J113" s="29">
        <f>Table223421023456789[[#This Row],[Joris ]]*E$21+E$22</f>
        <v>11.589780322108926</v>
      </c>
      <c r="K113" s="56">
        <f>Table223421023456789[[#This Row],[Yest]]-Table223421023456789[[#This Row],[REF]]</f>
        <v>2.3597808221089256</v>
      </c>
      <c r="L113" s="56">
        <f>ABS(Table223421023456789[[#This Row],[RESyx]])</f>
        <v>2.3597808221089256</v>
      </c>
      <c r="M113" s="29">
        <f>Table223421023456789[[#This Row],[Joris ]]*E$25+E$26</f>
        <v>11.770434497529742</v>
      </c>
      <c r="N113" s="29">
        <f>Table223421023456789[[#This Row],[X-Y]]^2</f>
        <v>11.889146503204366</v>
      </c>
      <c r="O113" s="57">
        <f>Table223421023456789[[#This Row],[yest_rect]]-Table223421023456789[[#This Row],[REF]]</f>
        <v>2.5404349975297418</v>
      </c>
      <c r="P113" s="57">
        <f>Table223421023456789[[#This Row],[dif rec]]^2</f>
        <v>6.4538099766739387</v>
      </c>
      <c r="Q113" s="57">
        <f>ABS(Table223421023456789[[#This Row],[diff-bias]])</f>
        <v>2.6865306376179205</v>
      </c>
      <c r="R113" s="57">
        <f ca="1">CELL("row",Table223421023456789[[#This Row],[Position]])</f>
        <v>113</v>
      </c>
      <c r="S113" s="4">
        <f>Table223421023456789[[#This Row],[REF]]-D$13</f>
        <v>-1.780000750000001</v>
      </c>
      <c r="T113" s="4">
        <f>ABS(Table223421023456789[[#This Row],[lab-med]])</f>
        <v>1.780000750000001</v>
      </c>
      <c r="U113" s="4">
        <f>Table223421023456789[[#This Row],[Joris ]]-F$13</f>
        <v>0.86625225350912061</v>
      </c>
      <c r="V113" s="4">
        <f>ABS(Table223421023456789[[#This Row],[anl-med]])</f>
        <v>0.86625225350912061</v>
      </c>
      <c r="W113" s="4">
        <f>Table223421023456789[[#This Row],[lab-med]]*Table223421023456789[[#This Row],[anl-med]]</f>
        <v>-1.5419296609354256</v>
      </c>
    </row>
    <row r="114" spans="2:23" x14ac:dyDescent="0.25">
      <c r="B114" s="46">
        <f ca="1">VALUE((Table223421023456789[[#This Row],[Column3]]-62))</f>
        <v>52</v>
      </c>
      <c r="C114" t="s">
        <v>120</v>
      </c>
      <c r="D114">
        <v>11.2299995</v>
      </c>
      <c r="E114"/>
      <c r="F114">
        <v>11.478648514832839</v>
      </c>
      <c r="G114" s="29">
        <f>Table223421023456789[[#This Row],[Joris ]]-Table223421023456789[[#This Row],[REF]]</f>
        <v>0.2486490148328393</v>
      </c>
      <c r="H114" s="29">
        <f>Table223421023456789[[#This Row],[X-Y]]-E$20</f>
        <v>-0.51288451505024035</v>
      </c>
      <c r="I114" s="29">
        <f>Table223421023456789[[#This Row],[Joris ]]-E$20</f>
        <v>10.71711498494976</v>
      </c>
      <c r="J114" s="29">
        <f>Table223421023456789[[#This Row],[Joris ]]*E$21+E$22</f>
        <v>10.875983552042225</v>
      </c>
      <c r="K114" s="56">
        <f>Table223421023456789[[#This Row],[Yest]]-Table223421023456789[[#This Row],[REF]]</f>
        <v>-0.35401594795777491</v>
      </c>
      <c r="L114" s="56">
        <f>ABS(Table223421023456789[[#This Row],[RESyx]])</f>
        <v>0.35401594795777491</v>
      </c>
      <c r="M114" s="29">
        <f>Table223421023456789[[#This Row],[Joris ]]*E$25+E$26</f>
        <v>10.788147940127134</v>
      </c>
      <c r="N114" s="29">
        <f>Table223421023456789[[#This Row],[X-Y]]^2</f>
        <v>6.182633257734154E-2</v>
      </c>
      <c r="O114" s="57">
        <f>Table223421023456789[[#This Row],[yest_rect]]-Table223421023456789[[#This Row],[REF]]</f>
        <v>-0.44185155987286606</v>
      </c>
      <c r="P114" s="57">
        <f>Table223421023456789[[#This Row],[dif rec]]^2</f>
        <v>0.19523280096208495</v>
      </c>
      <c r="Q114" s="57">
        <f>ABS(Table223421023456789[[#This Row],[diff-bias]])</f>
        <v>0.51288451505024035</v>
      </c>
      <c r="R114" s="57">
        <f ca="1">CELL("row",Table223421023456789[[#This Row],[Position]])</f>
        <v>114</v>
      </c>
      <c r="S114" s="4">
        <f>Table223421023456789[[#This Row],[REF]]-D$13</f>
        <v>0.21999924999999898</v>
      </c>
      <c r="T114" s="4">
        <f>ABS(Table223421023456789[[#This Row],[lab-med]])</f>
        <v>0.21999924999999898</v>
      </c>
      <c r="U114" s="4">
        <f>Table223421023456789[[#This Row],[Joris ]]-F$13</f>
        <v>-0.33316289915904029</v>
      </c>
      <c r="V114" s="4">
        <f>ABS(Table223421023456789[[#This Row],[anl-med]])</f>
        <v>0.33316289915904029</v>
      </c>
      <c r="W114" s="4">
        <f>Table223421023456789[[#This Row],[lab-med]]*Table223421023456789[[#This Row],[anl-med]]</f>
        <v>-7.3295587942814155E-2</v>
      </c>
    </row>
    <row r="115" spans="2:23" x14ac:dyDescent="0.25">
      <c r="B115" s="46">
        <f ca="1">VALUE((Table223421023456789[[#This Row],[Column3]]-62))</f>
        <v>53</v>
      </c>
      <c r="C115" t="s">
        <v>121</v>
      </c>
      <c r="D115">
        <v>11.2299995</v>
      </c>
      <c r="E115"/>
      <c r="F115">
        <v>12.30154084361666</v>
      </c>
      <c r="G115" s="29">
        <f>Table223421023456789[[#This Row],[Joris ]]-Table223421023456789[[#This Row],[REF]]</f>
        <v>1.0715413436166603</v>
      </c>
      <c r="H115" s="29">
        <f>Table223421023456789[[#This Row],[X-Y]]-E$20</f>
        <v>0.31000781373358066</v>
      </c>
      <c r="I115" s="29">
        <f>Table223421023456789[[#This Row],[Joris ]]-E$20</f>
        <v>11.540007313733581</v>
      </c>
      <c r="J115" s="29">
        <f>Table223421023456789[[#This Row],[Joris ]]*E$21+E$22</f>
        <v>11.365703800358169</v>
      </c>
      <c r="K115" s="56">
        <f>Table223421023456789[[#This Row],[Yest]]-Table223421023456789[[#This Row],[REF]]</f>
        <v>0.13570430035816905</v>
      </c>
      <c r="L115" s="56">
        <f>ABS(Table223421023456789[[#This Row],[RESyx]])</f>
        <v>0.13570430035816905</v>
      </c>
      <c r="M115" s="29">
        <f>Table223421023456789[[#This Row],[Joris ]]*E$25+E$26</f>
        <v>11.462073120208387</v>
      </c>
      <c r="N115" s="29">
        <f>Table223421023456789[[#This Row],[X-Y]]^2</f>
        <v>1.1482008510797976</v>
      </c>
      <c r="O115" s="57">
        <f>Table223421023456789[[#This Row],[yest_rect]]-Table223421023456789[[#This Row],[REF]]</f>
        <v>0.23207362020838751</v>
      </c>
      <c r="P115" s="57">
        <f>Table223421023456789[[#This Row],[dif rec]]^2</f>
        <v>5.3858165196626888E-2</v>
      </c>
      <c r="Q115" s="57">
        <f>ABS(Table223421023456789[[#This Row],[diff-bias]])</f>
        <v>0.31000781373358066</v>
      </c>
      <c r="R115" s="57">
        <f ca="1">CELL("row",Table223421023456789[[#This Row],[Position]])</f>
        <v>115</v>
      </c>
      <c r="S115" s="4">
        <f>Table223421023456789[[#This Row],[REF]]-D$13</f>
        <v>0.21999924999999898</v>
      </c>
      <c r="T115" s="4">
        <f>ABS(Table223421023456789[[#This Row],[lab-med]])</f>
        <v>0.21999924999999898</v>
      </c>
      <c r="U115" s="4">
        <f>Table223421023456789[[#This Row],[Joris ]]-F$13</f>
        <v>0.48972942962478072</v>
      </c>
      <c r="V115" s="4">
        <f>ABS(Table223421023456789[[#This Row],[anl-med]])</f>
        <v>0.48972942962478072</v>
      </c>
      <c r="W115" s="4">
        <f>Table223421023456789[[#This Row],[lab-med]]*Table223421023456789[[#This Row],[anl-med]]</f>
        <v>0.10774010722037904</v>
      </c>
    </row>
    <row r="116" spans="2:23" x14ac:dyDescent="0.25">
      <c r="B116" s="46">
        <f ca="1">VALUE((Table223421023456789[[#This Row],[Column3]]-62))</f>
        <v>54</v>
      </c>
      <c r="C116" t="s">
        <v>122</v>
      </c>
      <c r="D116">
        <v>11.2399998</v>
      </c>
      <c r="E116"/>
      <c r="F116">
        <v>10.22643388603375</v>
      </c>
      <c r="G116" s="29">
        <f>Table223421023456789[[#This Row],[Joris ]]-Table223421023456789[[#This Row],[REF]]</f>
        <v>-1.0135659139662501</v>
      </c>
      <c r="H116" s="29">
        <f>Table223421023456789[[#This Row],[X-Y]]-E$20</f>
        <v>-1.7750994438493297</v>
      </c>
      <c r="I116" s="29">
        <f>Table223421023456789[[#This Row],[Joris ]]-E$20</f>
        <v>9.4649003561506699</v>
      </c>
      <c r="J116" s="29">
        <f>Table223421023456789[[#This Row],[Joris ]]*E$21+E$22</f>
        <v>10.130764721449079</v>
      </c>
      <c r="K116" s="56">
        <f>Table223421023456789[[#This Row],[Yest]]-Table223421023456789[[#This Row],[REF]]</f>
        <v>-1.1092350785509204</v>
      </c>
      <c r="L116" s="56">
        <f>ABS(Table223421023456789[[#This Row],[RESyx]])</f>
        <v>1.1092350785509204</v>
      </c>
      <c r="M116" s="29">
        <f>Table223421023456789[[#This Row],[Joris ]]*E$25+E$26</f>
        <v>9.7626201284132605</v>
      </c>
      <c r="N116" s="29">
        <f>Table223421023456789[[#This Row],[X-Y]]^2</f>
        <v>1.0273158619542397</v>
      </c>
      <c r="O116" s="57">
        <f>Table223421023456789[[#This Row],[yest_rect]]-Table223421023456789[[#This Row],[REF]]</f>
        <v>-1.4773796715867391</v>
      </c>
      <c r="P116" s="57">
        <f>Table223421023456789[[#This Row],[dif rec]]^2</f>
        <v>2.1826506940177413</v>
      </c>
      <c r="Q116" s="57">
        <f>ABS(Table223421023456789[[#This Row],[diff-bias]])</f>
        <v>1.7750994438493297</v>
      </c>
      <c r="R116" s="57">
        <f ca="1">CELL("row",Table223421023456789[[#This Row],[Position]])</f>
        <v>116</v>
      </c>
      <c r="S116" s="4">
        <f>Table223421023456789[[#This Row],[REF]]-D$13</f>
        <v>0.22999954999999872</v>
      </c>
      <c r="T116" s="4">
        <f>ABS(Table223421023456789[[#This Row],[lab-med]])</f>
        <v>0.22999954999999872</v>
      </c>
      <c r="U116" s="4">
        <f>Table223421023456789[[#This Row],[Joris ]]-F$13</f>
        <v>-1.5853775279581299</v>
      </c>
      <c r="V116" s="4">
        <f>ABS(Table223421023456789[[#This Row],[anl-med]])</f>
        <v>1.5853775279581299</v>
      </c>
      <c r="W116" s="4">
        <f>Table223421023456789[[#This Row],[lab-med]]*Table223421023456789[[#This Row],[anl-med]]</f>
        <v>-0.36463611801048029</v>
      </c>
    </row>
    <row r="117" spans="2:23" x14ac:dyDescent="0.25">
      <c r="B117" s="46">
        <f ca="1">VALUE((Table223421023456789[[#This Row],[Column3]]-62))</f>
        <v>55</v>
      </c>
      <c r="C117" t="s">
        <v>123</v>
      </c>
      <c r="D117">
        <v>12.5600004</v>
      </c>
      <c r="E117"/>
      <c r="F117">
        <v>12.74964137580006</v>
      </c>
      <c r="G117" s="29">
        <f>Table223421023456789[[#This Row],[Joris ]]-Table223421023456789[[#This Row],[REF]]</f>
        <v>0.18964097580006012</v>
      </c>
      <c r="H117" s="29">
        <f>Table223421023456789[[#This Row],[X-Y]]-E$20</f>
        <v>-0.57189255408301953</v>
      </c>
      <c r="I117" s="29">
        <f>Table223421023456789[[#This Row],[Joris ]]-E$20</f>
        <v>11.98810784591698</v>
      </c>
      <c r="J117" s="29">
        <f>Table223421023456789[[#This Row],[Joris ]]*E$21+E$22</f>
        <v>11.632377697070371</v>
      </c>
      <c r="K117" s="56">
        <f>Table223421023456789[[#This Row],[Yest]]-Table223421023456789[[#This Row],[REF]]</f>
        <v>-0.92762270292962867</v>
      </c>
      <c r="L117" s="56">
        <f>ABS(Table223421023456789[[#This Row],[RESyx]])</f>
        <v>0.92762270292962867</v>
      </c>
      <c r="M117" s="29">
        <f>Table223421023456789[[#This Row],[Joris ]]*E$25+E$26</f>
        <v>11.829054584590876</v>
      </c>
      <c r="N117" s="29">
        <f>Table223421023456789[[#This Row],[X-Y]]^2</f>
        <v>3.5963699702398988E-2</v>
      </c>
      <c r="O117" s="57">
        <f>Table223421023456789[[#This Row],[yest_rect]]-Table223421023456789[[#This Row],[REF]]</f>
        <v>-0.73094581540912351</v>
      </c>
      <c r="P117" s="57">
        <f>Table223421023456789[[#This Row],[dif rec]]^2</f>
        <v>0.53428178506410851</v>
      </c>
      <c r="Q117" s="57">
        <f>ABS(Table223421023456789[[#This Row],[diff-bias]])</f>
        <v>0.57189255408301953</v>
      </c>
      <c r="R117" s="57">
        <f ca="1">CELL("row",Table223421023456789[[#This Row],[Position]])</f>
        <v>117</v>
      </c>
      <c r="S117" s="4">
        <f>Table223421023456789[[#This Row],[REF]]-D$13</f>
        <v>1.5500001499999989</v>
      </c>
      <c r="T117" s="4">
        <f>ABS(Table223421023456789[[#This Row],[lab-med]])</f>
        <v>1.5500001499999989</v>
      </c>
      <c r="U117" s="4">
        <f>Table223421023456789[[#This Row],[Joris ]]-F$13</f>
        <v>0.93782996180818046</v>
      </c>
      <c r="V117" s="4">
        <f>ABS(Table223421023456789[[#This Row],[anl-med]])</f>
        <v>0.93782996180818046</v>
      </c>
      <c r="W117" s="4">
        <f>Table223421023456789[[#This Row],[lab-med]]*Table223421023456789[[#This Row],[anl-med]]</f>
        <v>1.453636581477173</v>
      </c>
    </row>
    <row r="118" spans="2:23" x14ac:dyDescent="0.25">
      <c r="B118" s="46">
        <f ca="1">VALUE((Table223421023456789[[#This Row],[Column3]]-62))</f>
        <v>56</v>
      </c>
      <c r="C118" t="s">
        <v>124</v>
      </c>
      <c r="D118">
        <v>10.0699997</v>
      </c>
      <c r="E118"/>
      <c r="F118">
        <v>10.49443098714157</v>
      </c>
      <c r="G118" s="29">
        <f>Table223421023456789[[#This Row],[Joris ]]-Table223421023456789[[#This Row],[REF]]</f>
        <v>0.42443128714156941</v>
      </c>
      <c r="H118" s="29">
        <f>Table223421023456789[[#This Row],[X-Y]]-E$20</f>
        <v>-0.33710224274151024</v>
      </c>
      <c r="I118" s="29">
        <f>Table223421023456789[[#This Row],[Joris ]]-E$20</f>
        <v>9.7328974572584901</v>
      </c>
      <c r="J118" s="29">
        <f>Table223421023456789[[#This Row],[Joris ]]*E$21+E$22</f>
        <v>10.290255340466569</v>
      </c>
      <c r="K118" s="56">
        <f>Table223421023456789[[#This Row],[Yest]]-Table223421023456789[[#This Row],[REF]]</f>
        <v>0.22025564046656854</v>
      </c>
      <c r="L118" s="56">
        <f>ABS(Table223421023456789[[#This Row],[RESyx]])</f>
        <v>0.22025564046656854</v>
      </c>
      <c r="M118" s="29">
        <f>Table223421023456789[[#This Row],[Joris ]]*E$25+E$26</f>
        <v>9.9821020561306693</v>
      </c>
      <c r="N118" s="29">
        <f>Table223421023456789[[#This Row],[X-Y]]^2</f>
        <v>0.18014191750464933</v>
      </c>
      <c r="O118" s="57">
        <f>Table223421023456789[[#This Row],[yest_rect]]-Table223421023456789[[#This Row],[REF]]</f>
        <v>-8.7897643869331077E-2</v>
      </c>
      <c r="P118" s="57">
        <f>Table223421023456789[[#This Row],[dif rec]]^2</f>
        <v>7.7259957977797548E-3</v>
      </c>
      <c r="Q118" s="57">
        <f>ABS(Table223421023456789[[#This Row],[diff-bias]])</f>
        <v>0.33710224274151024</v>
      </c>
      <c r="R118" s="57">
        <f ca="1">CELL("row",Table223421023456789[[#This Row],[Position]])</f>
        <v>118</v>
      </c>
      <c r="S118" s="4">
        <f>Table223421023456789[[#This Row],[REF]]-D$13</f>
        <v>-0.9400005500000006</v>
      </c>
      <c r="T118" s="4">
        <f>ABS(Table223421023456789[[#This Row],[lab-med]])</f>
        <v>0.9400005500000006</v>
      </c>
      <c r="U118" s="4">
        <f>Table223421023456789[[#This Row],[Joris ]]-F$13</f>
        <v>-1.3173804268503098</v>
      </c>
      <c r="V118" s="4">
        <f>ABS(Table223421023456789[[#This Row],[anl-med]])</f>
        <v>1.3173804268503098</v>
      </c>
      <c r="W118" s="4">
        <f>Table223421023456789[[#This Row],[lab-med]]*Table223421023456789[[#This Row],[anl-med]]</f>
        <v>1.2383383257985268</v>
      </c>
    </row>
    <row r="119" spans="2:23" x14ac:dyDescent="0.25">
      <c r="B119" s="46">
        <f ca="1">VALUE((Table223421023456789[[#This Row],[Column3]]-62))</f>
        <v>57</v>
      </c>
      <c r="C119" t="s">
        <v>125</v>
      </c>
      <c r="D119">
        <v>9.9399996000000002</v>
      </c>
      <c r="E119"/>
      <c r="F119">
        <v>8.850432525959226</v>
      </c>
      <c r="G119" s="29">
        <f>Table223421023456789[[#This Row],[Joris ]]-Table223421023456789[[#This Row],[REF]]</f>
        <v>-1.0895670740407741</v>
      </c>
      <c r="H119" s="29">
        <f>Table223421023456789[[#This Row],[X-Y]]-E$20</f>
        <v>-1.8511006039238538</v>
      </c>
      <c r="I119" s="29">
        <f>Table223421023456789[[#This Row],[Joris ]]-E$20</f>
        <v>8.0888989960761464</v>
      </c>
      <c r="J119" s="29">
        <f>Table223421023456789[[#This Row],[Joris ]]*E$21+E$22</f>
        <v>9.3118778462552321</v>
      </c>
      <c r="K119" s="56">
        <f>Table223421023456789[[#This Row],[Yest]]-Table223421023456789[[#This Row],[REF]]</f>
        <v>-0.62812175374476809</v>
      </c>
      <c r="L119" s="56">
        <f>ABS(Table223421023456789[[#This Row],[RESyx]])</f>
        <v>0.62812175374476809</v>
      </c>
      <c r="M119" s="29">
        <f>Table223421023456789[[#This Row],[Joris ]]*E$25+E$26</f>
        <v>8.6357145395000767</v>
      </c>
      <c r="N119" s="29">
        <f>Table223421023456789[[#This Row],[X-Y]]^2</f>
        <v>1.1871564088337738</v>
      </c>
      <c r="O119" s="57">
        <f>Table223421023456789[[#This Row],[yest_rect]]-Table223421023456789[[#This Row],[REF]]</f>
        <v>-1.3042850604999234</v>
      </c>
      <c r="P119" s="57">
        <f>Table223421023456789[[#This Row],[dif rec]]^2</f>
        <v>1.7011595190432889</v>
      </c>
      <c r="Q119" s="57">
        <f>ABS(Table223421023456789[[#This Row],[diff-bias]])</f>
        <v>1.8511006039238538</v>
      </c>
      <c r="R119" s="57">
        <f ca="1">CELL("row",Table223421023456789[[#This Row],[Position]])</f>
        <v>119</v>
      </c>
      <c r="S119" s="4">
        <f>Table223421023456789[[#This Row],[REF]]-D$13</f>
        <v>-1.0700006500000008</v>
      </c>
      <c r="T119" s="4">
        <f>ABS(Table223421023456789[[#This Row],[lab-med]])</f>
        <v>1.0700006500000008</v>
      </c>
      <c r="U119" s="4">
        <f>Table223421023456789[[#This Row],[Joris ]]-F$13</f>
        <v>-2.9613788880326535</v>
      </c>
      <c r="V119" s="4">
        <f>ABS(Table223421023456789[[#This Row],[anl-med]])</f>
        <v>2.9613788880326535</v>
      </c>
      <c r="W119" s="4">
        <f>Table223421023456789[[#This Row],[lab-med]]*Table223421023456789[[#This Row],[anl-med]]</f>
        <v>3.1686773350912185</v>
      </c>
    </row>
    <row r="120" spans="2:23" x14ac:dyDescent="0.25">
      <c r="B120" s="46">
        <f ca="1">VALUE((Table223421023456789[[#This Row],[Column3]]-62))</f>
        <v>58</v>
      </c>
      <c r="C120" t="s">
        <v>126</v>
      </c>
      <c r="D120">
        <v>10.2399998</v>
      </c>
      <c r="E120"/>
      <c r="F120">
        <v>11.14136743582544</v>
      </c>
      <c r="G120" s="29">
        <f>Table223421023456789[[#This Row],[Joris ]]-Table223421023456789[[#This Row],[REF]]</f>
        <v>0.90136763582544077</v>
      </c>
      <c r="H120" s="29">
        <f>Table223421023456789[[#This Row],[X-Y]]-E$20</f>
        <v>0.13983410594236112</v>
      </c>
      <c r="I120" s="29">
        <f>Table223421023456789[[#This Row],[Joris ]]-E$20</f>
        <v>10.379833905942361</v>
      </c>
      <c r="J120" s="29">
        <f>Table223421023456789[[#This Row],[Joris ]]*E$21+E$22</f>
        <v>10.675260604475209</v>
      </c>
      <c r="K120" s="56">
        <f>Table223421023456789[[#This Row],[Yest]]-Table223421023456789[[#This Row],[REF]]</f>
        <v>0.43526080447520954</v>
      </c>
      <c r="L120" s="56">
        <f>ABS(Table223421023456789[[#This Row],[RESyx]])</f>
        <v>0.43526080447520954</v>
      </c>
      <c r="M120" s="29">
        <f>Table223421023456789[[#This Row],[Joris ]]*E$25+E$26</f>
        <v>10.511924424659444</v>
      </c>
      <c r="N120" s="29">
        <f>Table223421023456789[[#This Row],[X-Y]]^2</f>
        <v>0.81246361491354446</v>
      </c>
      <c r="O120" s="57">
        <f>Table223421023456789[[#This Row],[yest_rect]]-Table223421023456789[[#This Row],[REF]]</f>
        <v>0.27192462465944445</v>
      </c>
      <c r="P120" s="57">
        <f>Table223421023456789[[#This Row],[dif rec]]^2</f>
        <v>7.3943001496179744E-2</v>
      </c>
      <c r="Q120" s="57">
        <f>ABS(Table223421023456789[[#This Row],[diff-bias]])</f>
        <v>0.13983410594236112</v>
      </c>
      <c r="R120" s="57">
        <f ca="1">CELL("row",Table223421023456789[[#This Row],[Position]])</f>
        <v>120</v>
      </c>
      <c r="S120" s="4">
        <f>Table223421023456789[[#This Row],[REF]]-D$13</f>
        <v>-0.77000045000000128</v>
      </c>
      <c r="T120" s="4">
        <f>ABS(Table223421023456789[[#This Row],[lab-med]])</f>
        <v>0.77000045000000128</v>
      </c>
      <c r="U120" s="4">
        <f>Table223421023456789[[#This Row],[Joris ]]-F$13</f>
        <v>-0.67044397816643908</v>
      </c>
      <c r="V120" s="4">
        <f>ABS(Table223421023456789[[#This Row],[anl-med]])</f>
        <v>0.67044397816643908</v>
      </c>
      <c r="W120" s="4">
        <f>Table223421023456789[[#This Row],[lab-med]]*Table223421023456789[[#This Row],[anl-med]]</f>
        <v>0.51624216488794916</v>
      </c>
    </row>
    <row r="121" spans="2:23" x14ac:dyDescent="0.25">
      <c r="B121" s="46">
        <f ca="1">VALUE((Table223421023456789[[#This Row],[Column3]]-62))</f>
        <v>59</v>
      </c>
      <c r="C121" t="s">
        <v>127</v>
      </c>
      <c r="D121">
        <v>11.420000099999999</v>
      </c>
      <c r="E121"/>
      <c r="F121">
        <v>10.19699686104317</v>
      </c>
      <c r="G121" s="29">
        <f>Table223421023456789[[#This Row],[Joris ]]-Table223421023456789[[#This Row],[REF]]</f>
        <v>-1.2230032389568297</v>
      </c>
      <c r="H121" s="29">
        <f>Table223421023456789[[#This Row],[X-Y]]-E$20</f>
        <v>-1.9845367688399094</v>
      </c>
      <c r="I121" s="29">
        <f>Table223421023456789[[#This Row],[Joris ]]-E$20</f>
        <v>9.43546333116009</v>
      </c>
      <c r="J121" s="29">
        <f>Table223421023456789[[#This Row],[Joris ]]*E$21+E$22</f>
        <v>10.113246138903325</v>
      </c>
      <c r="K121" s="56">
        <f>Table223421023456789[[#This Row],[Yest]]-Table223421023456789[[#This Row],[REF]]</f>
        <v>-1.3067539610966747</v>
      </c>
      <c r="L121" s="56">
        <f>ABS(Table223421023456789[[#This Row],[RESyx]])</f>
        <v>1.3067539610966747</v>
      </c>
      <c r="M121" s="29">
        <f>Table223421023456789[[#This Row],[Joris ]]*E$25+E$26</f>
        <v>9.738512050510586</v>
      </c>
      <c r="N121" s="29">
        <f>Table223421023456789[[#This Row],[X-Y]]^2</f>
        <v>1.4957369224988963</v>
      </c>
      <c r="O121" s="57">
        <f>Table223421023456789[[#This Row],[yest_rect]]-Table223421023456789[[#This Row],[REF]]</f>
        <v>-1.6814880494894133</v>
      </c>
      <c r="P121" s="57">
        <f>Table223421023456789[[#This Row],[dif rec]]^2</f>
        <v>2.8274020605757118</v>
      </c>
      <c r="Q121" s="57">
        <f>ABS(Table223421023456789[[#This Row],[diff-bias]])</f>
        <v>1.9845367688399094</v>
      </c>
      <c r="R121" s="57">
        <f ca="1">CELL("row",Table223421023456789[[#This Row],[Position]])</f>
        <v>121</v>
      </c>
      <c r="S121" s="4">
        <f>Table223421023456789[[#This Row],[REF]]-D$13</f>
        <v>0.40999984999999839</v>
      </c>
      <c r="T121" s="4">
        <f>ABS(Table223421023456789[[#This Row],[lab-med]])</f>
        <v>0.40999984999999839</v>
      </c>
      <c r="U121" s="4">
        <f>Table223421023456789[[#This Row],[Joris ]]-F$13</f>
        <v>-1.6148145529487099</v>
      </c>
      <c r="V121" s="4">
        <f>ABS(Table223421023456789[[#This Row],[anl-med]])</f>
        <v>1.6148145529487099</v>
      </c>
      <c r="W121" s="4">
        <f>Table223421023456789[[#This Row],[lab-med]]*Table223421023456789[[#This Row],[anl-med]]</f>
        <v>-0.66207372448678548</v>
      </c>
    </row>
    <row r="122" spans="2:23" x14ac:dyDescent="0.25">
      <c r="B122" s="46">
        <f ca="1">VALUE((Table223421023456789[[#This Row],[Column3]]-62))</f>
        <v>60</v>
      </c>
      <c r="C122" t="s">
        <v>128</v>
      </c>
      <c r="D122">
        <v>10.5</v>
      </c>
      <c r="E122"/>
      <c r="F122">
        <v>10.74786607106072</v>
      </c>
      <c r="G122" s="29">
        <f>Table223421023456789[[#This Row],[Joris ]]-Table223421023456789[[#This Row],[REF]]</f>
        <v>0.24786607106072012</v>
      </c>
      <c r="H122" s="29">
        <f>Table223421023456789[[#This Row],[X-Y]]-E$20</f>
        <v>-0.51366745882235954</v>
      </c>
      <c r="I122" s="29">
        <f>Table223421023456789[[#This Row],[Joris ]]-E$20</f>
        <v>9.9863325411776405</v>
      </c>
      <c r="J122" s="29">
        <f>Table223421023456789[[#This Row],[Joris ]]*E$21+E$22</f>
        <v>10.441079801805621</v>
      </c>
      <c r="K122" s="56">
        <f>Table223421023456789[[#This Row],[Yest]]-Table223421023456789[[#This Row],[REF]]</f>
        <v>-5.892019819437877E-2</v>
      </c>
      <c r="L122" s="56">
        <f>ABS(Table223421023456789[[#This Row],[RESyx]])</f>
        <v>5.892019819437877E-2</v>
      </c>
      <c r="M122" s="29">
        <f>Table223421023456789[[#This Row],[Joris ]]*E$25+E$26</f>
        <v>10.189658110057611</v>
      </c>
      <c r="N122" s="29">
        <f>Table223421023456789[[#This Row],[X-Y]]^2</f>
        <v>6.1437589183077956E-2</v>
      </c>
      <c r="O122" s="57">
        <f>Table223421023456789[[#This Row],[yest_rect]]-Table223421023456789[[#This Row],[REF]]</f>
        <v>-0.31034188994238932</v>
      </c>
      <c r="P122" s="57">
        <f>Table223421023456789[[#This Row],[dif rec]]^2</f>
        <v>9.6312088653014077E-2</v>
      </c>
      <c r="Q122" s="57">
        <f>ABS(Table223421023456789[[#This Row],[diff-bias]])</f>
        <v>0.51366745882235954</v>
      </c>
      <c r="R122" s="57">
        <f ca="1">CELL("row",Table223421023456789[[#This Row],[Position]])</f>
        <v>122</v>
      </c>
      <c r="S122" s="4">
        <f>Table223421023456789[[#This Row],[REF]]-D$13</f>
        <v>-0.51000025000000093</v>
      </c>
      <c r="T122" s="4">
        <f>ABS(Table223421023456789[[#This Row],[lab-med]])</f>
        <v>0.51000025000000093</v>
      </c>
      <c r="U122" s="4">
        <f>Table223421023456789[[#This Row],[Joris ]]-F$13</f>
        <v>-1.0639453429311594</v>
      </c>
      <c r="V122" s="4">
        <f>ABS(Table223421023456789[[#This Row],[anl-med]])</f>
        <v>1.0639453429311594</v>
      </c>
      <c r="W122" s="4">
        <f>Table223421023456789[[#This Row],[lab-med]]*Table223421023456789[[#This Row],[anl-med]]</f>
        <v>0.54261239088122803</v>
      </c>
    </row>
    <row r="123" spans="2:23" x14ac:dyDescent="0.25">
      <c r="B123" s="46">
        <f ca="1">VALUE((Table223421023456789[[#This Row],[Column3]]-62))</f>
        <v>61</v>
      </c>
      <c r="C123" t="s">
        <v>129</v>
      </c>
      <c r="D123">
        <v>13.140000300000001</v>
      </c>
      <c r="E123"/>
      <c r="F123">
        <v>13.686896839229449</v>
      </c>
      <c r="G123" s="29">
        <f>Table223421023456789[[#This Row],[Joris ]]-Table223421023456789[[#This Row],[REF]]</f>
        <v>0.54689653922944892</v>
      </c>
      <c r="H123" s="29">
        <f>Table223421023456789[[#This Row],[X-Y]]-E$20</f>
        <v>-0.21463699065363073</v>
      </c>
      <c r="I123" s="29">
        <f>Table223421023456789[[#This Row],[Joris ]]-E$20</f>
        <v>12.92536330934637</v>
      </c>
      <c r="J123" s="29">
        <f>Table223421023456789[[#This Row],[Joris ]]*E$21+E$22</f>
        <v>12.190157812683402</v>
      </c>
      <c r="K123" s="56">
        <f>Table223421023456789[[#This Row],[Yest]]-Table223421023456789[[#This Row],[REF]]</f>
        <v>-0.94984248731659804</v>
      </c>
      <c r="L123" s="56">
        <f>ABS(Table223421023456789[[#This Row],[RESyx]])</f>
        <v>0.94984248731659804</v>
      </c>
      <c r="M123" s="29">
        <f>Table223421023456789[[#This Row],[Joris ]]*E$25+E$26</f>
        <v>12.596639886919931</v>
      </c>
      <c r="N123" s="29">
        <f>Table223421023456789[[#This Row],[X-Y]]^2</f>
        <v>0.29909582462114814</v>
      </c>
      <c r="O123" s="57">
        <f>Table223421023456789[[#This Row],[yest_rect]]-Table223421023456789[[#This Row],[REF]]</f>
        <v>-0.54336041308006955</v>
      </c>
      <c r="P123" s="57">
        <f>Table223421023456789[[#This Row],[dif rec]]^2</f>
        <v>0.29524053850254384</v>
      </c>
      <c r="Q123" s="57">
        <f>ABS(Table223421023456789[[#This Row],[diff-bias]])</f>
        <v>0.21463699065363073</v>
      </c>
      <c r="R123" s="57">
        <f ca="1">CELL("row",Table223421023456789[[#This Row],[Position]])</f>
        <v>123</v>
      </c>
      <c r="S123" s="4">
        <f>Table223421023456789[[#This Row],[REF]]-D$13</f>
        <v>2.1300000499999996</v>
      </c>
      <c r="T123" s="4">
        <f>ABS(Table223421023456789[[#This Row],[lab-med]])</f>
        <v>2.1300000499999996</v>
      </c>
      <c r="U123" s="4">
        <f>Table223421023456789[[#This Row],[Joris ]]-F$13</f>
        <v>1.8750854252375699</v>
      </c>
      <c r="V123" s="4">
        <f>ABS(Table223421023456789[[#This Row],[anl-med]])</f>
        <v>1.8750854252375699</v>
      </c>
      <c r="W123" s="4">
        <f>Table223421023456789[[#This Row],[lab-med]]*Table223421023456789[[#This Row],[anl-med]]</f>
        <v>3.9939320495102946</v>
      </c>
    </row>
    <row r="124" spans="2:23" x14ac:dyDescent="0.25">
      <c r="B124" s="46">
        <f ca="1">VALUE((Table223421023456789[[#This Row],[Column3]]-62))</f>
        <v>62</v>
      </c>
      <c r="C124" t="s">
        <v>130</v>
      </c>
      <c r="D124">
        <v>11.699999800000001</v>
      </c>
      <c r="E124"/>
      <c r="F124">
        <v>13.714080370576211</v>
      </c>
      <c r="G124" s="29">
        <f>Table223421023456789[[#This Row],[Joris ]]-Table223421023456789[[#This Row],[REF]]</f>
        <v>2.0140805705762101</v>
      </c>
      <c r="H124" s="29">
        <f>Table223421023456789[[#This Row],[X-Y]]-E$20</f>
        <v>1.2525470406931305</v>
      </c>
      <c r="I124" s="29">
        <f>Table223421023456789[[#This Row],[Joris ]]-E$20</f>
        <v>12.952546840693131</v>
      </c>
      <c r="J124" s="29">
        <f>Table223421023456789[[#This Row],[Joris ]]*E$21+E$22</f>
        <v>12.206335294542924</v>
      </c>
      <c r="K124" s="56">
        <f>Table223421023456789[[#This Row],[Yest]]-Table223421023456789[[#This Row],[REF]]</f>
        <v>0.50633549454292393</v>
      </c>
      <c r="L124" s="56">
        <f>ABS(Table223421023456789[[#This Row],[RESyx]])</f>
        <v>0.50633549454292393</v>
      </c>
      <c r="M124" s="29">
        <f>Table223421023456789[[#This Row],[Joris ]]*E$25+E$26</f>
        <v>12.618902418258855</v>
      </c>
      <c r="N124" s="29">
        <f>Table223421023456789[[#This Row],[X-Y]]^2</f>
        <v>4.0565205447725923</v>
      </c>
      <c r="O124" s="57">
        <f>Table223421023456789[[#This Row],[yest_rect]]-Table223421023456789[[#This Row],[REF]]</f>
        <v>0.91890261825885489</v>
      </c>
      <c r="P124" s="57">
        <f>Table223421023456789[[#This Row],[dif rec]]^2</f>
        <v>0.84438202184297884</v>
      </c>
      <c r="Q124" s="57">
        <f>ABS(Table223421023456789[[#This Row],[diff-bias]])</f>
        <v>1.2525470406931305</v>
      </c>
      <c r="R124" s="57">
        <f ca="1">CELL("row",Table223421023456789[[#This Row],[Position]])</f>
        <v>124</v>
      </c>
      <c r="S124" s="4">
        <f>Table223421023456789[[#This Row],[REF]]-D$13</f>
        <v>0.68999954999999957</v>
      </c>
      <c r="T124" s="4">
        <f>ABS(Table223421023456789[[#This Row],[lab-med]])</f>
        <v>0.68999954999999957</v>
      </c>
      <c r="U124" s="4">
        <f>Table223421023456789[[#This Row],[Joris ]]-F$13</f>
        <v>1.9022689565843311</v>
      </c>
      <c r="V124" s="4">
        <f>ABS(Table223421023456789[[#This Row],[anl-med]])</f>
        <v>1.9022689565843311</v>
      </c>
      <c r="W124" s="4">
        <f>Table223421023456789[[#This Row],[lab-med]]*Table223421023456789[[#This Row],[anl-med]]</f>
        <v>1.3125647240221572</v>
      </c>
    </row>
    <row r="125" spans="2:23" x14ac:dyDescent="0.25">
      <c r="B125" s="46">
        <f ca="1">VALUE((Table223421023456789[[#This Row],[Column3]]-62))</f>
        <v>63</v>
      </c>
      <c r="C125" t="s">
        <v>131</v>
      </c>
      <c r="D125">
        <v>10.3800001</v>
      </c>
      <c r="E125"/>
      <c r="F125">
        <v>11.92211860601444</v>
      </c>
      <c r="G125" s="29">
        <f>Table223421023456789[[#This Row],[Joris ]]-Table223421023456789[[#This Row],[REF]]</f>
        <v>1.5421185060144396</v>
      </c>
      <c r="H125" s="29">
        <f>Table223421023456789[[#This Row],[X-Y]]-E$20</f>
        <v>0.78058497613135991</v>
      </c>
      <c r="I125" s="29">
        <f>Table223421023456789[[#This Row],[Joris ]]-E$20</f>
        <v>11.16058507613136</v>
      </c>
      <c r="J125" s="29">
        <f>Table223421023456789[[#This Row],[Joris ]]*E$21+E$22</f>
        <v>11.139901777522731</v>
      </c>
      <c r="K125" s="56">
        <f>Table223421023456789[[#This Row],[Yest]]-Table223421023456789[[#This Row],[REF]]</f>
        <v>0.75990167752273052</v>
      </c>
      <c r="L125" s="56">
        <f>ABS(Table223421023456789[[#This Row],[RESyx]])</f>
        <v>0.75990167752273052</v>
      </c>
      <c r="M125" s="29">
        <f>Table223421023456789[[#This Row],[Joris ]]*E$25+E$26</f>
        <v>11.151337206336375</v>
      </c>
      <c r="N125" s="29">
        <f>Table223421023456789[[#This Row],[X-Y]]^2</f>
        <v>2.3781294865922069</v>
      </c>
      <c r="O125" s="57">
        <f>Table223421023456789[[#This Row],[yest_rect]]-Table223421023456789[[#This Row],[REF]]</f>
        <v>0.7713371063363752</v>
      </c>
      <c r="P125" s="57">
        <f>Table223421023456789[[#This Row],[dif rec]]^2</f>
        <v>0.59496093161137253</v>
      </c>
      <c r="Q125" s="57">
        <f>ABS(Table223421023456789[[#This Row],[diff-bias]])</f>
        <v>0.78058497613135991</v>
      </c>
      <c r="R125" s="57">
        <f ca="1">CELL("row",Table223421023456789[[#This Row],[Position]])</f>
        <v>125</v>
      </c>
      <c r="S125" s="4">
        <f>Table223421023456789[[#This Row],[REF]]-D$13</f>
        <v>-0.63000015000000076</v>
      </c>
      <c r="T125" s="4">
        <f>ABS(Table223421023456789[[#This Row],[lab-med]])</f>
        <v>0.63000015000000076</v>
      </c>
      <c r="U125" s="4">
        <f>Table223421023456789[[#This Row],[Joris ]]-F$13</f>
        <v>0.11030719202256023</v>
      </c>
      <c r="V125" s="4">
        <f>ABS(Table223421023456789[[#This Row],[anl-med]])</f>
        <v>0.11030719202256023</v>
      </c>
      <c r="W125" s="4">
        <f>Table223421023456789[[#This Row],[lab-med]]*Table223421023456789[[#This Row],[anl-med]]</f>
        <v>-6.9493547520291826E-2</v>
      </c>
    </row>
    <row r="126" spans="2:23" x14ac:dyDescent="0.25">
      <c r="B126" s="46">
        <f ca="1">VALUE((Table223421023456789[[#This Row],[Column3]]-62))</f>
        <v>64</v>
      </c>
      <c r="C126" t="s">
        <v>132</v>
      </c>
      <c r="D126">
        <v>13.350000400000001</v>
      </c>
      <c r="E126"/>
      <c r="F126">
        <v>13.463153712288181</v>
      </c>
      <c r="G126" s="29">
        <f>Table223421023456789[[#This Row],[Joris ]]-Table223421023456789[[#This Row],[REF]]</f>
        <v>0.11315331228817982</v>
      </c>
      <c r="H126" s="29">
        <f>Table223421023456789[[#This Row],[X-Y]]-E$20</f>
        <v>-0.64838021759489983</v>
      </c>
      <c r="I126" s="29">
        <f>Table223421023456789[[#This Row],[Joris ]]-E$20</f>
        <v>12.701620182405101</v>
      </c>
      <c r="J126" s="29">
        <f>Table223421023456789[[#This Row],[Joris ]]*E$21+E$22</f>
        <v>12.057003649189616</v>
      </c>
      <c r="K126" s="56">
        <f>Table223421023456789[[#This Row],[Yest]]-Table223421023456789[[#This Row],[REF]]</f>
        <v>-1.292996750810385</v>
      </c>
      <c r="L126" s="56">
        <f>ABS(Table223421023456789[[#This Row],[RESyx]])</f>
        <v>1.292996750810385</v>
      </c>
      <c r="M126" s="29">
        <f>Table223421023456789[[#This Row],[Joris ]]*E$25+E$26</f>
        <v>12.413400692870463</v>
      </c>
      <c r="N126" s="29">
        <f>Table223421023456789[[#This Row],[X-Y]]^2</f>
        <v>1.2803672081786345E-2</v>
      </c>
      <c r="O126" s="57">
        <f>Table223421023456789[[#This Row],[yest_rect]]-Table223421023456789[[#This Row],[REF]]</f>
        <v>-0.93659970712953822</v>
      </c>
      <c r="P126" s="57">
        <f>Table223421023456789[[#This Row],[dif rec]]^2</f>
        <v>0.87721901139513681</v>
      </c>
      <c r="Q126" s="57">
        <f>ABS(Table223421023456789[[#This Row],[diff-bias]])</f>
        <v>0.64838021759489983</v>
      </c>
      <c r="R126" s="57">
        <f ca="1">CELL("row",Table223421023456789[[#This Row],[Position]])</f>
        <v>126</v>
      </c>
      <c r="S126" s="4">
        <f>Table223421023456789[[#This Row],[REF]]-D$13</f>
        <v>2.3400001499999998</v>
      </c>
      <c r="T126" s="4">
        <f>ABS(Table223421023456789[[#This Row],[lab-med]])</f>
        <v>2.3400001499999998</v>
      </c>
      <c r="U126" s="4">
        <f>Table223421023456789[[#This Row],[Joris ]]-F$13</f>
        <v>1.6513422982963011</v>
      </c>
      <c r="V126" s="4">
        <f>ABS(Table223421023456789[[#This Row],[anl-med]])</f>
        <v>1.6513422982963011</v>
      </c>
      <c r="W126" s="4">
        <f>Table223421023456789[[#This Row],[lab-med]]*Table223421023456789[[#This Row],[anl-med]]</f>
        <v>3.8641412257146892</v>
      </c>
    </row>
    <row r="127" spans="2:23" x14ac:dyDescent="0.25">
      <c r="B127" s="46">
        <f ca="1">VALUE((Table223421023456789[[#This Row],[Column3]]-62))</f>
        <v>65</v>
      </c>
      <c r="C127" t="s">
        <v>133</v>
      </c>
      <c r="D127">
        <v>12.6599998</v>
      </c>
      <c r="E127"/>
      <c r="F127">
        <v>12.375870373909519</v>
      </c>
      <c r="G127" s="29">
        <f>Table223421023456789[[#This Row],[Joris ]]-Table223421023456789[[#This Row],[REF]]</f>
        <v>-0.28412942609048031</v>
      </c>
      <c r="H127" s="29">
        <f>Table223421023456789[[#This Row],[X-Y]]-E$20</f>
        <v>-1.04566295597356</v>
      </c>
      <c r="I127" s="29">
        <f>Table223421023456789[[#This Row],[Joris ]]-E$20</f>
        <v>11.61433684402644</v>
      </c>
      <c r="J127" s="29">
        <f>Table223421023456789[[#This Row],[Joris ]]*E$21+E$22</f>
        <v>11.409938841516013</v>
      </c>
      <c r="K127" s="56">
        <f>Table223421023456789[[#This Row],[Yest]]-Table223421023456789[[#This Row],[REF]]</f>
        <v>-1.2500609584839868</v>
      </c>
      <c r="L127" s="56">
        <f>ABS(Table223421023456789[[#This Row],[RESyx]])</f>
        <v>1.2500609584839868</v>
      </c>
      <c r="M127" s="29">
        <f>Table223421023456789[[#This Row],[Joris ]]*E$25+E$26</f>
        <v>11.522946870437659</v>
      </c>
      <c r="N127" s="29">
        <f>Table223421023456789[[#This Row],[X-Y]]^2</f>
        <v>8.0729530770505709E-2</v>
      </c>
      <c r="O127" s="57">
        <f>Table223421023456789[[#This Row],[yest_rect]]-Table223421023456789[[#This Row],[REF]]</f>
        <v>-1.1370529295623406</v>
      </c>
      <c r="P127" s="57">
        <f>Table223421023456789[[#This Row],[dif rec]]^2</f>
        <v>1.2928893646263011</v>
      </c>
      <c r="Q127" s="57">
        <f>ABS(Table223421023456789[[#This Row],[diff-bias]])</f>
        <v>1.04566295597356</v>
      </c>
      <c r="R127" s="57">
        <f ca="1">CELL("row",Table223421023456789[[#This Row],[Position]])</f>
        <v>127</v>
      </c>
      <c r="S127" s="4">
        <f>Table223421023456789[[#This Row],[REF]]-D$13</f>
        <v>1.6499995499999986</v>
      </c>
      <c r="T127" s="4">
        <f>ABS(Table223421023456789[[#This Row],[lab-med]])</f>
        <v>1.6499995499999986</v>
      </c>
      <c r="U127" s="4">
        <f>Table223421023456789[[#This Row],[Joris ]]-F$13</f>
        <v>0.56405895991763977</v>
      </c>
      <c r="V127" s="4">
        <f>ABS(Table223421023456789[[#This Row],[anl-med]])</f>
        <v>0.56405895991763977</v>
      </c>
      <c r="W127" s="4">
        <f>Table223421023456789[[#This Row],[lab-med]]*Table223421023456789[[#This Row],[anl-med]]</f>
        <v>0.93069703003757287</v>
      </c>
    </row>
    <row r="128" spans="2:23" x14ac:dyDescent="0.25">
      <c r="B128" s="46">
        <f ca="1">VALUE((Table223421023456789[[#This Row],[Column3]]-62))</f>
        <v>66</v>
      </c>
      <c r="C128" t="s">
        <v>134</v>
      </c>
      <c r="D128">
        <v>11.9899998</v>
      </c>
      <c r="E128"/>
      <c r="F128">
        <v>13.460662490205729</v>
      </c>
      <c r="G128" s="29">
        <f>Table223421023456789[[#This Row],[Joris ]]-Table223421023456789[[#This Row],[REF]]</f>
        <v>1.4706626902057298</v>
      </c>
      <c r="H128" s="29">
        <f>Table223421023456789[[#This Row],[X-Y]]-E$20</f>
        <v>0.70912916032265016</v>
      </c>
      <c r="I128" s="29">
        <f>Table223421023456789[[#This Row],[Joris ]]-E$20</f>
        <v>12.69912896032265</v>
      </c>
      <c r="J128" s="29">
        <f>Table223421023456789[[#This Row],[Joris ]]*E$21+E$22</f>
        <v>12.055521071391579</v>
      </c>
      <c r="K128" s="56">
        <f>Table223421023456789[[#This Row],[Yest]]-Table223421023456789[[#This Row],[REF]]</f>
        <v>6.5521271391579816E-2</v>
      </c>
      <c r="L128" s="56">
        <f>ABS(Table223421023456789[[#This Row],[RESyx]])</f>
        <v>6.5521271391579816E-2</v>
      </c>
      <c r="M128" s="29">
        <f>Table223421023456789[[#This Row],[Joris ]]*E$25+E$26</f>
        <v>12.411360453544111</v>
      </c>
      <c r="N128" s="29">
        <f>Table223421023456789[[#This Row],[X-Y]]^2</f>
        <v>2.1628487483631544</v>
      </c>
      <c r="O128" s="57">
        <f>Table223421023456789[[#This Row],[yest_rect]]-Table223421023456789[[#This Row],[REF]]</f>
        <v>0.42136065354411123</v>
      </c>
      <c r="P128" s="57">
        <f>Table223421023456789[[#This Row],[dif rec]]^2</f>
        <v>0.17754480035512055</v>
      </c>
      <c r="Q128" s="57">
        <f>ABS(Table223421023456789[[#This Row],[diff-bias]])</f>
        <v>0.70912916032265016</v>
      </c>
      <c r="R128" s="57">
        <f ca="1">CELL("row",Table223421023456789[[#This Row],[Position]])</f>
        <v>128</v>
      </c>
      <c r="S128" s="4">
        <f>Table223421023456789[[#This Row],[REF]]-D$13</f>
        <v>0.97999954999999872</v>
      </c>
      <c r="T128" s="4">
        <f>ABS(Table223421023456789[[#This Row],[lab-med]])</f>
        <v>0.97999954999999872</v>
      </c>
      <c r="U128" s="4">
        <f>Table223421023456789[[#This Row],[Joris ]]-F$13</f>
        <v>1.64885107621385</v>
      </c>
      <c r="V128" s="4">
        <f>ABS(Table223421023456789[[#This Row],[anl-med]])</f>
        <v>1.64885107621385</v>
      </c>
      <c r="W128" s="4">
        <f>Table223421023456789[[#This Row],[lab-med]]*Table223421023456789[[#This Row],[anl-med]]</f>
        <v>1.6158733127065865</v>
      </c>
    </row>
    <row r="129" spans="2:23" x14ac:dyDescent="0.25">
      <c r="B129" s="46">
        <f ca="1">VALUE((Table223421023456789[[#This Row],[Column3]]-62))</f>
        <v>67</v>
      </c>
      <c r="C129" t="s">
        <v>135</v>
      </c>
      <c r="D129">
        <v>12</v>
      </c>
      <c r="E129"/>
      <c r="F129">
        <v>11.88095607391703</v>
      </c>
      <c r="G129" s="29">
        <f>Table223421023456789[[#This Row],[Joris ]]-Table223421023456789[[#This Row],[REF]]</f>
        <v>-0.11904392608296988</v>
      </c>
      <c r="H129" s="29">
        <f>Table223421023456789[[#This Row],[X-Y]]-E$20</f>
        <v>-0.88057745596604953</v>
      </c>
      <c r="I129" s="29">
        <f>Table223421023456789[[#This Row],[Joris ]]-E$20</f>
        <v>11.11942254403395</v>
      </c>
      <c r="J129" s="29">
        <f>Table223421023456789[[#This Row],[Joris ]]*E$21+E$22</f>
        <v>11.115405103128101</v>
      </c>
      <c r="K129" s="56">
        <f>Table223421023456789[[#This Row],[Yest]]-Table223421023456789[[#This Row],[REF]]</f>
        <v>-0.88459489687189929</v>
      </c>
      <c r="L129" s="56">
        <f>ABS(Table223421023456789[[#This Row],[RESyx]])</f>
        <v>0.88459489687189929</v>
      </c>
      <c r="M129" s="29">
        <f>Table223421023456789[[#This Row],[Joris ]]*E$25+E$26</f>
        <v>11.11762627492285</v>
      </c>
      <c r="N129" s="29">
        <f>Table223421023456789[[#This Row],[X-Y]]^2</f>
        <v>1.4171456337247595E-2</v>
      </c>
      <c r="O129" s="57">
        <f>Table223421023456789[[#This Row],[yest_rect]]-Table223421023456789[[#This Row],[REF]]</f>
        <v>-0.88237372507714973</v>
      </c>
      <c r="P129" s="57">
        <f>Table223421023456789[[#This Row],[dif rec]]^2</f>
        <v>0.77858339070652538</v>
      </c>
      <c r="Q129" s="57">
        <f>ABS(Table223421023456789[[#This Row],[diff-bias]])</f>
        <v>0.88057745596604953</v>
      </c>
      <c r="R129" s="57">
        <f ca="1">CELL("row",Table223421023456789[[#This Row],[Position]])</f>
        <v>129</v>
      </c>
      <c r="S129" s="4">
        <f>Table223421023456789[[#This Row],[REF]]-D$13</f>
        <v>0.98999974999999907</v>
      </c>
      <c r="T129" s="4">
        <f>ABS(Table223421023456789[[#This Row],[lab-med]])</f>
        <v>0.98999974999999907</v>
      </c>
      <c r="U129" s="4">
        <f>Table223421023456789[[#This Row],[Joris ]]-F$13</f>
        <v>6.914465992515062E-2</v>
      </c>
      <c r="V129" s="4">
        <f>ABS(Table223421023456789[[#This Row],[anl-med]])</f>
        <v>6.914465992515062E-2</v>
      </c>
      <c r="W129" s="4">
        <f>Table223421023456789[[#This Row],[lab-med]]*Table223421023456789[[#This Row],[anl-med]]</f>
        <v>6.8453196039734071E-2</v>
      </c>
    </row>
    <row r="130" spans="2:23" x14ac:dyDescent="0.25">
      <c r="B130" s="46">
        <f ca="1">VALUE((Table223421023456789[[#This Row],[Column3]]-62))</f>
        <v>68</v>
      </c>
      <c r="C130" t="s">
        <v>136</v>
      </c>
      <c r="D130">
        <v>12</v>
      </c>
      <c r="E130"/>
      <c r="F130">
        <v>12.737558517183739</v>
      </c>
      <c r="G130" s="29">
        <f>Table223421023456789[[#This Row],[Joris ]]-Table223421023456789[[#This Row],[REF]]</f>
        <v>0.73755851718373933</v>
      </c>
      <c r="H130" s="29">
        <f>Table223421023456789[[#This Row],[X-Y]]-E$20</f>
        <v>-2.3975012699340326E-2</v>
      </c>
      <c r="I130" s="29">
        <f>Table223421023456789[[#This Row],[Joris ]]-E$20</f>
        <v>11.97602498730066</v>
      </c>
      <c r="J130" s="29">
        <f>Table223421023456789[[#This Row],[Joris ]]*E$21+E$22</f>
        <v>11.625186937945546</v>
      </c>
      <c r="K130" s="56">
        <f>Table223421023456789[[#This Row],[Yest]]-Table223421023456789[[#This Row],[REF]]</f>
        <v>-0.37481306205445364</v>
      </c>
      <c r="L130" s="56">
        <f>ABS(Table223421023456789[[#This Row],[RESyx]])</f>
        <v>0.37481306205445364</v>
      </c>
      <c r="M130" s="29">
        <f>Table223421023456789[[#This Row],[Joris ]]*E$25+E$26</f>
        <v>11.819159070458504</v>
      </c>
      <c r="N130" s="29">
        <f>Table223421023456789[[#This Row],[X-Y]]^2</f>
        <v>0.54399256627027626</v>
      </c>
      <c r="O130" s="57">
        <f>Table223421023456789[[#This Row],[yest_rect]]-Table223421023456789[[#This Row],[REF]]</f>
        <v>-0.18084092954149611</v>
      </c>
      <c r="P130" s="57">
        <f>Table223421023456789[[#This Row],[dif rec]]^2</f>
        <v>3.2703441797432363E-2</v>
      </c>
      <c r="Q130" s="57">
        <f>ABS(Table223421023456789[[#This Row],[diff-bias]])</f>
        <v>2.3975012699340326E-2</v>
      </c>
      <c r="R130" s="57">
        <f ca="1">CELL("row",Table223421023456789[[#This Row],[Position]])</f>
        <v>130</v>
      </c>
      <c r="S130" s="4">
        <f>Table223421023456789[[#This Row],[REF]]-D$13</f>
        <v>0.98999974999999907</v>
      </c>
      <c r="T130" s="4">
        <f>ABS(Table223421023456789[[#This Row],[lab-med]])</f>
        <v>0.98999974999999907</v>
      </c>
      <c r="U130" s="4">
        <f>Table223421023456789[[#This Row],[Joris ]]-F$13</f>
        <v>0.92574710319185982</v>
      </c>
      <c r="V130" s="4">
        <f>ABS(Table223421023456789[[#This Row],[anl-med]])</f>
        <v>0.92574710319185982</v>
      </c>
      <c r="W130" s="4">
        <f>Table223421023456789[[#This Row],[lab-med]]*Table223421023456789[[#This Row],[anl-med]]</f>
        <v>0.91648940072316454</v>
      </c>
    </row>
    <row r="131" spans="2:23" x14ac:dyDescent="0.25">
      <c r="B131" s="46">
        <f ca="1">VALUE((Table223421023456789[[#This Row],[Column3]]-62))</f>
        <v>69</v>
      </c>
      <c r="C131" t="s">
        <v>137</v>
      </c>
      <c r="D131">
        <v>13.1599998</v>
      </c>
      <c r="E131"/>
      <c r="F131">
        <v>13.88641456313136</v>
      </c>
      <c r="G131" s="29">
        <f>Table223421023456789[[#This Row],[Joris ]]-Table223421023456789[[#This Row],[REF]]</f>
        <v>0.72641476313136089</v>
      </c>
      <c r="H131" s="29">
        <f>Table223421023456789[[#This Row],[X-Y]]-E$20</f>
        <v>-3.5118766751718766E-2</v>
      </c>
      <c r="I131" s="29">
        <f>Table223421023456789[[#This Row],[Joris ]]-E$20</f>
        <v>13.124881033248281</v>
      </c>
      <c r="J131" s="29">
        <f>Table223421023456789[[#This Row],[Joris ]]*E$21+E$22</f>
        <v>12.308894937669221</v>
      </c>
      <c r="K131" s="56">
        <f>Table223421023456789[[#This Row],[Yest]]-Table223421023456789[[#This Row],[REF]]</f>
        <v>-0.85110486233077864</v>
      </c>
      <c r="L131" s="56">
        <f>ABS(Table223421023456789[[#This Row],[RESyx]])</f>
        <v>0.85110486233077864</v>
      </c>
      <c r="M131" s="29">
        <f>Table223421023456789[[#This Row],[Joris ]]*E$25+E$26</f>
        <v>12.760039171743403</v>
      </c>
      <c r="N131" s="29">
        <f>Table223421023456789[[#This Row],[X-Y]]^2</f>
        <v>0.52767840809519118</v>
      </c>
      <c r="O131" s="57">
        <f>Table223421023456789[[#This Row],[yest_rect]]-Table223421023456789[[#This Row],[REF]]</f>
        <v>-0.39996062825659706</v>
      </c>
      <c r="P131" s="57">
        <f>Table223421023456789[[#This Row],[dif rec]]^2</f>
        <v>0.15996850415541183</v>
      </c>
      <c r="Q131" s="57">
        <f>ABS(Table223421023456789[[#This Row],[diff-bias]])</f>
        <v>3.5118766751718766E-2</v>
      </c>
      <c r="R131" s="57">
        <f ca="1">CELL("row",Table223421023456789[[#This Row],[Position]])</f>
        <v>131</v>
      </c>
      <c r="S131" s="4">
        <f>Table223421023456789[[#This Row],[REF]]-D$13</f>
        <v>2.1499995499999986</v>
      </c>
      <c r="T131" s="4">
        <f>ABS(Table223421023456789[[#This Row],[lab-med]])</f>
        <v>2.1499995499999986</v>
      </c>
      <c r="U131" s="4">
        <f>Table223421023456789[[#This Row],[Joris ]]-F$13</f>
        <v>2.074603149139481</v>
      </c>
      <c r="V131" s="4">
        <f>ABS(Table223421023456789[[#This Row],[anl-med]])</f>
        <v>2.074603149139481</v>
      </c>
      <c r="W131" s="4">
        <f>Table223421023456789[[#This Row],[lab-med]]*Table223421023456789[[#This Row],[anl-med]]</f>
        <v>4.4603958370784644</v>
      </c>
    </row>
    <row r="132" spans="2:23" x14ac:dyDescent="0.25">
      <c r="B132" s="46">
        <f ca="1">VALUE((Table223421023456789[[#This Row],[Column3]]-62))</f>
        <v>70</v>
      </c>
      <c r="C132" t="s">
        <v>138</v>
      </c>
      <c r="D132">
        <v>12.170000099999999</v>
      </c>
      <c r="E132"/>
      <c r="F132">
        <v>13.281714806811349</v>
      </c>
      <c r="G132" s="29">
        <f>Table223421023456789[[#This Row],[Joris ]]-Table223421023456789[[#This Row],[REF]]</f>
        <v>1.11171470681135</v>
      </c>
      <c r="H132" s="29">
        <f>Table223421023456789[[#This Row],[X-Y]]-E$20</f>
        <v>0.35018117692827033</v>
      </c>
      <c r="I132" s="29">
        <f>Table223421023456789[[#This Row],[Joris ]]-E$20</f>
        <v>12.52018127692827</v>
      </c>
      <c r="J132" s="29">
        <f>Table223421023456789[[#This Row],[Joris ]]*E$21+E$22</f>
        <v>11.949025603051297</v>
      </c>
      <c r="K132" s="56">
        <f>Table223421023456789[[#This Row],[Yest]]-Table223421023456789[[#This Row],[REF]]</f>
        <v>-0.22097449694870264</v>
      </c>
      <c r="L132" s="56">
        <f>ABS(Table223421023456789[[#This Row],[RESyx]])</f>
        <v>0.22097449694870264</v>
      </c>
      <c r="M132" s="29">
        <f>Table223421023456789[[#This Row],[Joris ]]*E$25+E$26</f>
        <v>12.264807441031628</v>
      </c>
      <c r="N132" s="29">
        <f>Table223421023456789[[#This Row],[X-Y]]^2</f>
        <v>1.2359095893406458</v>
      </c>
      <c r="O132" s="57">
        <f>Table223421023456789[[#This Row],[yest_rect]]-Table223421023456789[[#This Row],[REF]]</f>
        <v>9.4807341031629022E-2</v>
      </c>
      <c r="P132" s="57">
        <f>Table223421023456789[[#This Row],[dif rec]]^2</f>
        <v>8.9884319134876083E-3</v>
      </c>
      <c r="Q132" s="57">
        <f>ABS(Table223421023456789[[#This Row],[diff-bias]])</f>
        <v>0.35018117692827033</v>
      </c>
      <c r="R132" s="57">
        <f ca="1">CELL("row",Table223421023456789[[#This Row],[Position]])</f>
        <v>132</v>
      </c>
      <c r="S132" s="4">
        <f>Table223421023456789[[#This Row],[REF]]-D$13</f>
        <v>1.1599998499999984</v>
      </c>
      <c r="T132" s="4">
        <f>ABS(Table223421023456789[[#This Row],[lab-med]])</f>
        <v>1.1599998499999984</v>
      </c>
      <c r="U132" s="4">
        <f>Table223421023456789[[#This Row],[Joris ]]-F$13</f>
        <v>1.4699033928194698</v>
      </c>
      <c r="V132" s="4">
        <f>ABS(Table223421023456789[[#This Row],[anl-med]])</f>
        <v>1.4699033928194698</v>
      </c>
      <c r="W132" s="4">
        <f>Table223421023456789[[#This Row],[lab-med]]*Table223421023456789[[#This Row],[anl-med]]</f>
        <v>1.7050877151850736</v>
      </c>
    </row>
    <row r="133" spans="2:23" x14ac:dyDescent="0.25">
      <c r="B133" s="46">
        <f ca="1">VALUE((Table223421023456789[[#This Row],[Column3]]-62))</f>
        <v>71</v>
      </c>
      <c r="C133" t="s">
        <v>139</v>
      </c>
      <c r="D133">
        <v>10.970000300000001</v>
      </c>
      <c r="E133"/>
      <c r="F133">
        <v>12.12215888525462</v>
      </c>
      <c r="G133" s="29">
        <f>Table223421023456789[[#This Row],[Joris ]]-Table223421023456789[[#This Row],[REF]]</f>
        <v>1.1521585852546199</v>
      </c>
      <c r="H133" s="29">
        <f>Table223421023456789[[#This Row],[X-Y]]-E$20</f>
        <v>0.39062505537154024</v>
      </c>
      <c r="I133" s="29">
        <f>Table223421023456789[[#This Row],[Joris ]]-E$20</f>
        <v>11.360625355371541</v>
      </c>
      <c r="J133" s="29">
        <f>Table223421023456789[[#This Row],[Joris ]]*E$21+E$22</f>
        <v>11.258949886000636</v>
      </c>
      <c r="K133" s="56">
        <f>Table223421023456789[[#This Row],[Yest]]-Table223421023456789[[#This Row],[REF]]</f>
        <v>0.28894958600063525</v>
      </c>
      <c r="L133" s="56">
        <f>ABS(Table223421023456789[[#This Row],[RESyx]])</f>
        <v>0.28894958600063525</v>
      </c>
      <c r="M133" s="29">
        <f>Table223421023456789[[#This Row],[Joris ]]*E$25+E$26</f>
        <v>11.315164448971736</v>
      </c>
      <c r="N133" s="29">
        <f>Table223421023456789[[#This Row],[X-Y]]^2</f>
        <v>1.3274694055759273</v>
      </c>
      <c r="O133" s="57">
        <f>Table223421023456789[[#This Row],[yest_rect]]-Table223421023456789[[#This Row],[REF]]</f>
        <v>0.34516414897173497</v>
      </c>
      <c r="P133" s="57">
        <f>Table223421023456789[[#This Row],[dif rec]]^2</f>
        <v>0.11913828973538206</v>
      </c>
      <c r="Q133" s="57">
        <f>ABS(Table223421023456789[[#This Row],[diff-bias]])</f>
        <v>0.39062505537154024</v>
      </c>
      <c r="R133" s="57">
        <f ca="1">CELL("row",Table223421023456789[[#This Row],[Position]])</f>
        <v>133</v>
      </c>
      <c r="S133" s="4">
        <f>Table223421023456789[[#This Row],[REF]]-D$13</f>
        <v>-3.9999950000000339E-2</v>
      </c>
      <c r="T133" s="4">
        <f>ABS(Table223421023456789[[#This Row],[lab-med]])</f>
        <v>3.9999950000000339E-2</v>
      </c>
      <c r="U133" s="4">
        <f>Table223421023456789[[#This Row],[Joris ]]-F$13</f>
        <v>0.31034747126274098</v>
      </c>
      <c r="V133" s="4">
        <f>ABS(Table223421023456789[[#This Row],[anl-med]])</f>
        <v>0.31034747126274098</v>
      </c>
      <c r="W133" s="4">
        <f>Table223421023456789[[#This Row],[lab-med]]*Table223421023456789[[#This Row],[anl-med]]</f>
        <v>-1.2413883333136181E-2</v>
      </c>
    </row>
    <row r="134" spans="2:23" x14ac:dyDescent="0.25">
      <c r="B134" s="46">
        <f ca="1">VALUE((Table223421023456789[[#This Row],[Column3]]-62))</f>
        <v>72</v>
      </c>
      <c r="C134" t="s">
        <v>140</v>
      </c>
      <c r="D134">
        <v>12.2600002</v>
      </c>
      <c r="E134"/>
      <c r="F134">
        <v>13.50146434312513</v>
      </c>
      <c r="G134" s="29">
        <f>Table223421023456789[[#This Row],[Joris ]]-Table223421023456789[[#This Row],[REF]]</f>
        <v>1.2414641431251301</v>
      </c>
      <c r="H134" s="29">
        <f>Table223421023456789[[#This Row],[X-Y]]-E$20</f>
        <v>0.47993061324205044</v>
      </c>
      <c r="I134" s="29">
        <f>Table223421023456789[[#This Row],[Joris ]]-E$20</f>
        <v>12.739930813242051</v>
      </c>
      <c r="J134" s="29">
        <f>Table223421023456789[[#This Row],[Joris ]]*E$21+E$22</f>
        <v>12.079803098145884</v>
      </c>
      <c r="K134" s="56">
        <f>Table223421023456789[[#This Row],[Yest]]-Table223421023456789[[#This Row],[REF]]</f>
        <v>-0.18019710185411597</v>
      </c>
      <c r="L134" s="56">
        <f>ABS(Table223421023456789[[#This Row],[RESyx]])</f>
        <v>0.18019710185411597</v>
      </c>
      <c r="M134" s="29">
        <f>Table223421023456789[[#This Row],[Joris ]]*E$25+E$26</f>
        <v>12.444775999071185</v>
      </c>
      <c r="N134" s="29">
        <f>Table223421023456789[[#This Row],[X-Y]]^2</f>
        <v>1.5412332186654134</v>
      </c>
      <c r="O134" s="57">
        <f>Table223421023456789[[#This Row],[yest_rect]]-Table223421023456789[[#This Row],[REF]]</f>
        <v>0.18477579907118447</v>
      </c>
      <c r="P134" s="57">
        <f>Table223421023456789[[#This Row],[dif rec]]^2</f>
        <v>3.4142095922394734E-2</v>
      </c>
      <c r="Q134" s="57">
        <f>ABS(Table223421023456789[[#This Row],[diff-bias]])</f>
        <v>0.47993061324205044</v>
      </c>
      <c r="R134" s="57">
        <f ca="1">CELL("row",Table223421023456789[[#This Row],[Position]])</f>
        <v>134</v>
      </c>
      <c r="S134" s="4">
        <f>Table223421023456789[[#This Row],[REF]]-D$13</f>
        <v>1.2499999499999994</v>
      </c>
      <c r="T134" s="4">
        <f>ABS(Table223421023456789[[#This Row],[lab-med]])</f>
        <v>1.2499999499999994</v>
      </c>
      <c r="U134" s="4">
        <f>Table223421023456789[[#This Row],[Joris ]]-F$13</f>
        <v>1.6896529291332509</v>
      </c>
      <c r="V134" s="4">
        <f>ABS(Table223421023456789[[#This Row],[anl-med]])</f>
        <v>1.6896529291332509</v>
      </c>
      <c r="W134" s="4">
        <f>Table223421023456789[[#This Row],[lab-med]]*Table223421023456789[[#This Row],[anl-med]]</f>
        <v>2.1120660769339161</v>
      </c>
    </row>
    <row r="135" spans="2:23" x14ac:dyDescent="0.25">
      <c r="B135" s="46">
        <f ca="1">VALUE((Table223421023456789[[#This Row],[Column3]]-62))</f>
        <v>73</v>
      </c>
      <c r="C135" t="s">
        <v>141</v>
      </c>
      <c r="D135">
        <v>13.029999699999999</v>
      </c>
      <c r="E135"/>
      <c r="F135">
        <v>13.76291276050166</v>
      </c>
      <c r="G135" s="29">
        <f>Table223421023456789[[#This Row],[Joris ]]-Table223421023456789[[#This Row],[REF]]</f>
        <v>0.7329130605016605</v>
      </c>
      <c r="H135" s="29">
        <f>Table223421023456789[[#This Row],[X-Y]]-E$20</f>
        <v>-2.8620469381419156E-2</v>
      </c>
      <c r="I135" s="29">
        <f>Table223421023456789[[#This Row],[Joris ]]-E$20</f>
        <v>13.00137923061858</v>
      </c>
      <c r="J135" s="29">
        <f>Table223421023456789[[#This Row],[Joris ]]*E$21+E$22</f>
        <v>12.235396460000008</v>
      </c>
      <c r="K135" s="56">
        <f>Table223421023456789[[#This Row],[Yest]]-Table223421023456789[[#This Row],[REF]]</f>
        <v>-0.79460323999999183</v>
      </c>
      <c r="L135" s="56">
        <f>ABS(Table223421023456789[[#This Row],[RESyx]])</f>
        <v>0.79460323999999183</v>
      </c>
      <c r="M135" s="29">
        <f>Table223421023456789[[#This Row],[Joris ]]*E$25+E$26</f>
        <v>12.658894742920509</v>
      </c>
      <c r="N135" s="29">
        <f>Table223421023456789[[#This Row],[X-Y]]^2</f>
        <v>0.53716155425391066</v>
      </c>
      <c r="O135" s="57">
        <f>Table223421023456789[[#This Row],[yest_rect]]-Table223421023456789[[#This Row],[REF]]</f>
        <v>-0.37110495707949021</v>
      </c>
      <c r="P135" s="57">
        <f>Table223421023456789[[#This Row],[dif rec]]^2</f>
        <v>0.13771888916897027</v>
      </c>
      <c r="Q135" s="57">
        <f>ABS(Table223421023456789[[#This Row],[diff-bias]])</f>
        <v>2.8620469381419156E-2</v>
      </c>
      <c r="R135" s="57">
        <f ca="1">CELL("row",Table223421023456789[[#This Row],[Position]])</f>
        <v>135</v>
      </c>
      <c r="S135" s="4">
        <f>Table223421023456789[[#This Row],[REF]]-D$13</f>
        <v>2.0199994499999985</v>
      </c>
      <c r="T135" s="4">
        <f>ABS(Table223421023456789[[#This Row],[lab-med]])</f>
        <v>2.0199994499999985</v>
      </c>
      <c r="U135" s="4">
        <f>Table223421023456789[[#This Row],[Joris ]]-F$13</f>
        <v>1.9511013465097804</v>
      </c>
      <c r="V135" s="4">
        <f>ABS(Table223421023456789[[#This Row],[anl-med]])</f>
        <v>1.9511013465097804</v>
      </c>
      <c r="W135" s="4">
        <f>Table223421023456789[[#This Row],[lab-med]]*Table223421023456789[[#This Row],[anl-med]]</f>
        <v>3.9412236468440129</v>
      </c>
    </row>
    <row r="136" spans="2:23" x14ac:dyDescent="0.25">
      <c r="B136" s="46">
        <f ca="1">VALUE((Table223421023456789[[#This Row],[Column3]]-62))</f>
        <v>74</v>
      </c>
      <c r="C136" t="s">
        <v>142</v>
      </c>
      <c r="D136">
        <v>12.359999699999999</v>
      </c>
      <c r="E136"/>
      <c r="F136">
        <v>11.585650576961131</v>
      </c>
      <c r="G136" s="29">
        <f>Table223421023456789[[#This Row],[Joris ]]-Table223421023456789[[#This Row],[REF]]</f>
        <v>-0.77434912303886883</v>
      </c>
      <c r="H136" s="29">
        <f>Table223421023456789[[#This Row],[X-Y]]-E$20</f>
        <v>-1.5358826529219485</v>
      </c>
      <c r="I136" s="29">
        <f>Table223421023456789[[#This Row],[Joris ]]-E$20</f>
        <v>10.824117047078051</v>
      </c>
      <c r="J136" s="29">
        <f>Table223421023456789[[#This Row],[Joris ]]*E$21+E$22</f>
        <v>10.939662692803239</v>
      </c>
      <c r="K136" s="56">
        <f>Table223421023456789[[#This Row],[Yest]]-Table223421023456789[[#This Row],[REF]]</f>
        <v>-1.4203370071967605</v>
      </c>
      <c r="L136" s="56">
        <f>ABS(Table223421023456789[[#This Row],[RESyx]])</f>
        <v>1.4203370071967605</v>
      </c>
      <c r="M136" s="29">
        <f>Table223421023456789[[#This Row],[Joris ]]*E$25+E$26</f>
        <v>10.875779555426611</v>
      </c>
      <c r="N136" s="29">
        <f>Table223421023456789[[#This Row],[X-Y]]^2</f>
        <v>0.59961656435106525</v>
      </c>
      <c r="O136" s="57">
        <f>Table223421023456789[[#This Row],[yest_rect]]-Table223421023456789[[#This Row],[REF]]</f>
        <v>-1.4842201445733885</v>
      </c>
      <c r="P136" s="57">
        <f>Table223421023456789[[#This Row],[dif rec]]^2</f>
        <v>2.2029094375574503</v>
      </c>
      <c r="Q136" s="57">
        <f>ABS(Table223421023456789[[#This Row],[diff-bias]])</f>
        <v>1.5358826529219485</v>
      </c>
      <c r="R136" s="57">
        <f ca="1">CELL("row",Table223421023456789[[#This Row],[Position]])</f>
        <v>136</v>
      </c>
      <c r="S136" s="4">
        <f>Table223421023456789[[#This Row],[REF]]-D$13</f>
        <v>1.3499994499999985</v>
      </c>
      <c r="T136" s="4">
        <f>ABS(Table223421023456789[[#This Row],[lab-med]])</f>
        <v>1.3499994499999985</v>
      </c>
      <c r="U136" s="4">
        <f>Table223421023456789[[#This Row],[Joris ]]-F$13</f>
        <v>-0.22616083703074885</v>
      </c>
      <c r="V136" s="4">
        <f>ABS(Table223421023456789[[#This Row],[anl-med]])</f>
        <v>0.22616083703074885</v>
      </c>
      <c r="W136" s="4">
        <f>Table223421023456789[[#This Row],[lab-med]]*Table223421023456789[[#This Row],[anl-med]]</f>
        <v>-0.30531700560305025</v>
      </c>
    </row>
    <row r="137" spans="2:23" x14ac:dyDescent="0.25">
      <c r="B137" s="46">
        <f ca="1">VALUE((Table223421023456789[[#This Row],[Column3]]-62))</f>
        <v>75</v>
      </c>
      <c r="C137" t="s">
        <v>143</v>
      </c>
      <c r="D137">
        <v>12.399999599999999</v>
      </c>
      <c r="E137"/>
      <c r="F137">
        <v>12.456111567664591</v>
      </c>
      <c r="G137" s="29">
        <f>Table223421023456789[[#This Row],[Joris ]]-Table223421023456789[[#This Row],[REF]]</f>
        <v>5.6111967664591589E-2</v>
      </c>
      <c r="H137" s="29">
        <f>Table223421023456789[[#This Row],[X-Y]]-E$20</f>
        <v>-0.70542156221848806</v>
      </c>
      <c r="I137" s="29">
        <f>Table223421023456789[[#This Row],[Joris ]]-E$20</f>
        <v>11.694578037781511</v>
      </c>
      <c r="J137" s="29">
        <f>Table223421023456789[[#This Row],[Joris ]]*E$21+E$22</f>
        <v>11.457692035896834</v>
      </c>
      <c r="K137" s="56">
        <f>Table223421023456789[[#This Row],[Yest]]-Table223421023456789[[#This Row],[REF]]</f>
        <v>-0.94230756410316552</v>
      </c>
      <c r="L137" s="56">
        <f>ABS(Table223421023456789[[#This Row],[RESyx]])</f>
        <v>0.94230756410316552</v>
      </c>
      <c r="M137" s="29">
        <f>Table223421023456789[[#This Row],[Joris ]]*E$25+E$26</f>
        <v>11.588662103232748</v>
      </c>
      <c r="N137" s="29">
        <f>Table223421023456789[[#This Row],[X-Y]]^2</f>
        <v>3.1485529151921723E-3</v>
      </c>
      <c r="O137" s="57">
        <f>Table223421023456789[[#This Row],[yest_rect]]-Table223421023456789[[#This Row],[REF]]</f>
        <v>-0.81133749676725131</v>
      </c>
      <c r="P137" s="57">
        <f>Table223421023456789[[#This Row],[dif rec]]^2</f>
        <v>0.65826853366054949</v>
      </c>
      <c r="Q137" s="57">
        <f>ABS(Table223421023456789[[#This Row],[diff-bias]])</f>
        <v>0.70542156221848806</v>
      </c>
      <c r="R137" s="57">
        <f ca="1">CELL("row",Table223421023456789[[#This Row],[Position]])</f>
        <v>137</v>
      </c>
      <c r="S137" s="4">
        <f>Table223421023456789[[#This Row],[REF]]-D$13</f>
        <v>1.3899993499999983</v>
      </c>
      <c r="T137" s="4">
        <f>ABS(Table223421023456789[[#This Row],[lab-med]])</f>
        <v>1.3899993499999983</v>
      </c>
      <c r="U137" s="4">
        <f>Table223421023456789[[#This Row],[Joris ]]-F$13</f>
        <v>0.64430015367271132</v>
      </c>
      <c r="V137" s="4">
        <f>ABS(Table223421023456789[[#This Row],[anl-med]])</f>
        <v>0.64430015367271132</v>
      </c>
      <c r="W137" s="4">
        <f>Table223421023456789[[#This Row],[lab-med]]*Table223421023456789[[#This Row],[anl-med]]</f>
        <v>0.89557679480996777</v>
      </c>
    </row>
    <row r="138" spans="2:23" x14ac:dyDescent="0.25">
      <c r="B138" s="46">
        <f ca="1">VALUE((Table223421023456789[[#This Row],[Column3]]-62))</f>
        <v>76</v>
      </c>
      <c r="C138" t="s">
        <v>144</v>
      </c>
      <c r="D138">
        <v>12.5</v>
      </c>
      <c r="E138"/>
      <c r="F138">
        <v>12.15136948167779</v>
      </c>
      <c r="G138" s="29">
        <f>Table223421023456789[[#This Row],[Joris ]]-Table223421023456789[[#This Row],[REF]]</f>
        <v>-0.34863051832221004</v>
      </c>
      <c r="H138" s="29">
        <f>Table223421023456789[[#This Row],[X-Y]]-E$20</f>
        <v>-1.1101640482052897</v>
      </c>
      <c r="I138" s="29">
        <f>Table223421023456789[[#This Row],[Joris ]]-E$20</f>
        <v>11.38983595179471</v>
      </c>
      <c r="J138" s="29">
        <f>Table223421023456789[[#This Row],[Joris ]]*E$21+E$22</f>
        <v>11.276333716221721</v>
      </c>
      <c r="K138" s="56">
        <f>Table223421023456789[[#This Row],[Yest]]-Table223421023456789[[#This Row],[REF]]</f>
        <v>-1.2236662837782788</v>
      </c>
      <c r="L138" s="56">
        <f>ABS(Table223421023456789[[#This Row],[RESyx]])</f>
        <v>1.2236662837782788</v>
      </c>
      <c r="M138" s="29">
        <f>Table223421023456789[[#This Row],[Joris ]]*E$25+E$26</f>
        <v>11.339087088381753</v>
      </c>
      <c r="N138" s="29">
        <f>Table223421023456789[[#This Row],[X-Y]]^2</f>
        <v>0.12154323830561282</v>
      </c>
      <c r="O138" s="57">
        <f>Table223421023456789[[#This Row],[yest_rect]]-Table223421023456789[[#This Row],[REF]]</f>
        <v>-1.1609129116182473</v>
      </c>
      <c r="P138" s="57">
        <f>Table223421023456789[[#This Row],[dif rec]]^2</f>
        <v>1.3477187883619564</v>
      </c>
      <c r="Q138" s="57">
        <f>ABS(Table223421023456789[[#This Row],[diff-bias]])</f>
        <v>1.1101640482052897</v>
      </c>
      <c r="R138" s="57">
        <f ca="1">CELL("row",Table223421023456789[[#This Row],[Position]])</f>
        <v>138</v>
      </c>
      <c r="S138" s="4">
        <f>Table223421023456789[[#This Row],[REF]]-D$13</f>
        <v>1.4899997499999991</v>
      </c>
      <c r="T138" s="4">
        <f>ABS(Table223421023456789[[#This Row],[lab-med]])</f>
        <v>1.4899997499999991</v>
      </c>
      <c r="U138" s="4">
        <f>Table223421023456789[[#This Row],[Joris ]]-F$13</f>
        <v>0.33955806768591046</v>
      </c>
      <c r="V138" s="4">
        <f>ABS(Table223421023456789[[#This Row],[anl-med]])</f>
        <v>0.33955806768591046</v>
      </c>
      <c r="W138" s="4">
        <f>Table223421023456789[[#This Row],[lab-med]]*Table223421023456789[[#This Row],[anl-med]]</f>
        <v>0.50594143596248931</v>
      </c>
    </row>
    <row r="139" spans="2:23" x14ac:dyDescent="0.25">
      <c r="B139" s="46">
        <f ca="1">VALUE((Table223421023456789[[#This Row],[Column3]]-62))</f>
        <v>77</v>
      </c>
      <c r="C139" t="s">
        <v>145</v>
      </c>
      <c r="D139">
        <v>12.600000400000001</v>
      </c>
      <c r="E139"/>
      <c r="F139">
        <v>12.94907781177867</v>
      </c>
      <c r="G139" s="29">
        <f>Table223421023456789[[#This Row],[Joris ]]-Table223421023456789[[#This Row],[REF]]</f>
        <v>0.34907741177866924</v>
      </c>
      <c r="H139" s="29">
        <f>Table223421023456789[[#This Row],[X-Y]]-E$20</f>
        <v>-0.41245611810441041</v>
      </c>
      <c r="I139" s="29">
        <f>Table223421023456789[[#This Row],[Joris ]]-E$20</f>
        <v>12.18754428189559</v>
      </c>
      <c r="J139" s="29">
        <f>Table223421023456789[[#This Row],[Joris ]]*E$21+E$22</f>
        <v>11.751066445931402</v>
      </c>
      <c r="K139" s="56">
        <f>Table223421023456789[[#This Row],[Yest]]-Table223421023456789[[#This Row],[REF]]</f>
        <v>-0.84893395406859895</v>
      </c>
      <c r="L139" s="56">
        <f>ABS(Table223421023456789[[#This Row],[RESyx]])</f>
        <v>0.84893395406859895</v>
      </c>
      <c r="M139" s="29">
        <f>Table223421023456789[[#This Row],[Joris ]]*E$25+E$26</f>
        <v>11.992387296940121</v>
      </c>
      <c r="N139" s="29">
        <f>Table223421023456789[[#This Row],[X-Y]]^2</f>
        <v>0.1218550394140946</v>
      </c>
      <c r="O139" s="57">
        <f>Table223421023456789[[#This Row],[yest_rect]]-Table223421023456789[[#This Row],[REF]]</f>
        <v>-0.60761310305987948</v>
      </c>
      <c r="P139" s="57">
        <f>Table223421023456789[[#This Row],[dif rec]]^2</f>
        <v>0.36919368301005573</v>
      </c>
      <c r="Q139" s="57">
        <f>ABS(Table223421023456789[[#This Row],[diff-bias]])</f>
        <v>0.41245611810441041</v>
      </c>
      <c r="R139" s="57">
        <f ca="1">CELL("row",Table223421023456789[[#This Row],[Position]])</f>
        <v>139</v>
      </c>
      <c r="S139" s="4">
        <f>Table223421023456789[[#This Row],[REF]]-D$13</f>
        <v>1.5900001499999998</v>
      </c>
      <c r="T139" s="4">
        <f>ABS(Table223421023456789[[#This Row],[lab-med]])</f>
        <v>1.5900001499999998</v>
      </c>
      <c r="U139" s="4">
        <f>Table223421023456789[[#This Row],[Joris ]]-F$13</f>
        <v>1.1372663977867905</v>
      </c>
      <c r="V139" s="4">
        <f>ABS(Table223421023456789[[#This Row],[anl-med]])</f>
        <v>1.1372663977867905</v>
      </c>
      <c r="W139" s="4">
        <f>Table223421023456789[[#This Row],[lab-med]]*Table223421023456789[[#This Row],[anl-med]]</f>
        <v>1.8082537430709564</v>
      </c>
    </row>
    <row r="140" spans="2:23" x14ac:dyDescent="0.25">
      <c r="B140" s="46">
        <f ca="1">VALUE((Table223421023456789[[#This Row],[Column3]]-62))</f>
        <v>78</v>
      </c>
      <c r="C140" t="s">
        <v>146</v>
      </c>
      <c r="D140">
        <v>12.670000099999999</v>
      </c>
      <c r="E140"/>
      <c r="F140">
        <v>12.02993895099382</v>
      </c>
      <c r="G140" s="29">
        <f>Table223421023456789[[#This Row],[Joris ]]-Table223421023456789[[#This Row],[REF]]</f>
        <v>-0.64006114900617916</v>
      </c>
      <c r="H140" s="29">
        <f>Table223421023456789[[#This Row],[X-Y]]-E$20</f>
        <v>-1.4015946788892588</v>
      </c>
      <c r="I140" s="29">
        <f>Table223421023456789[[#This Row],[Joris ]]-E$20</f>
        <v>11.268405421110741</v>
      </c>
      <c r="J140" s="29">
        <f>Table223421023456789[[#This Row],[Joris ]]*E$21+E$22</f>
        <v>11.204067895336529</v>
      </c>
      <c r="K140" s="56">
        <f>Table223421023456789[[#This Row],[Yest]]-Table223421023456789[[#This Row],[REF]]</f>
        <v>-1.4659322046634706</v>
      </c>
      <c r="L140" s="56">
        <f>ABS(Table223421023456789[[#This Row],[RESyx]])</f>
        <v>1.4659322046634706</v>
      </c>
      <c r="M140" s="29">
        <f>Table223421023456789[[#This Row],[Joris ]]*E$25+E$26</f>
        <v>11.239638971786107</v>
      </c>
      <c r="N140" s="29">
        <f>Table223421023456789[[#This Row],[X-Y]]^2</f>
        <v>0.4096782744671103</v>
      </c>
      <c r="O140" s="57">
        <f>Table223421023456789[[#This Row],[yest_rect]]-Table223421023456789[[#This Row],[REF]]</f>
        <v>-1.4303611282138924</v>
      </c>
      <c r="P140" s="57">
        <f>Table223421023456789[[#This Row],[dif rec]]^2</f>
        <v>2.0459329571053191</v>
      </c>
      <c r="Q140" s="57">
        <f>ABS(Table223421023456789[[#This Row],[diff-bias]])</f>
        <v>1.4015946788892588</v>
      </c>
      <c r="R140" s="57">
        <f ca="1">CELL("row",Table223421023456789[[#This Row],[Position]])</f>
        <v>140</v>
      </c>
      <c r="S140" s="4">
        <f>Table223421023456789[[#This Row],[REF]]-D$13</f>
        <v>1.6599998499999984</v>
      </c>
      <c r="T140" s="4">
        <f>ABS(Table223421023456789[[#This Row],[lab-med]])</f>
        <v>1.6599998499999984</v>
      </c>
      <c r="U140" s="4">
        <f>Table223421023456789[[#This Row],[Joris ]]-F$13</f>
        <v>0.21812753700194065</v>
      </c>
      <c r="V140" s="4">
        <f>ABS(Table223421023456789[[#This Row],[anl-med]])</f>
        <v>0.21812753700194065</v>
      </c>
      <c r="W140" s="4">
        <f>Table223421023456789[[#This Row],[lab-med]]*Table223421023456789[[#This Row],[anl-med]]</f>
        <v>0.36209167870409059</v>
      </c>
    </row>
    <row r="141" spans="2:23" x14ac:dyDescent="0.25">
      <c r="B141" s="46">
        <f ca="1">VALUE((Table223421023456789[[#This Row],[Column3]]-62))</f>
        <v>79</v>
      </c>
      <c r="C141" t="s">
        <v>147</v>
      </c>
      <c r="D141">
        <v>12.699999800000001</v>
      </c>
      <c r="E141"/>
      <c r="F141">
        <v>12.14676317540907</v>
      </c>
      <c r="G141" s="29">
        <f>Table223421023456789[[#This Row],[Joris ]]-Table223421023456789[[#This Row],[REF]]</f>
        <v>-0.55323662459093015</v>
      </c>
      <c r="H141" s="29">
        <f>Table223421023456789[[#This Row],[X-Y]]-E$20</f>
        <v>-1.3147701544740098</v>
      </c>
      <c r="I141" s="29">
        <f>Table223421023456789[[#This Row],[Joris ]]-E$20</f>
        <v>11.385229645525991</v>
      </c>
      <c r="J141" s="29">
        <f>Table223421023456789[[#This Row],[Joris ]]*E$21+E$22</f>
        <v>11.273592408068964</v>
      </c>
      <c r="K141" s="56">
        <f>Table223421023456789[[#This Row],[Yest]]-Table223421023456789[[#This Row],[REF]]</f>
        <v>-1.4264073919310363</v>
      </c>
      <c r="L141" s="56">
        <f>ABS(Table223421023456789[[#This Row],[RESyx]])</f>
        <v>1.4264073919310363</v>
      </c>
      <c r="M141" s="29">
        <f>Table223421023456789[[#This Row],[Joris ]]*E$25+E$26</f>
        <v>11.335314655861639</v>
      </c>
      <c r="N141" s="29">
        <f>Table223421023456789[[#This Row],[X-Y]]^2</f>
        <v>0.30607076278876577</v>
      </c>
      <c r="O141" s="57">
        <f>Table223421023456789[[#This Row],[yest_rect]]-Table223421023456789[[#This Row],[REF]]</f>
        <v>-1.3646851441383614</v>
      </c>
      <c r="P141" s="57">
        <f>Table223421023456789[[#This Row],[dif rec]]^2</f>
        <v>1.8623655426319403</v>
      </c>
      <c r="Q141" s="57">
        <f>ABS(Table223421023456789[[#This Row],[diff-bias]])</f>
        <v>1.3147701544740098</v>
      </c>
      <c r="R141" s="57">
        <f ca="1">CELL("row",Table223421023456789[[#This Row],[Position]])</f>
        <v>141</v>
      </c>
      <c r="S141" s="4">
        <f>Table223421023456789[[#This Row],[REF]]-D$13</f>
        <v>1.6899995499999996</v>
      </c>
      <c r="T141" s="4">
        <f>ABS(Table223421023456789[[#This Row],[lab-med]])</f>
        <v>1.6899995499999996</v>
      </c>
      <c r="U141" s="4">
        <f>Table223421023456789[[#This Row],[Joris ]]-F$13</f>
        <v>0.33495176141719085</v>
      </c>
      <c r="V141" s="4">
        <f>ABS(Table223421023456789[[#This Row],[anl-med]])</f>
        <v>0.33495176141719085</v>
      </c>
      <c r="W141" s="4">
        <f>Table223421023456789[[#This Row],[lab-med]]*Table223421023456789[[#This Row],[anl-med]]</f>
        <v>0.56606832606675972</v>
      </c>
    </row>
    <row r="142" spans="2:23" x14ac:dyDescent="0.25">
      <c r="B142" s="46">
        <f ca="1">VALUE((Table223421023456789[[#This Row],[Column3]]-62))</f>
        <v>80</v>
      </c>
      <c r="C142" t="s">
        <v>148</v>
      </c>
      <c r="D142">
        <v>14.4300003</v>
      </c>
      <c r="E142"/>
      <c r="F142">
        <v>14.91752573122316</v>
      </c>
      <c r="G142" s="29">
        <f>Table223421023456789[[#This Row],[Joris ]]-Table223421023456789[[#This Row],[REF]]</f>
        <v>0.48752543122316006</v>
      </c>
      <c r="H142" s="29">
        <f>Table223421023456789[[#This Row],[X-Y]]-E$20</f>
        <v>-0.2740080986599196</v>
      </c>
      <c r="I142" s="29">
        <f>Table223421023456789[[#This Row],[Joris ]]-E$20</f>
        <v>14.15599220134008</v>
      </c>
      <c r="J142" s="29">
        <f>Table223421023456789[[#This Row],[Joris ]]*E$21+E$22</f>
        <v>12.922530524752101</v>
      </c>
      <c r="K142" s="56">
        <f>Table223421023456789[[#This Row],[Yest]]-Table223421023456789[[#This Row],[REF]]</f>
        <v>-1.5074697752478983</v>
      </c>
      <c r="L142" s="56">
        <f>ABS(Table223421023456789[[#This Row],[RESyx]])</f>
        <v>1.5074697752478983</v>
      </c>
      <c r="M142" s="29">
        <f>Table223421023456789[[#This Row],[Joris ]]*E$25+E$26</f>
        <v>13.604489600230274</v>
      </c>
      <c r="N142" s="29">
        <f>Table223421023456789[[#This Row],[X-Y]]^2</f>
        <v>0.23768104608932816</v>
      </c>
      <c r="O142" s="57">
        <f>Table223421023456789[[#This Row],[yest_rect]]-Table223421023456789[[#This Row],[REF]]</f>
        <v>-0.82551069976972613</v>
      </c>
      <c r="P142" s="57">
        <f>Table223421023456789[[#This Row],[dif rec]]^2</f>
        <v>0.68146791543430296</v>
      </c>
      <c r="Q142" s="57">
        <f>ABS(Table223421023456789[[#This Row],[diff-bias]])</f>
        <v>0.2740080986599196</v>
      </c>
      <c r="R142" s="57">
        <f ca="1">CELL("row",Table223421023456789[[#This Row],[Position]])</f>
        <v>142</v>
      </c>
      <c r="S142" s="4">
        <f>Table223421023456789[[#This Row],[REF]]-D$13</f>
        <v>3.4200000499999987</v>
      </c>
      <c r="T142" s="4">
        <f>ABS(Table223421023456789[[#This Row],[lab-med]])</f>
        <v>3.4200000499999987</v>
      </c>
      <c r="U142" s="4">
        <f>Table223421023456789[[#This Row],[Joris ]]-F$13</f>
        <v>3.1057143172312802</v>
      </c>
      <c r="V142" s="4">
        <f>ABS(Table223421023456789[[#This Row],[anl-med]])</f>
        <v>3.1057143172312802</v>
      </c>
      <c r="W142" s="4">
        <f>Table223421023456789[[#This Row],[lab-med]]*Table223421023456789[[#This Row],[anl-med]]</f>
        <v>10.621543120216691</v>
      </c>
    </row>
  </sheetData>
  <mergeCells count="1">
    <mergeCell ref="C3:K3"/>
  </mergeCells>
  <conditionalFormatting sqref="F63:F142">
    <cfRule type="expression" dxfId="116" priority="2" stopIfTrue="1">
      <formula>ABS(F63-#REF!)/#REF!&gt;3</formula>
    </cfRule>
  </conditionalFormatting>
  <conditionalFormatting sqref="D68:D72">
    <cfRule type="expression" dxfId="115" priority="1" stopIfTrue="1">
      <formula>ABS(D68-#REF!)/#REF!&gt;3</formula>
    </cfRule>
  </conditionalFormatting>
  <pageMargins left="0.75" right="0.75" top="1" bottom="1" header="0.5" footer="0.5"/>
  <pageSetup paperSize="9" scale="65" orientation="portrait" r:id="rId1"/>
  <headerFooter alignWithMargins="0">
    <oddHeader>&amp;A</oddHeader>
    <oddFooter>&amp;F</oddFooter>
  </headerFooter>
  <rowBreaks count="1" manualBreakCount="1">
    <brk id="58" max="16383" man="1"/>
  </rowBreaks>
  <drawing r:id="rId2"/>
  <legacyDrawing r:id="rId3"/>
  <tableParts count="1">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FB4A0-6D98-4618-9C9F-53C8F4F95DA4}">
  <dimension ref="A3:J46"/>
  <sheetViews>
    <sheetView workbookViewId="0">
      <selection activeCell="C17" sqref="C17"/>
    </sheetView>
  </sheetViews>
  <sheetFormatPr defaultRowHeight="13.2" x14ac:dyDescent="0.25"/>
  <cols>
    <col min="3" max="3" width="33.6640625" customWidth="1"/>
    <col min="4" max="4" width="20.33203125" customWidth="1"/>
    <col min="5" max="5" width="11.6640625" bestFit="1" customWidth="1"/>
    <col min="6" max="6" width="96" bestFit="1" customWidth="1"/>
    <col min="7" max="7" width="9.5546875" bestFit="1" customWidth="1"/>
  </cols>
  <sheetData>
    <row r="3" spans="1:10" ht="24" customHeight="1" x14ac:dyDescent="0.3">
      <c r="B3" s="82" t="s">
        <v>183</v>
      </c>
      <c r="C3" s="90" t="s">
        <v>182</v>
      </c>
      <c r="D3" s="90" t="s">
        <v>181</v>
      </c>
      <c r="E3" s="90"/>
      <c r="F3" s="90" t="s">
        <v>180</v>
      </c>
      <c r="G3" s="91" t="s">
        <v>153</v>
      </c>
      <c r="H3" s="90" t="s">
        <v>232</v>
      </c>
    </row>
    <row r="4" spans="1:10" ht="24" customHeight="1" x14ac:dyDescent="0.3">
      <c r="A4" s="91"/>
      <c r="B4" s="91">
        <v>1</v>
      </c>
      <c r="C4" s="92" t="s">
        <v>195</v>
      </c>
      <c r="D4" s="95" t="s">
        <v>150</v>
      </c>
      <c r="E4" s="93">
        <v>44663</v>
      </c>
      <c r="F4" s="96" t="s">
        <v>152</v>
      </c>
      <c r="G4" s="94">
        <f>'Emmanuel D'!E23</f>
        <v>0.21350059815111416</v>
      </c>
      <c r="H4" s="78">
        <f>'Emmanuel D'!E19</f>
        <v>1.0468350948193992</v>
      </c>
      <c r="J4">
        <f>LEN(F4)</f>
        <v>68</v>
      </c>
    </row>
    <row r="5" spans="1:10" ht="24" customHeight="1" x14ac:dyDescent="0.3">
      <c r="A5" s="91">
        <v>1</v>
      </c>
      <c r="B5" s="91">
        <v>2</v>
      </c>
      <c r="C5" s="92" t="s">
        <v>197</v>
      </c>
      <c r="D5" s="90" t="s">
        <v>151</v>
      </c>
      <c r="E5" s="93">
        <v>44704</v>
      </c>
      <c r="F5" s="91" t="s">
        <v>193</v>
      </c>
      <c r="G5" s="94">
        <f>OPEX!E23</f>
        <v>0.66920760583962791</v>
      </c>
      <c r="H5" s="78">
        <f>OPEX!E19</f>
        <v>0.67890160147454159</v>
      </c>
    </row>
    <row r="6" spans="1:10" ht="24" customHeight="1" x14ac:dyDescent="0.3">
      <c r="A6" s="91"/>
      <c r="B6" s="91">
        <v>3</v>
      </c>
      <c r="C6" s="92" t="s">
        <v>202</v>
      </c>
      <c r="D6" s="90" t="s">
        <v>151</v>
      </c>
      <c r="E6" s="93">
        <v>44710</v>
      </c>
      <c r="F6" s="91" t="s">
        <v>157</v>
      </c>
      <c r="G6" s="94">
        <f>Lijour!E23</f>
        <v>4.5160821732221294E-2</v>
      </c>
      <c r="H6" s="78">
        <f>Lijour!E19</f>
        <v>1.1534378287108253</v>
      </c>
    </row>
    <row r="7" spans="1:10" ht="24" customHeight="1" x14ac:dyDescent="0.3">
      <c r="A7" s="91"/>
      <c r="B7" s="91">
        <v>4</v>
      </c>
      <c r="C7" s="92" t="s">
        <v>159</v>
      </c>
      <c r="D7" s="90" t="s">
        <v>160</v>
      </c>
      <c r="E7" s="93">
        <v>44710</v>
      </c>
      <c r="F7" s="91" t="s">
        <v>161</v>
      </c>
      <c r="G7" s="94">
        <f>'Loudiyi '!E23</f>
        <v>0.40559628046845952</v>
      </c>
      <c r="H7" s="78">
        <f>'Loudiyi '!E19</f>
        <v>0.91005959868032316</v>
      </c>
    </row>
    <row r="8" spans="1:10" ht="24" customHeight="1" x14ac:dyDescent="0.3">
      <c r="A8" s="91">
        <v>2</v>
      </c>
      <c r="B8" s="91">
        <v>5</v>
      </c>
      <c r="C8" s="92" t="s">
        <v>165</v>
      </c>
      <c r="D8" s="90" t="s">
        <v>166</v>
      </c>
      <c r="E8" s="93">
        <v>44711</v>
      </c>
      <c r="F8" s="91" t="s">
        <v>190</v>
      </c>
      <c r="G8" s="94">
        <f>Lesnoff!E23</f>
        <v>0.67546895510157068</v>
      </c>
      <c r="H8" s="78">
        <f>Lesnoff!E19</f>
        <v>0.67244566701965591</v>
      </c>
      <c r="I8" s="82" t="s">
        <v>179</v>
      </c>
    </row>
    <row r="9" spans="1:10" ht="24" customHeight="1" x14ac:dyDescent="0.3">
      <c r="A9" s="91">
        <v>3</v>
      </c>
      <c r="B9" s="91">
        <v>6</v>
      </c>
      <c r="C9" s="92" t="s">
        <v>198</v>
      </c>
      <c r="D9" s="90" t="s">
        <v>169</v>
      </c>
      <c r="E9" s="93">
        <v>44711</v>
      </c>
      <c r="F9" s="91" t="s">
        <v>192</v>
      </c>
      <c r="G9" s="94">
        <f>Roger!E23</f>
        <v>0.45889115210036974</v>
      </c>
      <c r="H9" s="78">
        <f>Roger!E19</f>
        <v>0.8683031831535476</v>
      </c>
      <c r="I9" s="82" t="s">
        <v>179</v>
      </c>
    </row>
    <row r="10" spans="1:10" ht="24" customHeight="1" x14ac:dyDescent="0.35">
      <c r="A10" s="91">
        <v>4</v>
      </c>
      <c r="B10" s="91">
        <v>7</v>
      </c>
      <c r="C10" s="92" t="s">
        <v>170</v>
      </c>
      <c r="D10" s="97" t="s">
        <v>172</v>
      </c>
      <c r="E10" s="93">
        <v>44711</v>
      </c>
      <c r="F10" s="91" t="s">
        <v>189</v>
      </c>
      <c r="G10" s="94">
        <f>Dansler!E23</f>
        <v>0.79163425885066574</v>
      </c>
      <c r="H10" s="78">
        <f>Dansler!E19</f>
        <v>0.53881817059564718</v>
      </c>
      <c r="I10" s="82" t="s">
        <v>179</v>
      </c>
    </row>
    <row r="11" spans="1:10" ht="24" customHeight="1" x14ac:dyDescent="0.3">
      <c r="A11" s="91"/>
      <c r="B11" s="91">
        <v>8</v>
      </c>
      <c r="C11" s="92" t="s">
        <v>196</v>
      </c>
      <c r="D11" s="90" t="s">
        <v>169</v>
      </c>
      <c r="E11" s="93">
        <v>44711</v>
      </c>
      <c r="F11" s="91" t="s">
        <v>194</v>
      </c>
      <c r="G11" s="94">
        <f>'A Florent'!E23</f>
        <v>0.40758058042630851</v>
      </c>
      <c r="H11" s="78">
        <f>'A Florent'!E19</f>
        <v>0.9085393012899412</v>
      </c>
    </row>
    <row r="12" spans="1:10" ht="24" customHeight="1" x14ac:dyDescent="0.3">
      <c r="A12" s="91">
        <v>5</v>
      </c>
      <c r="B12" s="91">
        <v>9</v>
      </c>
      <c r="C12" s="92" t="s">
        <v>177</v>
      </c>
      <c r="D12" s="90" t="s">
        <v>178</v>
      </c>
      <c r="E12" s="93">
        <v>44711</v>
      </c>
      <c r="F12" s="91" t="s">
        <v>188</v>
      </c>
      <c r="G12" s="94">
        <f>'Joris R'!E23</f>
        <v>0.52804721368658192</v>
      </c>
      <c r="H12" s="78">
        <f>'Joris R'!E19</f>
        <v>0.81092063666201031</v>
      </c>
      <c r="I12" s="82" t="s">
        <v>179</v>
      </c>
    </row>
    <row r="13" spans="1:10" ht="24" customHeight="1" x14ac:dyDescent="0.3">
      <c r="C13" s="92" t="s">
        <v>184</v>
      </c>
      <c r="D13" s="90" t="s">
        <v>187</v>
      </c>
      <c r="E13" s="90"/>
      <c r="F13" s="91" t="s">
        <v>167</v>
      </c>
      <c r="G13" s="94">
        <v>0.92</v>
      </c>
      <c r="H13" s="78">
        <f>pierre!E19</f>
        <v>0.33319647141274272</v>
      </c>
    </row>
    <row r="14" spans="1:10" ht="24" customHeight="1" x14ac:dyDescent="0.3">
      <c r="C14" s="92" t="s">
        <v>185</v>
      </c>
      <c r="D14" s="90" t="s">
        <v>186</v>
      </c>
      <c r="E14" s="90"/>
      <c r="F14" s="91" t="s">
        <v>191</v>
      </c>
      <c r="G14" s="94">
        <v>0.92700000000000005</v>
      </c>
      <c r="H14" s="78">
        <f>mark!E19</f>
        <v>0.31902151982935006</v>
      </c>
    </row>
    <row r="15" spans="1:10" x14ac:dyDescent="0.25">
      <c r="G15" s="83"/>
    </row>
    <row r="16" spans="1:10" x14ac:dyDescent="0.25">
      <c r="G16" s="83"/>
    </row>
    <row r="17" spans="7:7" x14ac:dyDescent="0.25">
      <c r="G17" s="83"/>
    </row>
    <row r="18" spans="7:7" x14ac:dyDescent="0.25">
      <c r="G18" s="83"/>
    </row>
    <row r="19" spans="7:7" x14ac:dyDescent="0.25">
      <c r="G19" s="83"/>
    </row>
    <row r="20" spans="7:7" x14ac:dyDescent="0.25">
      <c r="G20" s="83"/>
    </row>
    <row r="21" spans="7:7" x14ac:dyDescent="0.25">
      <c r="G21" s="83"/>
    </row>
    <row r="22" spans="7:7" x14ac:dyDescent="0.25">
      <c r="G22" s="83"/>
    </row>
    <row r="23" spans="7:7" x14ac:dyDescent="0.25">
      <c r="G23" s="83"/>
    </row>
    <row r="24" spans="7:7" x14ac:dyDescent="0.25">
      <c r="G24" s="83"/>
    </row>
    <row r="25" spans="7:7" x14ac:dyDescent="0.25">
      <c r="G25" s="83"/>
    </row>
    <row r="26" spans="7:7" x14ac:dyDescent="0.25">
      <c r="G26" s="83"/>
    </row>
    <row r="27" spans="7:7" x14ac:dyDescent="0.25">
      <c r="G27" s="83"/>
    </row>
    <row r="28" spans="7:7" x14ac:dyDescent="0.25">
      <c r="G28" s="83"/>
    </row>
    <row r="29" spans="7:7" x14ac:dyDescent="0.25">
      <c r="G29" s="83"/>
    </row>
    <row r="30" spans="7:7" x14ac:dyDescent="0.25">
      <c r="G30" s="83"/>
    </row>
    <row r="31" spans="7:7" x14ac:dyDescent="0.25">
      <c r="G31" s="83"/>
    </row>
    <row r="32" spans="7:7" x14ac:dyDescent="0.25">
      <c r="G32" s="83"/>
    </row>
    <row r="33" spans="7:7" x14ac:dyDescent="0.25">
      <c r="G33" s="83"/>
    </row>
    <row r="34" spans="7:7" x14ac:dyDescent="0.25">
      <c r="G34" s="83"/>
    </row>
    <row r="35" spans="7:7" x14ac:dyDescent="0.25">
      <c r="G35" s="83"/>
    </row>
    <row r="36" spans="7:7" x14ac:dyDescent="0.25">
      <c r="G36" s="83"/>
    </row>
    <row r="37" spans="7:7" x14ac:dyDescent="0.25">
      <c r="G37" s="83"/>
    </row>
    <row r="38" spans="7:7" x14ac:dyDescent="0.25">
      <c r="G38" s="83"/>
    </row>
    <row r="39" spans="7:7" x14ac:dyDescent="0.25">
      <c r="G39" s="83"/>
    </row>
    <row r="40" spans="7:7" x14ac:dyDescent="0.25">
      <c r="G40" s="83"/>
    </row>
    <row r="41" spans="7:7" x14ac:dyDescent="0.25">
      <c r="G41" s="83"/>
    </row>
    <row r="42" spans="7:7" x14ac:dyDescent="0.25">
      <c r="G42" s="83"/>
    </row>
    <row r="43" spans="7:7" x14ac:dyDescent="0.25">
      <c r="G43" s="83"/>
    </row>
    <row r="44" spans="7:7" x14ac:dyDescent="0.25">
      <c r="G44" s="83"/>
    </row>
    <row r="45" spans="7:7" x14ac:dyDescent="0.25">
      <c r="G45" s="83"/>
    </row>
    <row r="46" spans="7:7" x14ac:dyDescent="0.25">
      <c r="G46" s="83"/>
    </row>
  </sheetData>
  <sortState xmlns:xlrd2="http://schemas.microsoft.com/office/spreadsheetml/2017/richdata2" ref="B4:G12">
    <sortCondition ref="B4:B12"/>
  </sortState>
  <pageMargins left="0.7" right="0.7" top="0.75" bottom="0.75"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D4797-D884-459B-84A2-7CF150B11387}">
  <dimension ref="A3:I46"/>
  <sheetViews>
    <sheetView topLeftCell="A11" workbookViewId="0">
      <selection activeCell="J9" sqref="J9"/>
    </sheetView>
  </sheetViews>
  <sheetFormatPr defaultRowHeight="13.2" x14ac:dyDescent="0.25"/>
  <cols>
    <col min="3" max="3" width="32.109375" customWidth="1"/>
    <col min="4" max="4" width="20.44140625" customWidth="1"/>
    <col min="5" max="5" width="75.5546875" customWidth="1"/>
    <col min="6" max="6" width="9.5546875" bestFit="1" customWidth="1"/>
  </cols>
  <sheetData>
    <row r="3" spans="1:9" ht="24" customHeight="1" x14ac:dyDescent="0.3">
      <c r="A3" s="82" t="s">
        <v>199</v>
      </c>
      <c r="B3" s="82" t="s">
        <v>183</v>
      </c>
      <c r="C3" s="90" t="s">
        <v>182</v>
      </c>
      <c r="D3" s="90" t="s">
        <v>181</v>
      </c>
      <c r="E3" s="90" t="s">
        <v>180</v>
      </c>
      <c r="F3" s="91" t="s">
        <v>153</v>
      </c>
    </row>
    <row r="4" spans="1:9" ht="24" customHeight="1" x14ac:dyDescent="0.3">
      <c r="A4" s="91"/>
      <c r="B4" s="91">
        <v>3</v>
      </c>
      <c r="C4" s="92" t="s">
        <v>156</v>
      </c>
      <c r="D4" s="90" t="s">
        <v>151</v>
      </c>
      <c r="E4" s="91" t="s">
        <v>157</v>
      </c>
      <c r="F4" s="94">
        <f>Lijour!E23</f>
        <v>4.5160821732221294E-2</v>
      </c>
      <c r="I4">
        <f>LEN(E4)</f>
        <v>50</v>
      </c>
    </row>
    <row r="5" spans="1:9" ht="24" customHeight="1" x14ac:dyDescent="0.3">
      <c r="A5" s="91"/>
      <c r="B5" s="91">
        <v>1</v>
      </c>
      <c r="C5" s="92" t="s">
        <v>195</v>
      </c>
      <c r="D5" s="95" t="s">
        <v>150</v>
      </c>
      <c r="E5" s="96" t="s">
        <v>152</v>
      </c>
      <c r="F5" s="94">
        <f>'Emmanuel D'!E23</f>
        <v>0.21350059815111416</v>
      </c>
      <c r="G5">
        <v>3</v>
      </c>
    </row>
    <row r="6" spans="1:9" ht="24" customHeight="1" x14ac:dyDescent="0.3">
      <c r="A6" s="91"/>
      <c r="B6" s="91">
        <v>4</v>
      </c>
      <c r="C6" s="92" t="s">
        <v>159</v>
      </c>
      <c r="D6" s="90" t="s">
        <v>160</v>
      </c>
      <c r="E6" s="91" t="s">
        <v>161</v>
      </c>
      <c r="F6" s="94">
        <f>'Loudiyi '!E23</f>
        <v>0.40559628046845952</v>
      </c>
    </row>
    <row r="7" spans="1:9" ht="24" customHeight="1" x14ac:dyDescent="0.3">
      <c r="A7" s="91"/>
      <c r="B7" s="91">
        <v>8</v>
      </c>
      <c r="C7" s="92" t="s">
        <v>196</v>
      </c>
      <c r="D7" s="90" t="s">
        <v>169</v>
      </c>
      <c r="E7" s="91" t="s">
        <v>194</v>
      </c>
      <c r="F7" s="94">
        <f>'A Florent'!E23</f>
        <v>0.40758058042630851</v>
      </c>
    </row>
    <row r="8" spans="1:9" ht="24" customHeight="1" x14ac:dyDescent="0.3">
      <c r="A8" s="91">
        <v>3</v>
      </c>
      <c r="B8" s="91">
        <v>6</v>
      </c>
      <c r="C8" s="92" t="s">
        <v>198</v>
      </c>
      <c r="D8" s="90" t="s">
        <v>169</v>
      </c>
      <c r="E8" s="91" t="s">
        <v>192</v>
      </c>
      <c r="F8" s="94">
        <f>Roger!E23</f>
        <v>0.45889115210036974</v>
      </c>
      <c r="G8">
        <v>2</v>
      </c>
      <c r="H8" s="82" t="s">
        <v>179</v>
      </c>
      <c r="I8">
        <v>0.67</v>
      </c>
    </row>
    <row r="9" spans="1:9" ht="24" customHeight="1" x14ac:dyDescent="0.3">
      <c r="A9" s="91">
        <v>5</v>
      </c>
      <c r="B9" s="91">
        <v>9</v>
      </c>
      <c r="C9" s="92" t="s">
        <v>177</v>
      </c>
      <c r="D9" s="90" t="s">
        <v>178</v>
      </c>
      <c r="E9" s="91" t="s">
        <v>188</v>
      </c>
      <c r="F9" s="94">
        <f>'Joris R'!E23</f>
        <v>0.52804721368658192</v>
      </c>
      <c r="G9">
        <v>5</v>
      </c>
      <c r="H9" s="82" t="s">
        <v>179</v>
      </c>
    </row>
    <row r="10" spans="1:9" ht="24" customHeight="1" x14ac:dyDescent="0.3">
      <c r="A10" s="91">
        <v>1</v>
      </c>
      <c r="B10" s="91">
        <v>2</v>
      </c>
      <c r="C10" s="92" t="s">
        <v>197</v>
      </c>
      <c r="D10" s="90" t="s">
        <v>151</v>
      </c>
      <c r="E10" s="91" t="s">
        <v>193</v>
      </c>
      <c r="F10" s="94">
        <f>OPEX!E23</f>
        <v>0.66920760583962791</v>
      </c>
      <c r="G10">
        <v>1</v>
      </c>
      <c r="H10" s="82" t="s">
        <v>179</v>
      </c>
    </row>
    <row r="11" spans="1:9" ht="24" customHeight="1" x14ac:dyDescent="0.3">
      <c r="A11" s="91">
        <v>2</v>
      </c>
      <c r="B11" s="91">
        <v>5</v>
      </c>
      <c r="C11" s="92" t="s">
        <v>165</v>
      </c>
      <c r="D11" s="90" t="s">
        <v>166</v>
      </c>
      <c r="E11" s="91" t="s">
        <v>190</v>
      </c>
      <c r="F11" s="94">
        <f>Lesnoff!E23</f>
        <v>0.67546895510157068</v>
      </c>
    </row>
    <row r="12" spans="1:9" ht="24" customHeight="1" x14ac:dyDescent="0.35">
      <c r="A12" s="91">
        <v>4</v>
      </c>
      <c r="B12" s="91">
        <v>7</v>
      </c>
      <c r="C12" s="92" t="s">
        <v>170</v>
      </c>
      <c r="D12" s="97" t="s">
        <v>172</v>
      </c>
      <c r="E12" s="91" t="s">
        <v>189</v>
      </c>
      <c r="F12" s="94">
        <f>Dansler!E23</f>
        <v>0.79163425885066574</v>
      </c>
      <c r="G12">
        <v>4</v>
      </c>
      <c r="H12" s="82" t="s">
        <v>179</v>
      </c>
    </row>
    <row r="13" spans="1:9" ht="24" customHeight="1" x14ac:dyDescent="0.3">
      <c r="C13" s="92" t="s">
        <v>184</v>
      </c>
      <c r="D13" s="90" t="s">
        <v>187</v>
      </c>
      <c r="E13" s="91" t="s">
        <v>200</v>
      </c>
      <c r="F13" s="94">
        <v>0.92</v>
      </c>
    </row>
    <row r="14" spans="1:9" ht="24" customHeight="1" x14ac:dyDescent="0.3">
      <c r="C14" s="92" t="s">
        <v>185</v>
      </c>
      <c r="D14" s="90" t="s">
        <v>186</v>
      </c>
      <c r="E14" s="91" t="s">
        <v>201</v>
      </c>
      <c r="F14" s="94">
        <v>0.92700000000000005</v>
      </c>
    </row>
    <row r="15" spans="1:9" x14ac:dyDescent="0.25">
      <c r="F15" s="83"/>
    </row>
    <row r="16" spans="1:9" x14ac:dyDescent="0.25">
      <c r="F16" s="83"/>
    </row>
    <row r="17" spans="6:6" x14ac:dyDescent="0.25">
      <c r="F17" s="83"/>
    </row>
    <row r="18" spans="6:6" x14ac:dyDescent="0.25">
      <c r="F18" s="83"/>
    </row>
    <row r="19" spans="6:6" x14ac:dyDescent="0.25">
      <c r="F19" s="83"/>
    </row>
    <row r="20" spans="6:6" x14ac:dyDescent="0.25">
      <c r="F20" s="83"/>
    </row>
    <row r="21" spans="6:6" x14ac:dyDescent="0.25">
      <c r="F21" s="83"/>
    </row>
    <row r="22" spans="6:6" x14ac:dyDescent="0.25">
      <c r="F22" s="83"/>
    </row>
    <row r="23" spans="6:6" x14ac:dyDescent="0.25">
      <c r="F23" s="83"/>
    </row>
    <row r="24" spans="6:6" x14ac:dyDescent="0.25">
      <c r="F24" s="83"/>
    </row>
    <row r="25" spans="6:6" x14ac:dyDescent="0.25">
      <c r="F25" s="83"/>
    </row>
    <row r="26" spans="6:6" x14ac:dyDescent="0.25">
      <c r="F26" s="83"/>
    </row>
    <row r="27" spans="6:6" x14ac:dyDescent="0.25">
      <c r="F27" s="83"/>
    </row>
    <row r="28" spans="6:6" x14ac:dyDescent="0.25">
      <c r="F28" s="83"/>
    </row>
    <row r="29" spans="6:6" x14ac:dyDescent="0.25">
      <c r="F29" s="83"/>
    </row>
    <row r="30" spans="6:6" x14ac:dyDescent="0.25">
      <c r="F30" s="83"/>
    </row>
    <row r="31" spans="6:6" x14ac:dyDescent="0.25">
      <c r="F31" s="83"/>
    </row>
    <row r="32" spans="6:6" x14ac:dyDescent="0.25">
      <c r="F32" s="83"/>
    </row>
    <row r="33" spans="6:6" x14ac:dyDescent="0.25">
      <c r="F33" s="83"/>
    </row>
    <row r="34" spans="6:6" x14ac:dyDescent="0.25">
      <c r="F34" s="83"/>
    </row>
    <row r="35" spans="6:6" x14ac:dyDescent="0.25">
      <c r="F35" s="83"/>
    </row>
    <row r="36" spans="6:6" x14ac:dyDescent="0.25">
      <c r="F36" s="83"/>
    </row>
    <row r="37" spans="6:6" x14ac:dyDescent="0.25">
      <c r="F37" s="83"/>
    </row>
    <row r="38" spans="6:6" x14ac:dyDescent="0.25">
      <c r="F38" s="83"/>
    </row>
    <row r="39" spans="6:6" x14ac:dyDescent="0.25">
      <c r="F39" s="83"/>
    </row>
    <row r="40" spans="6:6" x14ac:dyDescent="0.25">
      <c r="F40" s="83"/>
    </row>
    <row r="41" spans="6:6" x14ac:dyDescent="0.25">
      <c r="F41" s="83"/>
    </row>
    <row r="42" spans="6:6" x14ac:dyDescent="0.25">
      <c r="F42" s="83"/>
    </row>
    <row r="43" spans="6:6" x14ac:dyDescent="0.25">
      <c r="F43" s="83"/>
    </row>
    <row r="44" spans="6:6" x14ac:dyDescent="0.25">
      <c r="F44" s="83"/>
    </row>
    <row r="45" spans="6:6" x14ac:dyDescent="0.25">
      <c r="F45" s="83"/>
    </row>
    <row r="46" spans="6:6" x14ac:dyDescent="0.25">
      <c r="F46" s="83"/>
    </row>
  </sheetData>
  <sortState xmlns:xlrd2="http://schemas.microsoft.com/office/spreadsheetml/2017/richdata2" ref="A4:F14">
    <sortCondition ref="F4:F14"/>
  </sortState>
  <pageMargins left="0.7" right="0.7" top="0.75" bottom="0.75" header="0.3" footer="0.3"/>
  <pageSetup paperSize="9" orientation="portrait" horizontalDpi="0" verticalDpi="0"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35CFC-CC65-4F5F-9EE2-0F81501A3A10}">
  <sheetPr>
    <pageSetUpPr fitToPage="1"/>
  </sheetPr>
  <dimension ref="B1:AB142"/>
  <sheetViews>
    <sheetView topLeftCell="A11" zoomScale="80" zoomScaleNormal="80" workbookViewId="0">
      <selection activeCell="C3" sqref="C3:K3"/>
    </sheetView>
  </sheetViews>
  <sheetFormatPr defaultColWidth="8.88671875" defaultRowHeight="13.2" x14ac:dyDescent="0.25"/>
  <cols>
    <col min="1" max="1" width="3.109375" style="2" customWidth="1"/>
    <col min="2" max="2" width="9.44140625" style="2" customWidth="1"/>
    <col min="3" max="3" width="20.88671875" style="2" customWidth="1"/>
    <col min="4" max="4" width="15.44140625" style="61" customWidth="1"/>
    <col min="5" max="5" width="10.88671875" style="61" customWidth="1"/>
    <col min="6" max="6" width="13.5546875" style="61" customWidth="1"/>
    <col min="7" max="7" width="10.33203125" style="2" customWidth="1"/>
    <col min="8" max="8" width="13.33203125" style="2" customWidth="1"/>
    <col min="9" max="9" width="10.5546875" style="2" customWidth="1"/>
    <col min="10" max="10" width="15" style="2" customWidth="1"/>
    <col min="11" max="11" width="12.109375" style="3" customWidth="1"/>
    <col min="12" max="12" width="9.109375" style="3" customWidth="1"/>
    <col min="13" max="13" width="7.6640625" style="2" customWidth="1"/>
    <col min="14" max="14" width="7" style="2" customWidth="1"/>
    <col min="15" max="15" width="11.109375" style="2" customWidth="1"/>
    <col min="16" max="16" width="10.109375" style="2" customWidth="1"/>
    <col min="17" max="17" width="6.33203125" style="2" customWidth="1"/>
    <col min="18" max="20" width="8.88671875" style="2"/>
    <col min="21" max="21" width="9.33203125" style="2" customWidth="1"/>
    <col min="22" max="23" width="8.88671875" style="2"/>
    <col min="24" max="24" width="9.109375" style="2" customWidth="1"/>
    <col min="25" max="16384" width="8.88671875" style="2"/>
  </cols>
  <sheetData>
    <row r="1" spans="2:28" ht="15.6" customHeight="1" x14ac:dyDescent="0.25">
      <c r="B1" s="1"/>
      <c r="C1" s="1"/>
      <c r="D1" s="2"/>
      <c r="E1" s="1"/>
      <c r="F1" s="2"/>
      <c r="M1" s="3"/>
      <c r="N1" s="3"/>
      <c r="O1" s="3"/>
      <c r="P1" s="3"/>
      <c r="Q1" s="3"/>
      <c r="R1" s="3"/>
      <c r="S1" s="3"/>
      <c r="T1" s="3"/>
      <c r="U1" s="3"/>
      <c r="V1" s="3"/>
      <c r="W1" s="1" t="s">
        <v>53</v>
      </c>
    </row>
    <row r="2" spans="2:28" ht="6.6" customHeight="1" x14ac:dyDescent="0.3">
      <c r="D2" s="4"/>
      <c r="E2" s="4"/>
      <c r="F2" s="4"/>
      <c r="G2" s="5"/>
      <c r="H2" s="4"/>
      <c r="I2" s="4"/>
      <c r="J2" s="4"/>
      <c r="K2" s="6"/>
      <c r="L2" s="6"/>
      <c r="M2" s="6"/>
      <c r="N2" s="6"/>
      <c r="O2" s="6"/>
      <c r="P2" s="6"/>
      <c r="Q2" s="6"/>
      <c r="R2" s="6"/>
      <c r="S2" s="6"/>
      <c r="T2" s="6"/>
      <c r="U2" s="6"/>
      <c r="V2" s="6"/>
      <c r="W2" s="3"/>
    </row>
    <row r="3" spans="2:28" ht="20.399999999999999" x14ac:dyDescent="0.35">
      <c r="C3" s="98" t="s">
        <v>227</v>
      </c>
      <c r="D3" s="98"/>
      <c r="E3" s="98"/>
      <c r="F3" s="98"/>
      <c r="G3" s="98"/>
      <c r="H3" s="98"/>
      <c r="I3" s="98"/>
      <c r="J3" s="98"/>
      <c r="K3" s="98"/>
      <c r="L3" s="6"/>
      <c r="M3" s="6"/>
      <c r="N3" s="6"/>
      <c r="O3" s="6"/>
      <c r="P3" s="6"/>
      <c r="Q3" s="6"/>
      <c r="R3" s="6"/>
      <c r="S3" s="6"/>
      <c r="T3" s="6"/>
      <c r="U3" s="6"/>
      <c r="V3" s="6"/>
      <c r="W3" s="3"/>
    </row>
    <row r="4" spans="2:28" ht="7.2" customHeight="1" x14ac:dyDescent="0.25">
      <c r="D4" s="4"/>
      <c r="E4" s="4"/>
      <c r="F4" s="4"/>
      <c r="G4" s="4"/>
      <c r="H4" s="4"/>
      <c r="I4" s="4"/>
      <c r="J4" s="4"/>
      <c r="K4" s="6"/>
      <c r="L4" s="6"/>
      <c r="M4" s="6"/>
      <c r="N4" s="6"/>
      <c r="O4" s="6"/>
      <c r="P4" s="6"/>
      <c r="Q4" s="6"/>
      <c r="R4" s="6"/>
      <c r="S4" s="6"/>
      <c r="T4" s="6"/>
      <c r="U4" s="6"/>
      <c r="V4" s="6"/>
      <c r="W4" s="36"/>
      <c r="X4" s="30"/>
      <c r="Y4" s="30"/>
      <c r="Z4" s="30"/>
      <c r="AA4" s="30"/>
      <c r="AB4" s="30"/>
    </row>
    <row r="5" spans="2:28" ht="7.95" customHeight="1" thickBot="1" x14ac:dyDescent="0.3">
      <c r="D5" s="4"/>
      <c r="E5" s="4"/>
      <c r="F5" s="4"/>
      <c r="G5" s="4"/>
      <c r="H5" s="4"/>
      <c r="I5" s="4"/>
      <c r="J5" s="4"/>
      <c r="K5" s="6"/>
      <c r="L5" s="6"/>
      <c r="M5" s="6"/>
      <c r="N5" s="6"/>
      <c r="O5" s="6"/>
      <c r="P5" s="6"/>
      <c r="Q5" s="6"/>
      <c r="R5" s="6"/>
      <c r="S5" s="6"/>
      <c r="T5" s="6"/>
      <c r="U5" s="6"/>
      <c r="V5" s="6"/>
      <c r="W5" s="36"/>
      <c r="X5" s="30"/>
      <c r="Y5" s="30"/>
      <c r="Z5" s="30"/>
      <c r="AA5" s="30"/>
      <c r="AB5" s="30"/>
    </row>
    <row r="6" spans="2:28" ht="17.399999999999999" x14ac:dyDescent="0.3">
      <c r="B6" s="47"/>
      <c r="C6" s="48" t="str">
        <f>CONCATENATE(D62," = f (",F62," )")</f>
        <v>REF = f (Pierre )</v>
      </c>
      <c r="D6" s="49"/>
      <c r="E6" s="48"/>
      <c r="F6" s="48"/>
      <c r="G6" s="8"/>
      <c r="H6" s="65" t="s">
        <v>38</v>
      </c>
      <c r="I6" s="7"/>
      <c r="J6" s="8"/>
      <c r="M6" s="3"/>
      <c r="N6" s="3"/>
      <c r="O6" s="3"/>
      <c r="P6" s="3"/>
      <c r="Q6" s="3"/>
      <c r="R6" s="3"/>
      <c r="S6" s="3"/>
      <c r="T6" s="3"/>
      <c r="U6" s="3"/>
      <c r="V6" s="3"/>
      <c r="W6" s="36"/>
      <c r="X6" s="30"/>
      <c r="Y6" s="30"/>
      <c r="Z6" s="30"/>
      <c r="AA6" s="30"/>
      <c r="AB6" s="30"/>
    </row>
    <row r="7" spans="2:28" ht="17.399999999999999" x14ac:dyDescent="0.3">
      <c r="B7" s="50"/>
      <c r="C7" s="36"/>
      <c r="D7" s="45" t="str">
        <f>D62</f>
        <v>REF</v>
      </c>
      <c r="E7" s="45"/>
      <c r="F7" s="45" t="str">
        <f>F62</f>
        <v>Pierre</v>
      </c>
      <c r="G7" s="10"/>
      <c r="H7" s="66" t="s">
        <v>22</v>
      </c>
      <c r="I7" s="9">
        <v>500</v>
      </c>
      <c r="J7" s="10"/>
      <c r="M7" s="3"/>
      <c r="N7" s="3"/>
      <c r="O7" s="3"/>
      <c r="P7" s="3"/>
      <c r="Q7" s="3"/>
      <c r="R7" s="3"/>
      <c r="S7" s="3"/>
      <c r="T7" s="3"/>
      <c r="U7" s="3"/>
      <c r="V7" s="3"/>
      <c r="W7" s="36"/>
      <c r="X7" s="30" t="s">
        <v>30</v>
      </c>
      <c r="Y7" s="30"/>
      <c r="Z7" s="30"/>
      <c r="AA7" s="30"/>
      <c r="AB7" s="30"/>
    </row>
    <row r="8" spans="2:28" ht="17.399999999999999" x14ac:dyDescent="0.3">
      <c r="B8" s="50"/>
      <c r="C8" s="51" t="s">
        <v>22</v>
      </c>
      <c r="D8" s="23"/>
      <c r="E8" s="45">
        <f>COUNT(Table22342102345678911[REF])</f>
        <v>80</v>
      </c>
      <c r="F8" s="23"/>
      <c r="G8" s="10"/>
      <c r="H8" s="66" t="s">
        <v>39</v>
      </c>
      <c r="I8" s="9">
        <v>1.2</v>
      </c>
      <c r="J8" s="10"/>
      <c r="M8" s="3"/>
      <c r="N8" s="3"/>
      <c r="O8" s="3"/>
      <c r="P8" s="3"/>
      <c r="Q8" s="3"/>
      <c r="R8" s="3"/>
      <c r="S8" s="3"/>
      <c r="T8" s="3"/>
      <c r="U8" s="3"/>
      <c r="V8" s="3"/>
      <c r="W8" s="36"/>
      <c r="X8" s="37">
        <f>62+E8</f>
        <v>142</v>
      </c>
      <c r="Y8" s="30"/>
      <c r="Z8" s="38"/>
      <c r="AA8" s="30"/>
      <c r="AB8" s="30"/>
    </row>
    <row r="9" spans="2:28" ht="16.2" thickBot="1" x14ac:dyDescent="0.35">
      <c r="B9" s="50"/>
      <c r="C9" s="51" t="s">
        <v>6</v>
      </c>
      <c r="D9" s="24">
        <f>AVERAGE(Table22342102345678911[REF])</f>
        <v>11.109499980000002</v>
      </c>
      <c r="E9" s="24"/>
      <c r="F9" s="24">
        <f>AVERAGE(Table22342102345678911[Pierre])</f>
        <v>11.394074999999999</v>
      </c>
      <c r="G9" s="69"/>
      <c r="H9" s="67" t="s">
        <v>43</v>
      </c>
      <c r="I9" s="13"/>
      <c r="J9" s="14">
        <v>12</v>
      </c>
      <c r="M9" s="3"/>
      <c r="N9" s="3"/>
      <c r="O9" s="3"/>
      <c r="P9" s="3"/>
      <c r="Q9" s="3"/>
      <c r="R9" s="3"/>
      <c r="S9" s="3"/>
      <c r="T9" s="3"/>
      <c r="U9" s="3"/>
      <c r="V9" s="3"/>
      <c r="W9" s="56"/>
      <c r="X9" s="30"/>
      <c r="Y9" s="30"/>
      <c r="Z9" s="30"/>
      <c r="AA9" s="30"/>
      <c r="AB9" s="30"/>
    </row>
    <row r="10" spans="2:28" ht="16.2" thickBot="1" x14ac:dyDescent="0.35">
      <c r="B10" s="50"/>
      <c r="C10" s="51" t="s">
        <v>7</v>
      </c>
      <c r="D10" s="24">
        <f>MIN(Table22342102345678911[REF])</f>
        <v>8.9700003000000006</v>
      </c>
      <c r="E10" s="24">
        <f>ROUNDDOWN(MIN(D10,F10),0)</f>
        <v>8</v>
      </c>
      <c r="F10" s="24">
        <f>MIN(Table22342102345678911[Pierre])</f>
        <v>9.2230000000000008</v>
      </c>
      <c r="G10" s="70"/>
      <c r="H10" s="68" t="s">
        <v>40</v>
      </c>
      <c r="I10" s="15">
        <v>0.05</v>
      </c>
      <c r="J10" s="16"/>
      <c r="M10" s="3"/>
      <c r="N10" s="3"/>
      <c r="O10" s="3"/>
      <c r="P10" s="3"/>
      <c r="Q10" s="3"/>
      <c r="R10" s="3"/>
      <c r="S10" s="3"/>
      <c r="T10" s="3"/>
      <c r="U10" s="3"/>
      <c r="V10" s="3"/>
      <c r="W10" s="56">
        <f>E10+E20</f>
        <v>8.2845750199999966</v>
      </c>
      <c r="X10" s="30"/>
      <c r="Y10" s="30"/>
      <c r="Z10" s="30"/>
      <c r="AA10" s="30"/>
      <c r="AB10" s="30"/>
    </row>
    <row r="11" spans="2:28" ht="15.6" x14ac:dyDescent="0.3">
      <c r="B11" s="50"/>
      <c r="C11" s="51" t="s">
        <v>8</v>
      </c>
      <c r="D11" s="24">
        <f>MAX(Table22342102345678911[REF])</f>
        <v>14.4300003</v>
      </c>
      <c r="E11" s="24">
        <f>ROUNDUP(MAX(D11,F11),0)+1</f>
        <v>16</v>
      </c>
      <c r="F11" s="24">
        <f>MAX(Table22342102345678911[Pierre])</f>
        <v>14.247</v>
      </c>
      <c r="G11" s="70"/>
      <c r="H11" s="28" t="s">
        <v>41</v>
      </c>
      <c r="I11" s="29">
        <f>TINV(I10,E8)</f>
        <v>1.9900634212544475</v>
      </c>
      <c r="J11" s="29"/>
      <c r="K11" s="36"/>
      <c r="M11" s="3"/>
      <c r="N11" s="3"/>
      <c r="O11" s="3"/>
      <c r="P11" s="3"/>
      <c r="Q11" s="3"/>
      <c r="R11" s="3"/>
      <c r="S11" s="3"/>
      <c r="T11" s="3"/>
      <c r="U11" s="3"/>
      <c r="V11" s="3"/>
      <c r="W11" s="56">
        <f>E11+E20</f>
        <v>16.284575019999998</v>
      </c>
      <c r="X11" s="30"/>
      <c r="Y11" s="30"/>
      <c r="Z11" s="30"/>
      <c r="AA11" s="30"/>
      <c r="AB11" s="30"/>
    </row>
    <row r="12" spans="2:28" ht="15.6" x14ac:dyDescent="0.3">
      <c r="B12" s="50"/>
      <c r="C12" s="51" t="s">
        <v>9</v>
      </c>
      <c r="D12" s="25">
        <f>STDEV(Table22342102345678911[REF])</f>
        <v>1.1729049824811564</v>
      </c>
      <c r="E12" s="25"/>
      <c r="F12" s="24">
        <f>STDEV(Table22342102345678911[Pierre])</f>
        <v>0.97466654830241672</v>
      </c>
      <c r="G12" s="69"/>
      <c r="H12" s="28" t="s">
        <v>42</v>
      </c>
      <c r="I12" s="29">
        <f>FINV(I10,E8-1,I7-1-J9)</f>
        <v>1.305795130911809</v>
      </c>
      <c r="J12" s="30"/>
      <c r="K12" s="36"/>
      <c r="M12" s="3"/>
      <c r="N12" s="3"/>
      <c r="O12" s="3"/>
      <c r="P12" s="3"/>
      <c r="Q12" s="3"/>
      <c r="R12" s="3"/>
      <c r="S12" s="3"/>
      <c r="T12" s="3"/>
      <c r="U12" s="3"/>
      <c r="V12" s="3"/>
      <c r="W12" s="36"/>
      <c r="X12" s="30"/>
      <c r="Y12" s="30"/>
      <c r="Z12" s="30"/>
      <c r="AA12" s="30"/>
      <c r="AB12" s="30"/>
    </row>
    <row r="13" spans="2:28" ht="15.6" x14ac:dyDescent="0.3">
      <c r="B13" s="50"/>
      <c r="C13" s="51" t="s">
        <v>56</v>
      </c>
      <c r="D13" s="24">
        <f>MEDIAN(Table22342102345678911[REF])</f>
        <v>11.010000250000001</v>
      </c>
      <c r="E13" s="25"/>
      <c r="F13" s="24">
        <f>MEDIAN(Table22342102345678911[Pierre])</f>
        <v>11.278500000000001</v>
      </c>
      <c r="G13" s="69"/>
      <c r="H13" s="28"/>
      <c r="I13" s="29"/>
      <c r="J13" s="30"/>
      <c r="K13" s="36"/>
      <c r="M13" s="3"/>
      <c r="N13" s="3"/>
      <c r="O13" s="3"/>
      <c r="P13" s="3"/>
      <c r="Q13" s="3"/>
      <c r="R13" s="3"/>
      <c r="S13" s="3"/>
      <c r="T13" s="3"/>
      <c r="U13" s="3"/>
      <c r="V13" s="3"/>
      <c r="W13" s="36"/>
      <c r="X13" s="30"/>
      <c r="Y13" s="30"/>
      <c r="Z13" s="30"/>
      <c r="AA13" s="30"/>
      <c r="AB13" s="30"/>
    </row>
    <row r="14" spans="2:28" ht="15.6" x14ac:dyDescent="0.3">
      <c r="B14" s="50"/>
      <c r="C14" s="51" t="s">
        <v>57</v>
      </c>
      <c r="D14" s="25">
        <f>1.4826*(MEDIAN(Table22342102345678911[abs(lab)]))</f>
        <v>1.4677736293499986</v>
      </c>
      <c r="E14" s="25"/>
      <c r="F14" s="24">
        <f>1.4826*MEDIAN(Table22342102345678911[abs(anl)])</f>
        <v>1.0533872999999996</v>
      </c>
      <c r="G14" s="75"/>
      <c r="H14" s="28"/>
      <c r="I14" s="29"/>
      <c r="J14" s="30"/>
      <c r="K14" s="36"/>
      <c r="M14" s="3"/>
      <c r="N14" s="3"/>
      <c r="O14" s="3"/>
      <c r="P14" s="3"/>
      <c r="Q14" s="3"/>
      <c r="R14" s="3"/>
      <c r="S14" s="3"/>
      <c r="T14" s="3"/>
      <c r="U14" s="3"/>
      <c r="V14" s="3"/>
      <c r="W14" s="36"/>
      <c r="X14" s="30"/>
      <c r="Y14" s="30"/>
      <c r="Z14" s="30"/>
      <c r="AA14" s="30"/>
      <c r="AB14" s="30"/>
    </row>
    <row r="15" spans="2:28" ht="15.6" x14ac:dyDescent="0.3">
      <c r="B15" s="50"/>
      <c r="C15" s="51"/>
      <c r="D15" s="25"/>
      <c r="E15" s="25"/>
      <c r="F15" s="24" t="s">
        <v>63</v>
      </c>
      <c r="G15" s="69"/>
      <c r="H15" s="28"/>
      <c r="I15" s="29"/>
      <c r="J15" s="30"/>
      <c r="K15" s="36"/>
      <c r="M15" s="3"/>
      <c r="N15" s="3"/>
      <c r="O15" s="3"/>
      <c r="P15" s="3"/>
      <c r="Q15" s="3"/>
      <c r="R15" s="3"/>
      <c r="S15" s="3"/>
      <c r="T15" s="3"/>
      <c r="U15" s="3"/>
      <c r="V15" s="3"/>
      <c r="W15" s="36"/>
      <c r="X15" s="30"/>
      <c r="Y15" s="30"/>
      <c r="Z15" s="30"/>
      <c r="AA15" s="30"/>
      <c r="AB15" s="30"/>
    </row>
    <row r="16" spans="2:28" ht="17.399999999999999" x14ac:dyDescent="0.3">
      <c r="B16" s="50"/>
      <c r="C16" s="51" t="s">
        <v>10</v>
      </c>
      <c r="D16" s="25"/>
      <c r="E16" s="26">
        <f>SQRT(AVERAGE(Table22342102345678911[dif^2]))</f>
        <v>0.46000714914017132</v>
      </c>
      <c r="F16" s="72">
        <f>SQRT(F18^2+E20^2)</f>
        <v>0.42117579248358722</v>
      </c>
      <c r="G16" s="10"/>
      <c r="H16" s="31"/>
      <c r="I16" s="30"/>
      <c r="J16" s="31"/>
      <c r="K16" s="44"/>
      <c r="M16" s="3"/>
      <c r="N16" s="3"/>
      <c r="O16" s="3"/>
      <c r="P16" s="3"/>
      <c r="Q16" s="3"/>
      <c r="R16" s="3"/>
      <c r="S16" s="3"/>
      <c r="T16" s="3"/>
      <c r="U16" s="3"/>
      <c r="V16" s="3"/>
      <c r="W16" s="36"/>
      <c r="X16" s="30"/>
      <c r="Y16" s="30"/>
      <c r="Z16" s="30"/>
      <c r="AA16" s="30"/>
      <c r="AB16" s="30"/>
    </row>
    <row r="17" spans="2:28" ht="21" x14ac:dyDescent="0.4">
      <c r="B17" s="50"/>
      <c r="C17" s="51" t="s">
        <v>55</v>
      </c>
      <c r="D17" s="3"/>
      <c r="E17" s="26"/>
      <c r="F17" s="26">
        <f>MEDIAN(Table22342102345678911[abs_errors])</f>
        <v>0.20942488000000381</v>
      </c>
      <c r="G17" s="10"/>
      <c r="H17" s="32"/>
      <c r="I17" s="33"/>
      <c r="J17" s="34"/>
      <c r="K17" s="54"/>
      <c r="M17" s="3"/>
      <c r="N17" s="3"/>
      <c r="O17" s="3"/>
      <c r="P17" s="3"/>
      <c r="Q17" s="3"/>
      <c r="R17" s="3"/>
      <c r="S17" s="3"/>
      <c r="T17" s="3"/>
      <c r="U17" s="3"/>
      <c r="V17" s="3"/>
      <c r="W17" s="36"/>
      <c r="X17" s="30"/>
      <c r="Y17" s="30"/>
      <c r="Z17" s="30"/>
      <c r="AA17" s="30"/>
      <c r="AB17" s="30"/>
    </row>
    <row r="18" spans="2:28" ht="21" x14ac:dyDescent="0.4">
      <c r="B18" s="50"/>
      <c r="C18" s="51" t="s">
        <v>11</v>
      </c>
      <c r="D18" s="25"/>
      <c r="E18" s="26">
        <f>STDEV(Table22342102345678911[X-Y])</f>
        <v>0.36369918750175317</v>
      </c>
      <c r="F18" s="26">
        <f>1.4826*MEDIAN(Table22342102345678911[abs_errors])</f>
        <v>0.31049332708800564</v>
      </c>
      <c r="G18" s="10"/>
      <c r="H18" s="32" t="s">
        <v>44</v>
      </c>
      <c r="I18" s="33">
        <f>I8*I12</f>
        <v>1.5669541570941707</v>
      </c>
      <c r="J18" s="34" t="str">
        <f>IF(E18&gt;I18,"S"," ns ")</f>
        <v xml:space="preserve"> ns </v>
      </c>
      <c r="K18" s="36"/>
      <c r="M18" s="3"/>
      <c r="N18" s="3"/>
      <c r="O18" s="3"/>
      <c r="P18" s="3"/>
      <c r="Q18" s="3"/>
      <c r="R18" s="3"/>
      <c r="S18" s="3"/>
      <c r="T18" s="3"/>
      <c r="U18" s="3"/>
      <c r="V18" s="3"/>
      <c r="W18" s="36"/>
      <c r="X18" s="30" t="s">
        <v>28</v>
      </c>
      <c r="Y18" s="30" t="s">
        <v>27</v>
      </c>
      <c r="Z18" s="30"/>
      <c r="AA18" s="30"/>
      <c r="AB18" s="30"/>
    </row>
    <row r="19" spans="2:28" ht="17.399999999999999" x14ac:dyDescent="0.3">
      <c r="B19" s="50"/>
      <c r="C19" s="51" t="s">
        <v>12</v>
      </c>
      <c r="D19" s="25"/>
      <c r="E19" s="26">
        <f>STEYX(Table22342102345678911[REF],Table22342102345678911[Pierre])</f>
        <v>0.33319647141274272</v>
      </c>
      <c r="F19" s="26">
        <f>1.4826*MEDIAN(Table22342102345678911[Abs_erroryx])</f>
        <v>0.3402747522961273</v>
      </c>
      <c r="G19" s="10"/>
      <c r="H19" s="32"/>
      <c r="I19" s="33"/>
      <c r="J19" s="30"/>
      <c r="K19" s="36"/>
      <c r="M19" s="3"/>
      <c r="N19" s="3"/>
      <c r="O19" s="3"/>
      <c r="P19" s="3"/>
      <c r="Q19" s="3"/>
      <c r="R19" s="3"/>
      <c r="S19" s="3"/>
      <c r="T19" s="3"/>
      <c r="U19" s="3"/>
      <c r="V19" s="3"/>
      <c r="W19" s="36" t="s">
        <v>24</v>
      </c>
      <c r="X19" s="35">
        <f>E$26+E$25*E10</f>
        <v>7.0251005663253068</v>
      </c>
      <c r="Y19" s="30">
        <f>E10</f>
        <v>8</v>
      </c>
      <c r="Z19" s="30"/>
      <c r="AA19" s="30"/>
      <c r="AB19" s="30"/>
    </row>
    <row r="20" spans="2:28" ht="21" x14ac:dyDescent="0.4">
      <c r="B20" s="50"/>
      <c r="C20" s="51" t="s">
        <v>16</v>
      </c>
      <c r="D20" s="25"/>
      <c r="E20" s="72">
        <f>F9-D9</f>
        <v>0.28457501999999657</v>
      </c>
      <c r="F20" s="26">
        <f>F13-D13</f>
        <v>0.26849975000000015</v>
      </c>
      <c r="G20" s="10"/>
      <c r="H20" s="32" t="s">
        <v>46</v>
      </c>
      <c r="I20" s="33">
        <f>ABS(E20/(SQRT(SUM(Table22342102345678911[dif^2])/(E8*(E8-1)))))</f>
        <v>5.4985191182337623</v>
      </c>
      <c r="J20" s="34" t="str">
        <f>IF(I20&gt;I11,"S","ns")</f>
        <v>S</v>
      </c>
      <c r="K20" s="36"/>
      <c r="M20" s="3"/>
      <c r="N20" s="3"/>
      <c r="O20" s="3"/>
      <c r="P20" s="3"/>
      <c r="Q20" s="3"/>
      <c r="R20" s="3"/>
      <c r="S20" s="3"/>
      <c r="T20" s="3"/>
      <c r="U20" s="3"/>
      <c r="V20" s="3"/>
      <c r="W20" s="36" t="s">
        <v>25</v>
      </c>
      <c r="X20" s="35">
        <f>E$26+E$25*E11</f>
        <v>16.65222881463967</v>
      </c>
      <c r="Y20" s="30">
        <f>E11</f>
        <v>16</v>
      </c>
      <c r="Z20" s="30"/>
      <c r="AA20" s="30"/>
      <c r="AB20" s="30"/>
    </row>
    <row r="21" spans="2:28" ht="21" x14ac:dyDescent="0.4">
      <c r="B21" s="50"/>
      <c r="C21" s="51" t="s">
        <v>13</v>
      </c>
      <c r="D21" s="25"/>
      <c r="E21" s="26">
        <f>SLOPE(Table22342102345678911[REF],Table22342102345678911[Pierre])</f>
        <v>1.1544536201013504</v>
      </c>
      <c r="F21" s="26"/>
      <c r="G21" s="10"/>
      <c r="H21" s="32" t="s">
        <v>45</v>
      </c>
      <c r="I21" s="33">
        <f>ABS(E21-1)*SQRT((E8-1)*F12^2/E19^2)</f>
        <v>4.015755887373051</v>
      </c>
      <c r="J21" s="34" t="str">
        <f>IF(I21&gt;I11,"S"," ns  ")</f>
        <v>S</v>
      </c>
      <c r="K21" s="55"/>
      <c r="M21" s="3"/>
      <c r="N21" s="3"/>
      <c r="O21" s="3"/>
      <c r="P21" s="3"/>
      <c r="Q21" s="3"/>
      <c r="R21" s="3"/>
      <c r="S21" s="3"/>
      <c r="T21" s="3"/>
      <c r="U21" s="3"/>
      <c r="V21" s="3"/>
      <c r="W21" s="36" t="s">
        <v>26</v>
      </c>
      <c r="X21" s="30">
        <f>E$26+E$25*F9</f>
        <v>11.109499980000002</v>
      </c>
      <c r="Y21" s="29">
        <f>F9</f>
        <v>11.394074999999999</v>
      </c>
      <c r="Z21" s="30"/>
      <c r="AA21" s="30"/>
      <c r="AB21" s="30"/>
    </row>
    <row r="22" spans="2:28" ht="17.399999999999999" x14ac:dyDescent="0.3">
      <c r="B22" s="50"/>
      <c r="C22" s="51" t="s">
        <v>14</v>
      </c>
      <c r="D22" s="25"/>
      <c r="E22" s="26">
        <f>INTERCEPT(Table22342102345678911[REF],Table22342102345678911[Pierre])</f>
        <v>-2.0444311514562905</v>
      </c>
      <c r="F22" s="26"/>
      <c r="G22" s="10"/>
      <c r="H22" s="30"/>
      <c r="I22" s="30"/>
      <c r="J22" s="30"/>
      <c r="K22" s="36"/>
      <c r="M22" s="3"/>
      <c r="N22" s="3"/>
      <c r="O22" s="3"/>
      <c r="P22" s="3"/>
      <c r="Q22" s="3"/>
      <c r="R22" s="3"/>
      <c r="S22" s="3"/>
      <c r="T22" s="3"/>
      <c r="U22" s="3"/>
      <c r="V22" s="3"/>
      <c r="W22" s="36"/>
      <c r="X22" s="30"/>
      <c r="Y22" s="30"/>
      <c r="Z22" s="30"/>
      <c r="AA22" s="30"/>
      <c r="AB22" s="30"/>
    </row>
    <row r="23" spans="2:28" ht="22.8" x14ac:dyDescent="0.4">
      <c r="B23" s="50"/>
      <c r="C23" s="51" t="s">
        <v>15</v>
      </c>
      <c r="D23" s="25"/>
      <c r="E23" s="80">
        <f>RSQ(Table22342102345678911[REF],Table22342102345678911[Pierre])</f>
        <v>0.92032122727244159</v>
      </c>
      <c r="F23" s="26">
        <f>(D12^2-F19^2)/D12^2</f>
        <v>0.91583456144849018</v>
      </c>
      <c r="G23" s="10"/>
      <c r="H23" s="32"/>
      <c r="I23" s="33"/>
      <c r="J23" s="30"/>
      <c r="K23" s="36"/>
      <c r="M23" s="3"/>
      <c r="N23" s="3"/>
      <c r="O23" s="3"/>
      <c r="P23" s="3"/>
      <c r="Q23" s="3"/>
      <c r="R23" s="3"/>
      <c r="S23" s="3"/>
      <c r="T23" s="3"/>
      <c r="U23" s="3"/>
      <c r="V23" s="3"/>
      <c r="W23" s="36"/>
      <c r="X23" s="30"/>
      <c r="Y23" s="30"/>
      <c r="Z23" s="30"/>
      <c r="AA23" s="30"/>
      <c r="AB23" s="30"/>
    </row>
    <row r="24" spans="2:28" ht="17.399999999999999" x14ac:dyDescent="0.3">
      <c r="B24" s="50"/>
      <c r="C24" s="51" t="s">
        <v>29</v>
      </c>
      <c r="D24" s="23"/>
      <c r="E24" s="26">
        <f>1/SQRT(1-E23)</f>
        <v>3.5426535409003383</v>
      </c>
      <c r="F24" s="26">
        <f>1/SQRT(1-F23)</f>
        <v>3.4469350857404324</v>
      </c>
      <c r="G24" s="10"/>
      <c r="H24" s="76" t="s">
        <v>64</v>
      </c>
      <c r="I24" s="77">
        <f>D12/E19</f>
        <v>3.5201602751315928</v>
      </c>
      <c r="J24" s="30"/>
      <c r="K24" s="36"/>
      <c r="M24" s="3"/>
      <c r="N24" s="3"/>
      <c r="O24" s="3"/>
      <c r="P24" s="3"/>
      <c r="Q24" s="3"/>
      <c r="R24" s="3"/>
      <c r="S24" s="3"/>
      <c r="T24" s="3"/>
      <c r="U24" s="3"/>
      <c r="V24" s="3"/>
      <c r="W24" s="36"/>
      <c r="X24" s="30"/>
      <c r="Y24" s="30"/>
      <c r="Z24" s="30"/>
      <c r="AA24" s="30"/>
      <c r="AB24" s="30"/>
    </row>
    <row r="25" spans="2:28" ht="17.399999999999999" x14ac:dyDescent="0.3">
      <c r="B25" s="50"/>
      <c r="C25" s="51" t="s">
        <v>17</v>
      </c>
      <c r="D25" s="23"/>
      <c r="E25" s="26">
        <f>(D12/F12)</f>
        <v>1.2033910310392952</v>
      </c>
      <c r="F25" s="45"/>
      <c r="G25" s="10"/>
      <c r="H25" s="32" t="s">
        <v>47</v>
      </c>
      <c r="I25" s="62">
        <f>QUARTILE(Table22342102345678911[abs_errors],3)</f>
        <v>0.41832484499999723</v>
      </c>
      <c r="J25" s="30"/>
      <c r="K25" s="36"/>
      <c r="M25" s="3"/>
      <c r="N25" s="3"/>
      <c r="O25" s="3"/>
      <c r="P25" s="3"/>
      <c r="Q25" s="3"/>
      <c r="R25" s="3"/>
      <c r="S25" s="3"/>
      <c r="T25" s="3"/>
      <c r="U25" s="3"/>
      <c r="V25" s="3"/>
      <c r="W25" s="36" t="s">
        <v>19</v>
      </c>
      <c r="X25" s="30">
        <f>COVAR(Table22342102345678911[REF],Table22342102345678911[Pierre])</f>
        <v>1.0829931654139997</v>
      </c>
      <c r="Y25" s="30"/>
      <c r="Z25" s="30"/>
      <c r="AA25" s="30"/>
      <c r="AB25" s="30"/>
    </row>
    <row r="26" spans="2:28" ht="17.399999999999999" x14ac:dyDescent="0.3">
      <c r="B26" s="50"/>
      <c r="C26" s="51" t="s">
        <v>18</v>
      </c>
      <c r="D26" s="23"/>
      <c r="E26" s="26">
        <f>D9-E25*F9</f>
        <v>-2.6020276819890551</v>
      </c>
      <c r="F26" s="45"/>
      <c r="G26" s="10"/>
      <c r="M26" s="3"/>
      <c r="N26" s="3"/>
      <c r="O26" s="3"/>
      <c r="P26" s="3"/>
      <c r="Q26" s="3"/>
      <c r="R26" s="3"/>
      <c r="S26" s="3"/>
      <c r="T26" s="3"/>
      <c r="U26" s="3"/>
      <c r="V26" s="3"/>
      <c r="W26" s="36" t="s">
        <v>20</v>
      </c>
      <c r="X26" s="30">
        <f>SIGN(X25)</f>
        <v>1</v>
      </c>
      <c r="Y26" s="30"/>
      <c r="Z26" s="30"/>
      <c r="AA26" s="30"/>
      <c r="AB26" s="30"/>
    </row>
    <row r="27" spans="2:28" ht="18" thickBot="1" x14ac:dyDescent="0.35">
      <c r="B27" s="52"/>
      <c r="C27" s="53" t="s">
        <v>21</v>
      </c>
      <c r="D27" s="27"/>
      <c r="E27" s="73">
        <f>SQRT(AVERAGE(Table22342102345678911[dif_rec^2]))</f>
        <v>0.33240189460643521</v>
      </c>
      <c r="F27" s="74"/>
      <c r="G27" s="71"/>
      <c r="M27" s="3"/>
      <c r="N27" s="3"/>
      <c r="O27" s="3"/>
      <c r="P27" s="3"/>
      <c r="Q27" s="3"/>
      <c r="R27" s="3"/>
      <c r="S27" s="3"/>
      <c r="T27" s="3"/>
      <c r="U27" s="3"/>
      <c r="V27" s="3"/>
      <c r="W27" s="36"/>
      <c r="X27" s="30"/>
      <c r="Y27" s="30"/>
      <c r="Z27" s="30"/>
      <c r="AA27" s="30"/>
      <c r="AB27" s="30"/>
    </row>
    <row r="28" spans="2:28" ht="15.6" x14ac:dyDescent="0.3">
      <c r="B28" s="3"/>
      <c r="C28" s="11"/>
      <c r="D28" s="12"/>
      <c r="E28" s="18"/>
      <c r="F28" s="12"/>
      <c r="M28" s="3"/>
      <c r="N28" s="3"/>
      <c r="O28" s="3"/>
      <c r="P28" s="3"/>
      <c r="Q28" s="3"/>
      <c r="R28" s="3"/>
      <c r="S28" s="3"/>
      <c r="T28" s="3"/>
      <c r="U28" s="3"/>
      <c r="V28" s="3"/>
      <c r="W28" s="36"/>
      <c r="X28" s="30"/>
      <c r="Y28" s="30"/>
      <c r="Z28" s="30"/>
      <c r="AA28" s="30"/>
      <c r="AB28" s="30"/>
    </row>
    <row r="29" spans="2:28" ht="17.399999999999999" x14ac:dyDescent="0.3">
      <c r="C29" s="19"/>
      <c r="D29" s="3"/>
      <c r="E29" s="17"/>
      <c r="F29" s="3"/>
      <c r="M29" s="3"/>
      <c r="N29" s="3"/>
      <c r="O29" s="3"/>
      <c r="P29" s="3"/>
      <c r="Q29" s="3"/>
      <c r="R29" s="3"/>
      <c r="S29" s="3"/>
      <c r="T29" s="3"/>
      <c r="U29" s="3"/>
      <c r="V29" s="3"/>
      <c r="W29" s="44" t="s">
        <v>54</v>
      </c>
      <c r="X29" s="37">
        <f>MIN(Table22342102345678911[X-Y])</f>
        <v>-0.60800049999999928</v>
      </c>
      <c r="Y29" s="30">
        <f>X29</f>
        <v>-0.60800049999999928</v>
      </c>
      <c r="Z29" s="30"/>
      <c r="AA29" s="30"/>
      <c r="AB29" s="30"/>
    </row>
    <row r="30" spans="2:28" ht="17.399999999999999" x14ac:dyDescent="0.3">
      <c r="C30" s="19"/>
      <c r="D30" s="3"/>
      <c r="E30" s="17"/>
      <c r="F30" s="3"/>
      <c r="M30" s="3"/>
      <c r="N30" s="3"/>
      <c r="O30" s="3"/>
      <c r="P30" s="3"/>
      <c r="Q30" s="3"/>
      <c r="R30" s="3"/>
      <c r="S30" s="3"/>
      <c r="T30" s="3"/>
      <c r="U30" s="3"/>
      <c r="V30" s="3"/>
      <c r="W30" s="39" t="s">
        <v>37</v>
      </c>
      <c r="X30" s="63">
        <f>MAX(Table22342102345678911[X-Y])</f>
        <v>1.2140000000000004</v>
      </c>
      <c r="Y30" s="30">
        <f>X30</f>
        <v>1.2140000000000004</v>
      </c>
      <c r="Z30" s="30"/>
      <c r="AA30" s="30"/>
      <c r="AB30" s="30"/>
    </row>
    <row r="31" spans="2:28" ht="15.6" x14ac:dyDescent="0.3">
      <c r="C31" s="19"/>
      <c r="D31" s="3"/>
      <c r="E31" s="17"/>
      <c r="F31" s="3"/>
      <c r="M31" s="3"/>
      <c r="N31" s="3"/>
      <c r="O31" s="3"/>
      <c r="P31" s="3"/>
      <c r="Q31" s="3"/>
      <c r="R31" s="3"/>
      <c r="S31" s="3"/>
      <c r="T31" s="3"/>
      <c r="U31" s="3"/>
      <c r="V31" s="3"/>
      <c r="W31" s="36"/>
      <c r="X31" s="30"/>
      <c r="Y31" s="30"/>
      <c r="Z31" s="40"/>
      <c r="AA31" s="30"/>
      <c r="AB31" s="30"/>
    </row>
    <row r="32" spans="2:28" x14ac:dyDescent="0.25">
      <c r="C32" s="19"/>
      <c r="D32" s="3"/>
      <c r="E32" s="17"/>
      <c r="F32" s="3"/>
      <c r="M32" s="3"/>
      <c r="N32" s="3"/>
      <c r="O32" s="3"/>
      <c r="P32" s="3"/>
      <c r="Q32" s="3"/>
      <c r="R32" s="3"/>
      <c r="S32" s="3"/>
      <c r="T32" s="3"/>
      <c r="U32" s="3"/>
      <c r="V32" s="3"/>
      <c r="W32" s="36"/>
      <c r="X32" s="30"/>
      <c r="Y32" s="30"/>
      <c r="Z32" s="30"/>
      <c r="AA32" s="30"/>
      <c r="AB32" s="30"/>
    </row>
    <row r="33" spans="3:28" x14ac:dyDescent="0.25">
      <c r="C33" s="19"/>
      <c r="D33" s="3"/>
      <c r="E33" s="17"/>
      <c r="F33" s="3"/>
      <c r="M33" s="3"/>
      <c r="N33" s="3"/>
      <c r="O33" s="3"/>
      <c r="P33" s="3"/>
      <c r="Q33" s="3"/>
      <c r="R33" s="3"/>
      <c r="S33" s="3"/>
      <c r="T33" s="3"/>
      <c r="U33" s="3"/>
      <c r="V33" s="3"/>
      <c r="W33" s="36"/>
      <c r="X33" s="30"/>
      <c r="Y33" s="30"/>
      <c r="Z33" s="30"/>
      <c r="AA33" s="30"/>
      <c r="AB33" s="30"/>
    </row>
    <row r="34" spans="3:28" x14ac:dyDescent="0.25">
      <c r="C34" s="19"/>
      <c r="D34" s="3"/>
      <c r="E34" s="17"/>
      <c r="F34" s="3"/>
      <c r="M34" s="3"/>
      <c r="N34" s="3"/>
      <c r="O34" s="3"/>
      <c r="P34" s="3"/>
      <c r="Q34" s="3"/>
      <c r="R34" s="3"/>
      <c r="S34" s="3"/>
      <c r="T34" s="3"/>
      <c r="U34" s="3"/>
      <c r="V34" s="3"/>
      <c r="W34" s="36"/>
      <c r="X34" s="30"/>
      <c r="Y34" s="30"/>
      <c r="Z34" s="30"/>
      <c r="AA34" s="30"/>
      <c r="AB34" s="30"/>
    </row>
    <row r="35" spans="3:28" x14ac:dyDescent="0.25">
      <c r="C35" s="19"/>
      <c r="D35" s="3"/>
      <c r="E35" s="17"/>
      <c r="F35" s="3"/>
      <c r="M35" s="3"/>
      <c r="N35" s="3"/>
      <c r="O35" s="3"/>
      <c r="P35" s="3"/>
      <c r="Q35" s="3"/>
      <c r="R35" s="3"/>
      <c r="S35" s="3"/>
      <c r="T35" s="3"/>
      <c r="U35" s="3"/>
      <c r="V35" s="3"/>
      <c r="W35" s="36"/>
      <c r="X35" s="30"/>
      <c r="Y35" s="30"/>
      <c r="Z35" s="30"/>
      <c r="AA35" s="30"/>
      <c r="AB35" s="30"/>
    </row>
    <row r="36" spans="3:28" x14ac:dyDescent="0.25">
      <c r="C36" s="19"/>
      <c r="D36" s="3"/>
      <c r="E36" s="17"/>
      <c r="F36" s="3"/>
      <c r="M36" s="3"/>
      <c r="N36" s="3"/>
      <c r="O36" s="3"/>
      <c r="P36" s="3"/>
      <c r="Q36" s="3"/>
      <c r="R36" s="3"/>
      <c r="S36" s="3"/>
      <c r="T36" s="3"/>
      <c r="U36" s="3"/>
      <c r="V36" s="3"/>
      <c r="W36" s="36"/>
      <c r="X36" s="30"/>
      <c r="Y36" s="30"/>
      <c r="Z36" s="30"/>
      <c r="AA36" s="30"/>
      <c r="AB36" s="30"/>
    </row>
    <row r="37" spans="3:28" x14ac:dyDescent="0.25">
      <c r="C37" s="19"/>
      <c r="D37" s="3"/>
      <c r="E37" s="17"/>
      <c r="F37" s="3"/>
      <c r="M37" s="3"/>
      <c r="N37" s="3"/>
      <c r="O37" s="3"/>
      <c r="P37" s="3"/>
      <c r="Q37" s="3"/>
      <c r="R37" s="3"/>
      <c r="S37" s="3"/>
      <c r="T37" s="3"/>
      <c r="U37" s="3"/>
      <c r="V37" s="3"/>
      <c r="W37" s="36"/>
      <c r="X37" s="30"/>
      <c r="Y37" s="30"/>
      <c r="Z37" s="30"/>
      <c r="AA37" s="30"/>
      <c r="AB37" s="30"/>
    </row>
    <row r="38" spans="3:28" x14ac:dyDescent="0.25">
      <c r="C38" s="19"/>
      <c r="D38" s="3"/>
      <c r="E38" s="17"/>
      <c r="F38" s="3"/>
      <c r="M38" s="3"/>
      <c r="N38" s="3"/>
      <c r="O38" s="3"/>
      <c r="P38" s="3"/>
      <c r="Q38" s="3"/>
      <c r="R38" s="3"/>
      <c r="S38" s="3"/>
      <c r="T38" s="3"/>
      <c r="U38" s="3"/>
      <c r="V38" s="3"/>
      <c r="W38" s="36"/>
      <c r="X38" s="30" t="s">
        <v>30</v>
      </c>
      <c r="Y38" s="30"/>
      <c r="Z38" s="30"/>
      <c r="AA38" s="30"/>
      <c r="AB38" s="30"/>
    </row>
    <row r="39" spans="3:28" ht="17.399999999999999" x14ac:dyDescent="0.3">
      <c r="C39" s="19"/>
      <c r="D39" s="3"/>
      <c r="E39" s="17"/>
      <c r="F39" s="3"/>
      <c r="M39" s="3"/>
      <c r="N39" s="3"/>
      <c r="O39" s="3"/>
      <c r="P39" s="3"/>
      <c r="Q39" s="3"/>
      <c r="R39" s="3"/>
      <c r="S39" s="3"/>
      <c r="T39" s="3"/>
      <c r="U39" s="3"/>
      <c r="V39" s="3"/>
      <c r="W39" s="36"/>
      <c r="X39" s="37">
        <f>X8</f>
        <v>142</v>
      </c>
      <c r="Y39" s="41" t="s">
        <v>34</v>
      </c>
      <c r="Z39" s="30"/>
      <c r="AA39" s="30"/>
      <c r="AB39" s="30"/>
    </row>
    <row r="40" spans="3:28" x14ac:dyDescent="0.25">
      <c r="C40" s="19"/>
      <c r="D40" s="3"/>
      <c r="E40" s="17"/>
      <c r="F40" s="3"/>
      <c r="M40" s="3"/>
      <c r="N40" s="3"/>
      <c r="O40" s="3"/>
      <c r="P40" s="3"/>
      <c r="Q40" s="3"/>
      <c r="R40" s="3"/>
      <c r="S40" s="3"/>
      <c r="T40" s="3"/>
      <c r="U40" s="3"/>
      <c r="V40" s="3"/>
      <c r="W40" s="36"/>
      <c r="X40" s="30"/>
      <c r="Y40" s="30" t="s">
        <v>35</v>
      </c>
      <c r="Z40" s="30"/>
      <c r="AA40" s="30"/>
      <c r="AB40" s="30"/>
    </row>
    <row r="41" spans="3:28" x14ac:dyDescent="0.25">
      <c r="C41" s="19"/>
      <c r="D41" s="3"/>
      <c r="E41" s="17"/>
      <c r="F41" s="3"/>
      <c r="M41" s="3"/>
      <c r="N41" s="3"/>
      <c r="O41" s="3"/>
      <c r="P41" s="3"/>
      <c r="Q41" s="3"/>
      <c r="R41" s="3"/>
      <c r="S41" s="3"/>
      <c r="T41" s="3"/>
      <c r="U41" s="3"/>
      <c r="V41" s="3"/>
      <c r="W41" s="36"/>
      <c r="X41" s="30"/>
      <c r="Y41" s="30" t="s">
        <v>36</v>
      </c>
      <c r="Z41" s="30"/>
      <c r="AA41" s="30"/>
      <c r="AB41" s="30"/>
    </row>
    <row r="42" spans="3:28" x14ac:dyDescent="0.25">
      <c r="C42" s="19"/>
      <c r="D42" s="3"/>
      <c r="E42" s="17"/>
      <c r="F42" s="3"/>
      <c r="M42" s="3"/>
      <c r="N42" s="3"/>
      <c r="O42" s="3"/>
      <c r="P42" s="3"/>
      <c r="Q42" s="3"/>
      <c r="R42" s="3"/>
      <c r="S42" s="3"/>
      <c r="T42" s="3"/>
      <c r="U42" s="3"/>
      <c r="V42" s="3"/>
      <c r="W42" s="36"/>
      <c r="X42" s="30"/>
      <c r="Y42" s="30"/>
      <c r="Z42" s="30"/>
      <c r="AA42" s="30"/>
      <c r="AB42" s="30"/>
    </row>
    <row r="43" spans="3:28" x14ac:dyDescent="0.25">
      <c r="C43" s="19"/>
      <c r="D43" s="3"/>
      <c r="E43" s="17"/>
      <c r="F43" s="3"/>
      <c r="M43" s="3"/>
      <c r="N43" s="3"/>
      <c r="O43" s="3"/>
      <c r="P43" s="3"/>
      <c r="Q43" s="3"/>
      <c r="R43" s="3"/>
      <c r="S43" s="3"/>
      <c r="T43" s="3"/>
      <c r="U43" s="3"/>
      <c r="V43" s="3"/>
      <c r="W43" s="36"/>
      <c r="X43" s="30"/>
      <c r="Y43" s="30"/>
      <c r="Z43" s="30"/>
      <c r="AA43" s="30"/>
      <c r="AB43" s="30"/>
    </row>
    <row r="44" spans="3:28" x14ac:dyDescent="0.25">
      <c r="C44" s="19"/>
      <c r="D44" s="3"/>
      <c r="E44" s="17"/>
      <c r="F44" s="3"/>
      <c r="M44" s="3"/>
      <c r="N44" s="3"/>
      <c r="O44" s="3"/>
      <c r="P44" s="3"/>
      <c r="Q44" s="3"/>
      <c r="R44" s="3"/>
      <c r="S44" s="3"/>
      <c r="T44" s="3"/>
      <c r="U44" s="3"/>
      <c r="V44" s="3"/>
      <c r="W44" s="36"/>
      <c r="X44" s="30"/>
      <c r="Y44" s="30"/>
      <c r="Z44" s="30"/>
      <c r="AA44" s="30"/>
      <c r="AB44" s="30"/>
    </row>
    <row r="45" spans="3:28" ht="15" x14ac:dyDescent="0.25">
      <c r="C45" s="19"/>
      <c r="D45" s="3"/>
      <c r="E45" s="17"/>
      <c r="F45" s="3"/>
      <c r="M45" s="3"/>
      <c r="N45" s="3"/>
      <c r="O45" s="3"/>
      <c r="P45" s="3"/>
      <c r="Q45" s="3"/>
      <c r="R45" s="3"/>
      <c r="S45" s="3"/>
      <c r="T45" s="3"/>
      <c r="U45" s="3"/>
      <c r="V45" s="3"/>
      <c r="W45" s="36"/>
      <c r="X45" s="58"/>
      <c r="Y45" s="30"/>
      <c r="Z45" s="30"/>
      <c r="AA45" s="30"/>
      <c r="AB45" s="30"/>
    </row>
    <row r="46" spans="3:28" x14ac:dyDescent="0.25">
      <c r="C46" s="19"/>
      <c r="D46" s="3"/>
      <c r="E46" s="17"/>
      <c r="F46" s="3"/>
      <c r="M46" s="3"/>
      <c r="N46" s="3"/>
      <c r="O46" s="3"/>
      <c r="P46" s="3"/>
      <c r="Q46" s="3"/>
      <c r="R46" s="3"/>
      <c r="S46" s="3"/>
      <c r="T46" s="3"/>
      <c r="U46" s="3"/>
      <c r="V46" s="3"/>
      <c r="W46" s="36"/>
      <c r="X46" s="30"/>
      <c r="Y46" s="30"/>
      <c r="Z46" s="30"/>
      <c r="AA46" s="30"/>
      <c r="AB46" s="30"/>
    </row>
    <row r="47" spans="3:28" x14ac:dyDescent="0.25">
      <c r="C47" s="19"/>
      <c r="D47" s="3"/>
      <c r="E47" s="17"/>
      <c r="F47" s="3"/>
      <c r="M47" s="3"/>
      <c r="N47" s="3"/>
      <c r="O47" s="3"/>
      <c r="P47" s="3"/>
      <c r="Q47" s="3"/>
      <c r="R47" s="3"/>
      <c r="S47" s="3"/>
      <c r="T47" s="3"/>
      <c r="U47" s="3"/>
      <c r="V47" s="3"/>
      <c r="W47" s="36"/>
      <c r="X47" s="30"/>
      <c r="Y47" s="30"/>
      <c r="Z47" s="30"/>
      <c r="AA47" s="30"/>
      <c r="AB47" s="30"/>
    </row>
    <row r="48" spans="3:28" x14ac:dyDescent="0.25">
      <c r="C48" s="19"/>
      <c r="D48" s="3"/>
      <c r="E48" s="17"/>
      <c r="F48" s="3"/>
      <c r="M48" s="3"/>
      <c r="N48" s="3"/>
      <c r="O48" s="3"/>
      <c r="P48" s="3"/>
      <c r="Q48" s="3"/>
      <c r="R48" s="3"/>
      <c r="S48" s="3"/>
      <c r="T48" s="3"/>
      <c r="U48" s="3"/>
      <c r="V48" s="3"/>
      <c r="W48" s="36"/>
      <c r="X48" s="30"/>
      <c r="Y48" s="30"/>
      <c r="Z48" s="30"/>
      <c r="AA48" s="30"/>
      <c r="AB48" s="30"/>
    </row>
    <row r="49" spans="2:28" x14ac:dyDescent="0.25">
      <c r="C49" s="19"/>
      <c r="D49" s="3"/>
      <c r="E49" s="17"/>
      <c r="F49" s="3"/>
      <c r="M49" s="3"/>
      <c r="N49" s="3"/>
      <c r="O49" s="3"/>
      <c r="P49" s="3"/>
      <c r="Q49" s="3"/>
      <c r="R49" s="3"/>
      <c r="S49" s="3"/>
      <c r="T49" s="3"/>
      <c r="U49" s="3"/>
      <c r="V49" s="3"/>
      <c r="W49" s="36"/>
      <c r="X49" s="30"/>
      <c r="Y49" s="30"/>
      <c r="Z49" s="30"/>
      <c r="AA49" s="30"/>
      <c r="AB49" s="30"/>
    </row>
    <row r="50" spans="2:28" x14ac:dyDescent="0.25">
      <c r="C50" s="19"/>
      <c r="D50" s="3"/>
      <c r="E50" s="17"/>
      <c r="F50" s="3"/>
      <c r="M50" s="3"/>
      <c r="N50" s="3"/>
      <c r="O50" s="3"/>
      <c r="P50" s="3"/>
      <c r="Q50" s="3"/>
      <c r="R50" s="3"/>
      <c r="S50" s="3"/>
      <c r="T50" s="3"/>
      <c r="U50" s="3"/>
      <c r="V50" s="3"/>
      <c r="W50" s="36"/>
      <c r="X50" s="30"/>
      <c r="Y50" s="30"/>
      <c r="Z50" s="30"/>
      <c r="AA50" s="30"/>
      <c r="AB50" s="30"/>
    </row>
    <row r="51" spans="2:28" x14ac:dyDescent="0.25">
      <c r="C51" s="19"/>
      <c r="D51" s="3"/>
      <c r="E51" s="17"/>
      <c r="F51" s="3"/>
      <c r="M51" s="3"/>
      <c r="N51" s="3"/>
      <c r="O51" s="3"/>
      <c r="P51" s="3"/>
      <c r="Q51" s="3"/>
      <c r="R51" s="3"/>
      <c r="S51" s="3"/>
      <c r="T51" s="3"/>
      <c r="U51" s="3"/>
      <c r="V51" s="3"/>
      <c r="W51" s="36"/>
      <c r="X51" s="30"/>
      <c r="Y51" s="30"/>
      <c r="Z51" s="30"/>
      <c r="AA51" s="30"/>
      <c r="AB51" s="30"/>
    </row>
    <row r="52" spans="2:28" x14ac:dyDescent="0.25">
      <c r="C52" s="19"/>
      <c r="D52" s="3"/>
      <c r="E52" s="17"/>
      <c r="F52" s="3"/>
      <c r="M52" s="3"/>
      <c r="N52" s="3"/>
      <c r="O52" s="3"/>
      <c r="P52" s="3"/>
      <c r="Q52" s="3"/>
      <c r="R52" s="3"/>
      <c r="S52" s="3"/>
      <c r="T52" s="3"/>
      <c r="U52" s="3"/>
      <c r="V52" s="3"/>
      <c r="W52" s="36"/>
      <c r="X52" s="30"/>
      <c r="Y52" s="30"/>
      <c r="Z52" s="30"/>
      <c r="AA52" s="30"/>
      <c r="AB52" s="30"/>
    </row>
    <row r="53" spans="2:28" x14ac:dyDescent="0.25">
      <c r="C53" s="19"/>
      <c r="D53" s="3"/>
      <c r="E53" s="17"/>
      <c r="F53" s="3"/>
      <c r="M53" s="3"/>
      <c r="N53" s="3"/>
      <c r="O53" s="3"/>
      <c r="P53" s="3"/>
      <c r="Q53" s="3"/>
      <c r="R53" s="3"/>
      <c r="S53" s="3"/>
      <c r="T53" s="3"/>
      <c r="U53" s="3"/>
      <c r="V53" s="3"/>
      <c r="W53" s="36"/>
      <c r="X53" s="30"/>
      <c r="Y53" s="30"/>
      <c r="Z53" s="30"/>
      <c r="AA53" s="30"/>
      <c r="AB53" s="30"/>
    </row>
    <row r="54" spans="2:28" x14ac:dyDescent="0.25">
      <c r="C54" s="19"/>
      <c r="D54" s="3"/>
      <c r="E54" s="17"/>
      <c r="F54" s="3"/>
      <c r="M54" s="3"/>
      <c r="N54" s="3"/>
      <c r="O54" s="3"/>
      <c r="P54" s="3"/>
      <c r="Q54" s="3"/>
      <c r="R54" s="3"/>
      <c r="S54" s="3"/>
      <c r="T54" s="3"/>
      <c r="U54" s="3"/>
      <c r="V54" s="3"/>
      <c r="W54" s="36"/>
      <c r="X54" s="30"/>
      <c r="Y54" s="30"/>
      <c r="Z54" s="30"/>
      <c r="AA54" s="30"/>
      <c r="AB54" s="30"/>
    </row>
    <row r="55" spans="2:28" ht="15.75" customHeight="1" x14ac:dyDescent="0.3">
      <c r="C55" s="19"/>
      <c r="D55" s="3"/>
      <c r="E55" s="17"/>
      <c r="F55" s="3"/>
      <c r="M55" s="3"/>
      <c r="N55" s="3"/>
      <c r="O55" s="3"/>
      <c r="P55" s="3"/>
      <c r="Q55" s="3"/>
      <c r="R55" s="3"/>
      <c r="S55" s="3"/>
      <c r="T55" s="3"/>
      <c r="U55" s="3"/>
      <c r="V55" s="3"/>
      <c r="W55" s="36"/>
      <c r="X55" s="30"/>
      <c r="Y55" s="30"/>
      <c r="Z55" s="40"/>
      <c r="AA55" s="30"/>
      <c r="AB55" s="30"/>
    </row>
    <row r="56" spans="2:28" ht="15.75" customHeight="1" x14ac:dyDescent="0.3">
      <c r="C56" s="19"/>
      <c r="D56" s="3"/>
      <c r="E56" s="17"/>
      <c r="F56" s="3"/>
      <c r="M56" s="3"/>
      <c r="N56" s="3"/>
      <c r="O56" s="3"/>
      <c r="P56" s="3"/>
      <c r="Q56" s="3"/>
      <c r="R56" s="3"/>
      <c r="S56" s="3"/>
      <c r="T56" s="3"/>
      <c r="U56" s="3"/>
      <c r="V56" s="3"/>
      <c r="W56" s="36"/>
      <c r="X56" s="30"/>
      <c r="Y56" s="30"/>
      <c r="Z56" s="59"/>
      <c r="AA56" s="30"/>
      <c r="AB56" s="30"/>
    </row>
    <row r="57" spans="2:28" ht="15.75" customHeight="1" x14ac:dyDescent="0.3">
      <c r="C57" s="19"/>
      <c r="D57" s="3"/>
      <c r="E57" s="17"/>
      <c r="F57" s="3"/>
      <c r="M57" s="3"/>
      <c r="N57" s="3"/>
      <c r="O57" s="3"/>
      <c r="P57" s="3"/>
      <c r="Q57" s="3"/>
      <c r="R57" s="3"/>
      <c r="S57" s="3"/>
      <c r="T57" s="3"/>
      <c r="U57" s="3"/>
      <c r="V57" s="3"/>
      <c r="W57" s="36"/>
      <c r="X57" s="30"/>
      <c r="Y57" s="30"/>
      <c r="Z57" s="59"/>
      <c r="AA57" s="30"/>
      <c r="AB57" s="30"/>
    </row>
    <row r="58" spans="2:28" ht="15.75" customHeight="1" x14ac:dyDescent="0.3">
      <c r="C58" s="19"/>
      <c r="D58" s="3"/>
      <c r="E58" s="17"/>
      <c r="F58" s="3"/>
      <c r="M58" s="3"/>
      <c r="N58" s="3"/>
      <c r="O58" s="3"/>
      <c r="P58" s="3"/>
      <c r="Q58" s="3"/>
      <c r="R58" s="3"/>
      <c r="S58" s="3"/>
      <c r="T58" s="3"/>
      <c r="U58" s="3"/>
      <c r="V58" s="3"/>
      <c r="W58" s="36"/>
      <c r="X58" s="30" t="s">
        <v>30</v>
      </c>
      <c r="Y58" s="30"/>
      <c r="Z58" s="60"/>
      <c r="AA58" s="30"/>
      <c r="AB58" s="30"/>
    </row>
    <row r="59" spans="2:28" ht="17.399999999999999" x14ac:dyDescent="0.3">
      <c r="C59" s="19"/>
      <c r="D59" s="3"/>
      <c r="E59" s="17"/>
      <c r="F59" s="3"/>
      <c r="M59" s="3"/>
      <c r="N59" s="3"/>
      <c r="O59" s="3"/>
      <c r="P59" s="3"/>
      <c r="Q59" s="3"/>
      <c r="R59" s="3"/>
      <c r="S59" s="3"/>
      <c r="T59" s="3"/>
      <c r="U59" s="3"/>
      <c r="V59" s="3"/>
      <c r="W59" s="36">
        <f>W60*E8</f>
        <v>56.13079755599999</v>
      </c>
      <c r="X59" s="37">
        <f>X39</f>
        <v>142</v>
      </c>
      <c r="Y59" s="30"/>
      <c r="Z59" s="30"/>
      <c r="AA59" s="30"/>
      <c r="AB59" s="30"/>
    </row>
    <row r="60" spans="2:28" ht="17.399999999999999" x14ac:dyDescent="0.3">
      <c r="C60" s="19"/>
      <c r="D60" s="3"/>
      <c r="E60" s="17"/>
      <c r="F60" s="3"/>
      <c r="M60" s="3"/>
      <c r="N60" s="42"/>
      <c r="O60" s="3"/>
      <c r="P60" s="3"/>
      <c r="Q60" s="3"/>
      <c r="R60" s="3"/>
      <c r="S60" s="3"/>
      <c r="T60" s="3">
        <f>MEDIAN(Table22342102345678911[abs(lab)])</f>
        <v>0.98999974999999907</v>
      </c>
      <c r="U60" s="3"/>
      <c r="V60" s="3">
        <f>MEDIAN(Table22342102345678911[abs(anl)])</f>
        <v>0.71049999999999969</v>
      </c>
      <c r="W60" s="2">
        <f>MEDIAN(Table22342102345678911[Produits Lab x Anl])</f>
        <v>0.70163496944999992</v>
      </c>
      <c r="X60" s="37"/>
      <c r="Z60" s="60"/>
      <c r="AA60" s="30"/>
      <c r="AB60" s="30"/>
    </row>
    <row r="61" spans="2:28" ht="13.8" x14ac:dyDescent="0.25">
      <c r="D61" s="43" t="s">
        <v>1</v>
      </c>
      <c r="E61" s="1"/>
      <c r="F61" s="43" t="s">
        <v>2</v>
      </c>
      <c r="G61" s="4"/>
      <c r="M61" s="3"/>
      <c r="W61" s="22"/>
      <c r="Y61" s="22"/>
    </row>
    <row r="62" spans="2:28" s="22" customFormat="1" ht="42.75" customHeight="1" x14ac:dyDescent="0.25">
      <c r="B62" s="20" t="s">
        <v>0</v>
      </c>
      <c r="C62" t="s">
        <v>67</v>
      </c>
      <c r="D62" t="s">
        <v>65</v>
      </c>
      <c r="E62" t="s">
        <v>66</v>
      </c>
      <c r="F62" s="82" t="s">
        <v>225</v>
      </c>
      <c r="G62" s="20" t="s">
        <v>48</v>
      </c>
      <c r="H62" s="20" t="s">
        <v>3</v>
      </c>
      <c r="I62" s="20" t="s">
        <v>23</v>
      </c>
      <c r="J62" s="20" t="s">
        <v>4</v>
      </c>
      <c r="K62" s="20" t="s">
        <v>51</v>
      </c>
      <c r="L62" s="20" t="s">
        <v>52</v>
      </c>
      <c r="M62" s="21" t="s">
        <v>5</v>
      </c>
      <c r="N62" s="21" t="s">
        <v>32</v>
      </c>
      <c r="O62" s="21" t="s">
        <v>31</v>
      </c>
      <c r="P62" s="21" t="s">
        <v>33</v>
      </c>
      <c r="Q62" s="21" t="s">
        <v>50</v>
      </c>
      <c r="R62" s="21" t="s">
        <v>49</v>
      </c>
      <c r="S62" s="21" t="s">
        <v>58</v>
      </c>
      <c r="T62" s="21" t="s">
        <v>60</v>
      </c>
      <c r="U62" s="64" t="s">
        <v>59</v>
      </c>
      <c r="V62" s="64" t="s">
        <v>61</v>
      </c>
      <c r="W62" s="21" t="s">
        <v>62</v>
      </c>
      <c r="X62" s="22" t="str">
        <f>D62</f>
        <v>REF</v>
      </c>
      <c r="Z62" s="2"/>
      <c r="AA62" s="22" t="str">
        <f>F62</f>
        <v>Pierre</v>
      </c>
      <c r="AB62" s="2"/>
    </row>
    <row r="63" spans="2:28" x14ac:dyDescent="0.25">
      <c r="B63" s="46">
        <f ca="1">VALUE((Table22342102345678911[[#This Row],[Column3]]-62))</f>
        <v>1</v>
      </c>
      <c r="C63" t="s">
        <v>69</v>
      </c>
      <c r="D63">
        <v>9.9399996000000002</v>
      </c>
      <c r="E63"/>
      <c r="F63">
        <v>10.37</v>
      </c>
      <c r="G63" s="29">
        <f>Table22342102345678911[[#This Row],[Pierre]]-Table22342102345678911[[#This Row],[REF]]</f>
        <v>0.43000039999999906</v>
      </c>
      <c r="H63" s="29">
        <f>Table22342102345678911[[#This Row],[X-Y]]-E$20</f>
        <v>0.14542538000000249</v>
      </c>
      <c r="I63" s="29">
        <f>Table22342102345678911[[#This Row],[Pierre]]-E$20</f>
        <v>10.085424980000003</v>
      </c>
      <c r="J63" s="29">
        <f>Table22342102345678911[[#This Row],[Pierre]]*E$21+E$22</f>
        <v>9.9272528889947118</v>
      </c>
      <c r="K63" s="56">
        <f>Table22342102345678911[[#This Row],[Yest]]-Table22342102345678911[[#This Row],[REF]]</f>
        <v>-1.2746711005288347E-2</v>
      </c>
      <c r="L63" s="56">
        <f>ABS(Table22342102345678911[[#This Row],[RESyx]])</f>
        <v>1.2746711005288347E-2</v>
      </c>
      <c r="M63" s="29">
        <f>Table22342102345678911[[#This Row],[Pierre]]*E$25+E$26</f>
        <v>9.8771373098884361</v>
      </c>
      <c r="N63" s="29">
        <f>Table22342102345678911[[#This Row],[X-Y]]^2</f>
        <v>0.1849003440001592</v>
      </c>
      <c r="O63" s="57">
        <f>Table22342102345678911[[#This Row],[yest_rect]]-Table22342102345678911[[#This Row],[REF]]</f>
        <v>-6.2862290111564079E-2</v>
      </c>
      <c r="P63" s="57">
        <f>Table22342102345678911[[#This Row],[dif rec]]^2</f>
        <v>3.9516675180704466E-3</v>
      </c>
      <c r="Q63" s="57">
        <f>ABS(Table22342102345678911[[#This Row],[diff-bias]])</f>
        <v>0.14542538000000249</v>
      </c>
      <c r="R63" s="57">
        <f ca="1">CELL("row",Table22342102345678911[[#This Row],[Position]])</f>
        <v>63</v>
      </c>
      <c r="S63" s="4">
        <f>Table22342102345678911[[#This Row],[REF]]-D$13</f>
        <v>-1.0700006500000008</v>
      </c>
      <c r="T63" s="4">
        <f>ABS(Table22342102345678911[[#This Row],[lab-med]])</f>
        <v>1.0700006500000008</v>
      </c>
      <c r="U63" s="4">
        <f>Table22342102345678911[[#This Row],[Pierre]]-F$13</f>
        <v>-0.90850000000000186</v>
      </c>
      <c r="V63" s="4">
        <f>ABS(Table22342102345678911[[#This Row],[anl-med]])</f>
        <v>0.90850000000000186</v>
      </c>
      <c r="W63" s="4">
        <f>Table22342102345678911[[#This Row],[lab-med]]*Table22342102345678911[[#This Row],[anl-med]]</f>
        <v>0.97209559052500272</v>
      </c>
    </row>
    <row r="64" spans="2:28" x14ac:dyDescent="0.25">
      <c r="B64" s="46">
        <f ca="1">VALUE((Table22342102345678911[[#This Row],[Column3]]-62))</f>
        <v>2</v>
      </c>
      <c r="C64" t="s">
        <v>70</v>
      </c>
      <c r="D64">
        <v>10.0200005</v>
      </c>
      <c r="E64"/>
      <c r="F64">
        <v>10.782</v>
      </c>
      <c r="G64" s="29">
        <f>Table22342102345678911[[#This Row],[Pierre]]-Table22342102345678911[[#This Row],[REF]]</f>
        <v>0.76199949999999994</v>
      </c>
      <c r="H64" s="29">
        <f>Table22342102345678911[[#This Row],[X-Y]]-E$20</f>
        <v>0.47742448000000337</v>
      </c>
      <c r="I64" s="29">
        <f>Table22342102345678911[[#This Row],[Pierre]]-E$20</f>
        <v>10.497424980000003</v>
      </c>
      <c r="J64" s="29">
        <f>Table22342102345678911[[#This Row],[Pierre]]*E$21+E$22</f>
        <v>10.402887780476471</v>
      </c>
      <c r="K64" s="56">
        <f>Table22342102345678911[[#This Row],[Yest]]-Table22342102345678911[[#This Row],[REF]]</f>
        <v>0.38288728047647069</v>
      </c>
      <c r="L64" s="56">
        <f>ABS(Table22342102345678911[[#This Row],[RESyx]])</f>
        <v>0.38288728047647069</v>
      </c>
      <c r="M64" s="29">
        <f>Table22342102345678911[[#This Row],[Pierre]]*E$25+E$26</f>
        <v>10.372934414676626</v>
      </c>
      <c r="N64" s="29">
        <f>Table22342102345678911[[#This Row],[X-Y]]^2</f>
        <v>0.58064323800024986</v>
      </c>
      <c r="O64" s="57">
        <f>Table22342102345678911[[#This Row],[yest_rect]]-Table22342102345678911[[#This Row],[REF]]</f>
        <v>0.35293391467662616</v>
      </c>
      <c r="P64" s="57">
        <f>Table22342102345678911[[#This Row],[dif rec]]^2</f>
        <v>0.12456234812896803</v>
      </c>
      <c r="Q64" s="57">
        <f>ABS(Table22342102345678911[[#This Row],[diff-bias]])</f>
        <v>0.47742448000000337</v>
      </c>
      <c r="R64" s="57">
        <f ca="1">CELL("row",Table22342102345678911[[#This Row],[Position]])</f>
        <v>64</v>
      </c>
      <c r="S64" s="4">
        <f>Table22342102345678911[[#This Row],[REF]]-D$13</f>
        <v>-0.98999975000000084</v>
      </c>
      <c r="T64" s="4">
        <f>ABS(Table22342102345678911[[#This Row],[lab-med]])</f>
        <v>0.98999975000000084</v>
      </c>
      <c r="U64" s="4">
        <f>Table22342102345678911[[#This Row],[Pierre]]-F$13</f>
        <v>-0.49650000000000105</v>
      </c>
      <c r="V64" s="4">
        <f>ABS(Table22342102345678911[[#This Row],[anl-med]])</f>
        <v>0.49650000000000105</v>
      </c>
      <c r="W64" s="4">
        <f>Table22342102345678911[[#This Row],[lab-med]]*Table22342102345678911[[#This Row],[anl-med]]</f>
        <v>0.49153487587500144</v>
      </c>
    </row>
    <row r="65" spans="2:23" x14ac:dyDescent="0.25">
      <c r="B65" s="46">
        <f ca="1">VALUE((Table22342102345678911[[#This Row],[Column3]]-62))</f>
        <v>3</v>
      </c>
      <c r="C65" t="s">
        <v>71</v>
      </c>
      <c r="D65">
        <v>10</v>
      </c>
      <c r="E65"/>
      <c r="F65">
        <v>10.478999999999999</v>
      </c>
      <c r="G65" s="29">
        <f>Table22342102345678911[[#This Row],[Pierre]]-Table22342102345678911[[#This Row],[REF]]</f>
        <v>0.4789999999999992</v>
      </c>
      <c r="H65" s="29">
        <f>Table22342102345678911[[#This Row],[X-Y]]-E$20</f>
        <v>0.19442498000000263</v>
      </c>
      <c r="I65" s="29">
        <f>Table22342102345678911[[#This Row],[Pierre]]-E$20</f>
        <v>10.194424980000003</v>
      </c>
      <c r="J65" s="29">
        <f>Table22342102345678911[[#This Row],[Pierre]]*E$21+E$22</f>
        <v>10.053088333585761</v>
      </c>
      <c r="K65" s="56">
        <f>Table22342102345678911[[#This Row],[Yest]]-Table22342102345678911[[#This Row],[REF]]</f>
        <v>5.3088333585760594E-2</v>
      </c>
      <c r="L65" s="56">
        <f>ABS(Table22342102345678911[[#This Row],[RESyx]])</f>
        <v>5.3088333585760594E-2</v>
      </c>
      <c r="M65" s="29">
        <f>Table22342102345678911[[#This Row],[Pierre]]*E$25+E$26</f>
        <v>10.008306932271719</v>
      </c>
      <c r="N65" s="29">
        <f>Table22342102345678911[[#This Row],[X-Y]]^2</f>
        <v>0.22944099999999923</v>
      </c>
      <c r="O65" s="57">
        <f>Table22342102345678911[[#This Row],[yest_rect]]-Table22342102345678911[[#This Row],[REF]]</f>
        <v>8.3069322717186367E-3</v>
      </c>
      <c r="P65" s="57">
        <f>Table22342102345678911[[#This Row],[dif rec]]^2</f>
        <v>6.9005123766920548E-5</v>
      </c>
      <c r="Q65" s="57">
        <f>ABS(Table22342102345678911[[#This Row],[diff-bias]])</f>
        <v>0.19442498000000263</v>
      </c>
      <c r="R65" s="57">
        <f ca="1">CELL("row",Table22342102345678911[[#This Row],[Position]])</f>
        <v>65</v>
      </c>
      <c r="S65" s="4">
        <f>Table22342102345678911[[#This Row],[REF]]-D$13</f>
        <v>-1.0100002500000009</v>
      </c>
      <c r="T65" s="4">
        <f>ABS(Table22342102345678911[[#This Row],[lab-med]])</f>
        <v>1.0100002500000009</v>
      </c>
      <c r="U65" s="4">
        <f>Table22342102345678911[[#This Row],[Pierre]]-F$13</f>
        <v>-0.79950000000000188</v>
      </c>
      <c r="V65" s="4">
        <f>ABS(Table22342102345678911[[#This Row],[anl-med]])</f>
        <v>0.79950000000000188</v>
      </c>
      <c r="W65" s="4">
        <f>Table22342102345678911[[#This Row],[lab-med]]*Table22342102345678911[[#This Row],[anl-med]]</f>
        <v>0.80749519987500262</v>
      </c>
    </row>
    <row r="66" spans="2:23" x14ac:dyDescent="0.25">
      <c r="B66" s="46">
        <f ca="1">VALUE((Table22342102345678911[[#This Row],[Column3]]-62))</f>
        <v>4</v>
      </c>
      <c r="C66" t="s">
        <v>72</v>
      </c>
      <c r="D66">
        <v>10.5</v>
      </c>
      <c r="E66"/>
      <c r="F66">
        <v>10.999000000000001</v>
      </c>
      <c r="G66" s="29">
        <f>Table22342102345678911[[#This Row],[Pierre]]-Table22342102345678911[[#This Row],[REF]]</f>
        <v>0.49900000000000055</v>
      </c>
      <c r="H66" s="29">
        <f>Table22342102345678911[[#This Row],[X-Y]]-E$20</f>
        <v>0.21442498000000398</v>
      </c>
      <c r="I66" s="29">
        <f>Table22342102345678911[[#This Row],[Pierre]]-E$20</f>
        <v>10.714424980000004</v>
      </c>
      <c r="J66" s="29">
        <f>Table22342102345678911[[#This Row],[Pierre]]*E$21+E$22</f>
        <v>10.653404216038464</v>
      </c>
      <c r="K66" s="56">
        <f>Table22342102345678911[[#This Row],[Yest]]-Table22342102345678911[[#This Row],[REF]]</f>
        <v>0.15340421603846366</v>
      </c>
      <c r="L66" s="56">
        <f>ABS(Table22342102345678911[[#This Row],[RESyx]])</f>
        <v>0.15340421603846366</v>
      </c>
      <c r="M66" s="29">
        <f>Table22342102345678911[[#This Row],[Pierre]]*E$25+E$26</f>
        <v>10.634070268412154</v>
      </c>
      <c r="N66" s="29">
        <f>Table22342102345678911[[#This Row],[X-Y]]^2</f>
        <v>0.24900100000000056</v>
      </c>
      <c r="O66" s="57">
        <f>Table22342102345678911[[#This Row],[yest_rect]]-Table22342102345678911[[#This Row],[REF]]</f>
        <v>0.13407026841215419</v>
      </c>
      <c r="P66" s="57">
        <f>Table22342102345678911[[#This Row],[dif rec]]^2</f>
        <v>1.7974836872107072E-2</v>
      </c>
      <c r="Q66" s="57">
        <f>ABS(Table22342102345678911[[#This Row],[diff-bias]])</f>
        <v>0.21442498000000398</v>
      </c>
      <c r="R66" s="57">
        <f ca="1">CELL("row",Table22342102345678911[[#This Row],[Position]])</f>
        <v>66</v>
      </c>
      <c r="S66" s="4">
        <f>Table22342102345678911[[#This Row],[REF]]-D$13</f>
        <v>-0.51000025000000093</v>
      </c>
      <c r="T66" s="4">
        <f>ABS(Table22342102345678911[[#This Row],[lab-med]])</f>
        <v>0.51000025000000093</v>
      </c>
      <c r="U66" s="4">
        <f>Table22342102345678911[[#This Row],[Pierre]]-F$13</f>
        <v>-0.27950000000000053</v>
      </c>
      <c r="V66" s="4">
        <f>ABS(Table22342102345678911[[#This Row],[anl-med]])</f>
        <v>0.27950000000000053</v>
      </c>
      <c r="W66" s="4">
        <f>Table22342102345678911[[#This Row],[lab-med]]*Table22342102345678911[[#This Row],[anl-med]]</f>
        <v>0.14254506987500054</v>
      </c>
    </row>
    <row r="67" spans="2:23" x14ac:dyDescent="0.25">
      <c r="B67" s="46">
        <f ca="1">VALUE((Table22342102345678911[[#This Row],[Column3]]-62))</f>
        <v>5</v>
      </c>
      <c r="C67" t="s">
        <v>73</v>
      </c>
      <c r="D67">
        <v>10.779999699999999</v>
      </c>
      <c r="E67"/>
      <c r="F67">
        <v>10.672000000000001</v>
      </c>
      <c r="G67" s="29">
        <f>Table22342102345678911[[#This Row],[Pierre]]-Table22342102345678911[[#This Row],[REF]]</f>
        <v>-0.10799969999999881</v>
      </c>
      <c r="H67" s="29">
        <f>Table22342102345678911[[#This Row],[X-Y]]-E$20</f>
        <v>-0.39257471999999538</v>
      </c>
      <c r="I67" s="29">
        <f>Table22342102345678911[[#This Row],[Pierre]]-E$20</f>
        <v>10.387424980000004</v>
      </c>
      <c r="J67" s="29">
        <f>Table22342102345678911[[#This Row],[Pierre]]*E$21+E$22</f>
        <v>10.275897882265323</v>
      </c>
      <c r="K67" s="56">
        <f>Table22342102345678911[[#This Row],[Yest]]-Table22342102345678911[[#This Row],[REF]]</f>
        <v>-0.50410181773467677</v>
      </c>
      <c r="L67" s="56">
        <f>ABS(Table22342102345678911[[#This Row],[RESyx]])</f>
        <v>0.50410181773467677</v>
      </c>
      <c r="M67" s="29">
        <f>Table22342102345678911[[#This Row],[Pierre]]*E$25+E$26</f>
        <v>10.240561401262305</v>
      </c>
      <c r="N67" s="29">
        <f>Table22342102345678911[[#This Row],[X-Y]]^2</f>
        <v>1.1663935200089744E-2</v>
      </c>
      <c r="O67" s="57">
        <f>Table22342102345678911[[#This Row],[yest_rect]]-Table22342102345678911[[#This Row],[REF]]</f>
        <v>-0.53943829873769467</v>
      </c>
      <c r="P67" s="57">
        <f>Table22342102345678911[[#This Row],[dif rec]]^2</f>
        <v>0.29099367814501831</v>
      </c>
      <c r="Q67" s="57">
        <f>ABS(Table22342102345678911[[#This Row],[diff-bias]])</f>
        <v>0.39257471999999538</v>
      </c>
      <c r="R67" s="57">
        <f ca="1">CELL("row",Table22342102345678911[[#This Row],[Position]])</f>
        <v>67</v>
      </c>
      <c r="S67" s="4">
        <f>Table22342102345678911[[#This Row],[REF]]-D$13</f>
        <v>-0.23000055000000152</v>
      </c>
      <c r="T67" s="4">
        <f>ABS(Table22342102345678911[[#This Row],[lab-med]])</f>
        <v>0.23000055000000152</v>
      </c>
      <c r="U67" s="4">
        <f>Table22342102345678911[[#This Row],[Pierre]]-F$13</f>
        <v>-0.60650000000000048</v>
      </c>
      <c r="V67" s="4">
        <f>ABS(Table22342102345678911[[#This Row],[anl-med]])</f>
        <v>0.60650000000000048</v>
      </c>
      <c r="W67" s="4">
        <f>Table22342102345678911[[#This Row],[lab-med]]*Table22342102345678911[[#This Row],[anl-med]]</f>
        <v>0.13949533357500105</v>
      </c>
    </row>
    <row r="68" spans="2:23" x14ac:dyDescent="0.25">
      <c r="B68" s="46">
        <f ca="1">VALUE((Table22342102345678911[[#This Row],[Column3]]-62))</f>
        <v>6</v>
      </c>
      <c r="C68" t="s">
        <v>74</v>
      </c>
      <c r="D68">
        <v>10.449999800000001</v>
      </c>
      <c r="E68"/>
      <c r="F68">
        <v>10.839</v>
      </c>
      <c r="G68" s="29">
        <f>Table22342102345678911[[#This Row],[Pierre]]-Table22342102345678911[[#This Row],[REF]]</f>
        <v>0.38900019999999991</v>
      </c>
      <c r="H68" s="29">
        <f>Table22342102345678911[[#This Row],[X-Y]]-E$20</f>
        <v>0.10442518000000334</v>
      </c>
      <c r="I68" s="29">
        <f>Table22342102345678911[[#This Row],[Pierre]]-E$20</f>
        <v>10.554424980000004</v>
      </c>
      <c r="J68" s="29">
        <f>Table22342102345678911[[#This Row],[Pierre]]*E$21+E$22</f>
        <v>10.468691636822248</v>
      </c>
      <c r="K68" s="56">
        <f>Table22342102345678911[[#This Row],[Yest]]-Table22342102345678911[[#This Row],[REF]]</f>
        <v>1.869183682224751E-2</v>
      </c>
      <c r="L68" s="56">
        <f>ABS(Table22342102345678911[[#This Row],[RESyx]])</f>
        <v>1.869183682224751E-2</v>
      </c>
      <c r="M68" s="29">
        <f>Table22342102345678911[[#This Row],[Pierre]]*E$25+E$26</f>
        <v>10.441527703445866</v>
      </c>
      <c r="N68" s="29">
        <f>Table22342102345678911[[#This Row],[X-Y]]^2</f>
        <v>0.15132115560003992</v>
      </c>
      <c r="O68" s="57">
        <f>Table22342102345678911[[#This Row],[yest_rect]]-Table22342102345678911[[#This Row],[REF]]</f>
        <v>-8.4720965541347226E-3</v>
      </c>
      <c r="P68" s="57">
        <f>Table22342102345678911[[#This Row],[dif rec]]^2</f>
        <v>7.1776420022581438E-5</v>
      </c>
      <c r="Q68" s="57">
        <f>ABS(Table22342102345678911[[#This Row],[diff-bias]])</f>
        <v>0.10442518000000334</v>
      </c>
      <c r="R68" s="57">
        <f ca="1">CELL("row",Table22342102345678911[[#This Row],[Position]])</f>
        <v>68</v>
      </c>
      <c r="S68" s="4">
        <f>Table22342102345678911[[#This Row],[REF]]-D$13</f>
        <v>-0.56000045000000043</v>
      </c>
      <c r="T68" s="4">
        <f>ABS(Table22342102345678911[[#This Row],[lab-med]])</f>
        <v>0.56000045000000043</v>
      </c>
      <c r="U68" s="4">
        <f>Table22342102345678911[[#This Row],[Pierre]]-F$13</f>
        <v>-0.43950000000000067</v>
      </c>
      <c r="V68" s="4">
        <f>ABS(Table22342102345678911[[#This Row],[anl-med]])</f>
        <v>0.43950000000000067</v>
      </c>
      <c r="W68" s="4">
        <f>Table22342102345678911[[#This Row],[lab-med]]*Table22342102345678911[[#This Row],[anl-med]]</f>
        <v>0.24612019777500055</v>
      </c>
    </row>
    <row r="69" spans="2:23" x14ac:dyDescent="0.25">
      <c r="B69" s="46">
        <f ca="1">VALUE((Table22342102345678911[[#This Row],[Column3]]-62))</f>
        <v>7</v>
      </c>
      <c r="C69" t="s">
        <v>75</v>
      </c>
      <c r="D69">
        <v>11.0200005</v>
      </c>
      <c r="E69"/>
      <c r="F69">
        <v>10.412000000000001</v>
      </c>
      <c r="G69" s="29">
        <f>Table22342102345678911[[#This Row],[Pierre]]-Table22342102345678911[[#This Row],[REF]]</f>
        <v>-0.60800049999999928</v>
      </c>
      <c r="H69" s="29">
        <f>Table22342102345678911[[#This Row],[X-Y]]-E$20</f>
        <v>-0.89257551999999585</v>
      </c>
      <c r="I69" s="29">
        <f>Table22342102345678911[[#This Row],[Pierre]]-E$20</f>
        <v>10.127424980000004</v>
      </c>
      <c r="J69" s="29">
        <f>Table22342102345678911[[#This Row],[Pierre]]*E$21+E$22</f>
        <v>9.975739941038972</v>
      </c>
      <c r="K69" s="56">
        <f>Table22342102345678911[[#This Row],[Yest]]-Table22342102345678911[[#This Row],[REF]]</f>
        <v>-1.0442605589610281</v>
      </c>
      <c r="L69" s="56">
        <f>ABS(Table22342102345678911[[#This Row],[RESyx]])</f>
        <v>1.0442605589610281</v>
      </c>
      <c r="M69" s="29">
        <f>Table22342102345678911[[#This Row],[Pierre]]*E$25+E$26</f>
        <v>9.9276797331920879</v>
      </c>
      <c r="N69" s="29">
        <f>Table22342102345678911[[#This Row],[X-Y]]^2</f>
        <v>0.36966460800024914</v>
      </c>
      <c r="O69" s="57">
        <f>Table22342102345678911[[#This Row],[yest_rect]]-Table22342102345678911[[#This Row],[REF]]</f>
        <v>-1.0923207668079122</v>
      </c>
      <c r="P69" s="57">
        <f>Table22342102345678911[[#This Row],[dif rec]]^2</f>
        <v>1.1931646575998254</v>
      </c>
      <c r="Q69" s="57">
        <f>ABS(Table22342102345678911[[#This Row],[diff-bias]])</f>
        <v>0.89257551999999585</v>
      </c>
      <c r="R69" s="57">
        <f ca="1">CELL("row",Table22342102345678911[[#This Row],[Position]])</f>
        <v>69</v>
      </c>
      <c r="S69" s="4">
        <f>Table22342102345678911[[#This Row],[REF]]-D$13</f>
        <v>1.0000249999999156E-2</v>
      </c>
      <c r="T69" s="4">
        <f>ABS(Table22342102345678911[[#This Row],[lab-med]])</f>
        <v>1.0000249999999156E-2</v>
      </c>
      <c r="U69" s="4">
        <f>Table22342102345678911[[#This Row],[Pierre]]-F$13</f>
        <v>-0.86650000000000027</v>
      </c>
      <c r="V69" s="4">
        <f>ABS(Table22342102345678911[[#This Row],[anl-med]])</f>
        <v>0.86650000000000027</v>
      </c>
      <c r="W69" s="4">
        <f>Table22342102345678911[[#This Row],[lab-med]]*Table22342102345678911[[#This Row],[anl-med]]</f>
        <v>-8.665216624999271E-3</v>
      </c>
    </row>
    <row r="70" spans="2:23" x14ac:dyDescent="0.25">
      <c r="B70" s="46">
        <f ca="1">VALUE((Table22342102345678911[[#This Row],[Column3]]-62))</f>
        <v>8</v>
      </c>
      <c r="C70" t="s">
        <v>76</v>
      </c>
      <c r="D70">
        <v>10.800000199999999</v>
      </c>
      <c r="E70"/>
      <c r="F70">
        <v>10.925000000000001</v>
      </c>
      <c r="G70" s="29">
        <f>Table22342102345678911[[#This Row],[Pierre]]-Table22342102345678911[[#This Row],[REF]]</f>
        <v>0.12499980000000122</v>
      </c>
      <c r="H70" s="29">
        <f>Table22342102345678911[[#This Row],[X-Y]]-E$20</f>
        <v>-0.15957521999999535</v>
      </c>
      <c r="I70" s="29">
        <f>Table22342102345678911[[#This Row],[Pierre]]-E$20</f>
        <v>10.640424980000004</v>
      </c>
      <c r="J70" s="29">
        <f>Table22342102345678911[[#This Row],[Pierre]]*E$21+E$22</f>
        <v>10.567974648150964</v>
      </c>
      <c r="K70" s="56">
        <f>Table22342102345678911[[#This Row],[Yest]]-Table22342102345678911[[#This Row],[REF]]</f>
        <v>-0.23202555184903595</v>
      </c>
      <c r="L70" s="56">
        <f>ABS(Table22342102345678911[[#This Row],[RESyx]])</f>
        <v>0.23202555184903595</v>
      </c>
      <c r="M70" s="29">
        <f>Table22342102345678911[[#This Row],[Pierre]]*E$25+E$26</f>
        <v>10.545019332115245</v>
      </c>
      <c r="N70" s="29">
        <f>Table22342102345678911[[#This Row],[X-Y]]^2</f>
        <v>1.5624950000040303E-2</v>
      </c>
      <c r="O70" s="57">
        <f>Table22342102345678911[[#This Row],[yest_rect]]-Table22342102345678911[[#This Row],[REF]]</f>
        <v>-0.25498086788475405</v>
      </c>
      <c r="P70" s="57">
        <f>Table22342102345678911[[#This Row],[dif rec]]^2</f>
        <v>6.5015242987262398E-2</v>
      </c>
      <c r="Q70" s="57">
        <f>ABS(Table22342102345678911[[#This Row],[diff-bias]])</f>
        <v>0.15957521999999535</v>
      </c>
      <c r="R70" s="57">
        <f ca="1">CELL("row",Table22342102345678911[[#This Row],[Position]])</f>
        <v>70</v>
      </c>
      <c r="S70" s="4">
        <f>Table22342102345678911[[#This Row],[REF]]-D$13</f>
        <v>-0.21000005000000144</v>
      </c>
      <c r="T70" s="4">
        <f>ABS(Table22342102345678911[[#This Row],[lab-med]])</f>
        <v>0.21000005000000144</v>
      </c>
      <c r="U70" s="4">
        <f>Table22342102345678911[[#This Row],[Pierre]]-F$13</f>
        <v>-0.35350000000000037</v>
      </c>
      <c r="V70" s="4">
        <f>ABS(Table22342102345678911[[#This Row],[anl-med]])</f>
        <v>0.35350000000000037</v>
      </c>
      <c r="W70" s="4">
        <f>Table22342102345678911[[#This Row],[lab-med]]*Table22342102345678911[[#This Row],[anl-med]]</f>
        <v>7.4235017675000584E-2</v>
      </c>
    </row>
    <row r="71" spans="2:23" x14ac:dyDescent="0.25">
      <c r="B71" s="46">
        <f ca="1">VALUE((Table22342102345678911[[#This Row],[Column3]]-62))</f>
        <v>9</v>
      </c>
      <c r="C71" t="s">
        <v>77</v>
      </c>
      <c r="D71">
        <v>10.8800001</v>
      </c>
      <c r="E71"/>
      <c r="F71">
        <v>10.855</v>
      </c>
      <c r="G71" s="29">
        <f>Table22342102345678911[[#This Row],[Pierre]]-Table22342102345678911[[#This Row],[REF]]</f>
        <v>-2.5000099999999748E-2</v>
      </c>
      <c r="H71" s="29">
        <f>Table22342102345678911[[#This Row],[X-Y]]-E$20</f>
        <v>-0.30957511999999632</v>
      </c>
      <c r="I71" s="29">
        <f>Table22342102345678911[[#This Row],[Pierre]]-E$20</f>
        <v>10.570424980000004</v>
      </c>
      <c r="J71" s="29">
        <f>Table22342102345678911[[#This Row],[Pierre]]*E$21+E$22</f>
        <v>10.48716289474387</v>
      </c>
      <c r="K71" s="56">
        <f>Table22342102345678911[[#This Row],[Yest]]-Table22342102345678911[[#This Row],[REF]]</f>
        <v>-0.39283720525613042</v>
      </c>
      <c r="L71" s="56">
        <f>ABS(Table22342102345678911[[#This Row],[RESyx]])</f>
        <v>0.39283720525613042</v>
      </c>
      <c r="M71" s="29">
        <f>Table22342102345678911[[#This Row],[Pierre]]*E$25+E$26</f>
        <v>10.460781959942496</v>
      </c>
      <c r="N71" s="29">
        <f>Table22342102345678911[[#This Row],[X-Y]]^2</f>
        <v>6.2500500000998733E-4</v>
      </c>
      <c r="O71" s="57">
        <f>Table22342102345678911[[#This Row],[yest_rect]]-Table22342102345678911[[#This Row],[REF]]</f>
        <v>-0.41921814005750413</v>
      </c>
      <c r="P71" s="57">
        <f>Table22342102345678911[[#This Row],[dif rec]]^2</f>
        <v>0.17574384895327314</v>
      </c>
      <c r="Q71" s="57">
        <f>ABS(Table22342102345678911[[#This Row],[diff-bias]])</f>
        <v>0.30957511999999632</v>
      </c>
      <c r="R71" s="57">
        <f ca="1">CELL("row",Table22342102345678911[[#This Row],[Position]])</f>
        <v>71</v>
      </c>
      <c r="S71" s="4">
        <f>Table22342102345678911[[#This Row],[REF]]-D$13</f>
        <v>-0.13000015000000076</v>
      </c>
      <c r="T71" s="4">
        <f>ABS(Table22342102345678911[[#This Row],[lab-med]])</f>
        <v>0.13000015000000076</v>
      </c>
      <c r="U71" s="4">
        <f>Table22342102345678911[[#This Row],[Pierre]]-F$13</f>
        <v>-0.42350000000000065</v>
      </c>
      <c r="V71" s="4">
        <f>ABS(Table22342102345678911[[#This Row],[anl-med]])</f>
        <v>0.42350000000000065</v>
      </c>
      <c r="W71" s="4">
        <f>Table22342102345678911[[#This Row],[lab-med]]*Table22342102345678911[[#This Row],[anl-med]]</f>
        <v>5.5055063525000406E-2</v>
      </c>
    </row>
    <row r="72" spans="2:23" x14ac:dyDescent="0.25">
      <c r="B72" s="46">
        <f ca="1">VALUE((Table22342102345678911[[#This Row],[Column3]]-62))</f>
        <v>10</v>
      </c>
      <c r="C72" t="s">
        <v>78</v>
      </c>
      <c r="D72">
        <v>11.0600004</v>
      </c>
      <c r="E72"/>
      <c r="F72">
        <v>11.38</v>
      </c>
      <c r="G72" s="29">
        <f>Table22342102345678911[[#This Row],[Pierre]]-Table22342102345678911[[#This Row],[REF]]</f>
        <v>0.31999960000000094</v>
      </c>
      <c r="H72" s="29">
        <f>Table22342102345678911[[#This Row],[X-Y]]-E$20</f>
        <v>3.5424580000004369E-2</v>
      </c>
      <c r="I72" s="29">
        <f>Table22342102345678911[[#This Row],[Pierre]]-E$20</f>
        <v>11.095424980000004</v>
      </c>
      <c r="J72" s="29">
        <f>Table22342102345678911[[#This Row],[Pierre]]*E$21+E$22</f>
        <v>11.093251045297079</v>
      </c>
      <c r="K72" s="56">
        <f>Table22342102345678911[[#This Row],[Yest]]-Table22342102345678911[[#This Row],[REF]]</f>
        <v>3.3250645297078663E-2</v>
      </c>
      <c r="L72" s="56">
        <f>ABS(Table22342102345678911[[#This Row],[RESyx]])</f>
        <v>3.3250645297078663E-2</v>
      </c>
      <c r="M72" s="29">
        <f>Table22342102345678911[[#This Row],[Pierre]]*E$25+E$26</f>
        <v>11.092562251238126</v>
      </c>
      <c r="N72" s="29">
        <f>Table22342102345678911[[#This Row],[X-Y]]^2</f>
        <v>0.10239974400016059</v>
      </c>
      <c r="O72" s="57">
        <f>Table22342102345678911[[#This Row],[yest_rect]]-Table22342102345678911[[#This Row],[REF]]</f>
        <v>3.2561851238126494E-2</v>
      </c>
      <c r="P72" s="57">
        <f>Table22342102345678911[[#This Row],[dif rec]]^2</f>
        <v>1.0602741560538798E-3</v>
      </c>
      <c r="Q72" s="57">
        <f>ABS(Table22342102345678911[[#This Row],[diff-bias]])</f>
        <v>3.5424580000004369E-2</v>
      </c>
      <c r="R72" s="57">
        <f ca="1">CELL("row",Table22342102345678911[[#This Row],[Position]])</f>
        <v>72</v>
      </c>
      <c r="S72" s="4">
        <f>Table22342102345678911[[#This Row],[REF]]-D$13</f>
        <v>5.0000149999998911E-2</v>
      </c>
      <c r="T72" s="4">
        <f>ABS(Table22342102345678911[[#This Row],[lab-med]])</f>
        <v>5.0000149999998911E-2</v>
      </c>
      <c r="U72" s="4">
        <f>Table22342102345678911[[#This Row],[Pierre]]-F$13</f>
        <v>0.1014999999999997</v>
      </c>
      <c r="V72" s="4">
        <f>ABS(Table22342102345678911[[#This Row],[anl-med]])</f>
        <v>0.1014999999999997</v>
      </c>
      <c r="W72" s="4">
        <f>Table22342102345678911[[#This Row],[lab-med]]*Table22342102345678911[[#This Row],[anl-med]]</f>
        <v>5.0750152249998742E-3</v>
      </c>
    </row>
    <row r="73" spans="2:23" x14ac:dyDescent="0.25">
      <c r="B73" s="46">
        <f ca="1">VALUE((Table22342102345678911[[#This Row],[Column3]]-62))</f>
        <v>11</v>
      </c>
      <c r="C73" t="s">
        <v>79</v>
      </c>
      <c r="D73">
        <v>11.0900002</v>
      </c>
      <c r="E73"/>
      <c r="F73">
        <v>11.125</v>
      </c>
      <c r="G73" s="29">
        <f>Table22342102345678911[[#This Row],[Pierre]]-Table22342102345678911[[#This Row],[REF]]</f>
        <v>3.4999799999999581E-2</v>
      </c>
      <c r="H73" s="29">
        <f>Table22342102345678911[[#This Row],[X-Y]]-E$20</f>
        <v>-0.24957521999999699</v>
      </c>
      <c r="I73" s="29">
        <f>Table22342102345678911[[#This Row],[Pierre]]-E$20</f>
        <v>10.840424980000003</v>
      </c>
      <c r="J73" s="29">
        <f>Table22342102345678911[[#This Row],[Pierre]]*E$21+E$22</f>
        <v>10.798865372171234</v>
      </c>
      <c r="K73" s="56">
        <f>Table22342102345678911[[#This Row],[Yest]]-Table22342102345678911[[#This Row],[REF]]</f>
        <v>-0.29113482782876687</v>
      </c>
      <c r="L73" s="56">
        <f>ABS(Table22342102345678911[[#This Row],[RESyx]])</f>
        <v>0.29113482782876687</v>
      </c>
      <c r="M73" s="29">
        <f>Table22342102345678911[[#This Row],[Pierre]]*E$25+E$26</f>
        <v>10.785697538323104</v>
      </c>
      <c r="N73" s="29">
        <f>Table22342102345678911[[#This Row],[X-Y]]^2</f>
        <v>1.2249860000399706E-3</v>
      </c>
      <c r="O73" s="57">
        <f>Table22342102345678911[[#This Row],[yest_rect]]-Table22342102345678911[[#This Row],[REF]]</f>
        <v>-0.30430266167689624</v>
      </c>
      <c r="P73" s="57">
        <f>Table22342102345678911[[#This Row],[dif rec]]^2</f>
        <v>9.2600109903643577E-2</v>
      </c>
      <c r="Q73" s="57">
        <f>ABS(Table22342102345678911[[#This Row],[diff-bias]])</f>
        <v>0.24957521999999699</v>
      </c>
      <c r="R73" s="57">
        <f ca="1">CELL("row",Table22342102345678911[[#This Row],[Position]])</f>
        <v>73</v>
      </c>
      <c r="S73" s="4">
        <f>Table22342102345678911[[#This Row],[REF]]-D$13</f>
        <v>7.9999949999999487E-2</v>
      </c>
      <c r="T73" s="4">
        <f>ABS(Table22342102345678911[[#This Row],[lab-med]])</f>
        <v>7.9999949999999487E-2</v>
      </c>
      <c r="U73" s="4">
        <f>Table22342102345678911[[#This Row],[Pierre]]-F$13</f>
        <v>-0.15350000000000108</v>
      </c>
      <c r="V73" s="4">
        <f>ABS(Table22342102345678911[[#This Row],[anl-med]])</f>
        <v>0.15350000000000108</v>
      </c>
      <c r="W73" s="4">
        <f>Table22342102345678911[[#This Row],[lab-med]]*Table22342102345678911[[#This Row],[anl-med]]</f>
        <v>-1.2279992325000008E-2</v>
      </c>
    </row>
    <row r="74" spans="2:23" x14ac:dyDescent="0.25">
      <c r="B74" s="46">
        <f ca="1">VALUE((Table22342102345678911[[#This Row],[Column3]]-62))</f>
        <v>12</v>
      </c>
      <c r="C74" t="s">
        <v>80</v>
      </c>
      <c r="D74">
        <v>11.6199999</v>
      </c>
      <c r="E74"/>
      <c r="F74">
        <v>11.51</v>
      </c>
      <c r="G74" s="29">
        <f>Table22342102345678911[[#This Row],[Pierre]]-Table22342102345678911[[#This Row],[REF]]</f>
        <v>-0.10999990000000004</v>
      </c>
      <c r="H74" s="29">
        <f>Table22342102345678911[[#This Row],[X-Y]]-E$20</f>
        <v>-0.39457491999999661</v>
      </c>
      <c r="I74" s="29">
        <f>Table22342102345678911[[#This Row],[Pierre]]-E$20</f>
        <v>11.225424980000003</v>
      </c>
      <c r="J74" s="29">
        <f>Table22342102345678911[[#This Row],[Pierre]]*E$21+E$22</f>
        <v>11.243330015910253</v>
      </c>
      <c r="K74" s="56">
        <f>Table22342102345678911[[#This Row],[Yest]]-Table22342102345678911[[#This Row],[REF]]</f>
        <v>-0.37666988408974689</v>
      </c>
      <c r="L74" s="56">
        <f>ABS(Table22342102345678911[[#This Row],[RESyx]])</f>
        <v>0.37666988408974689</v>
      </c>
      <c r="M74" s="29">
        <f>Table22342102345678911[[#This Row],[Pierre]]*E$25+E$26</f>
        <v>11.249003085273232</v>
      </c>
      <c r="N74" s="29">
        <f>Table22342102345678911[[#This Row],[X-Y]]^2</f>
        <v>1.2099978000010008E-2</v>
      </c>
      <c r="O74" s="57">
        <f>Table22342102345678911[[#This Row],[yest_rect]]-Table22342102345678911[[#This Row],[REF]]</f>
        <v>-0.37099681472676771</v>
      </c>
      <c r="P74" s="57">
        <f>Table22342102345678911[[#This Row],[dif rec]]^2</f>
        <v>0.1376386365374076</v>
      </c>
      <c r="Q74" s="57">
        <f>ABS(Table22342102345678911[[#This Row],[diff-bias]])</f>
        <v>0.39457491999999661</v>
      </c>
      <c r="R74" s="57">
        <f ca="1">CELL("row",Table22342102345678911[[#This Row],[Position]])</f>
        <v>74</v>
      </c>
      <c r="S74" s="4">
        <f>Table22342102345678911[[#This Row],[REF]]-D$13</f>
        <v>0.60999964999999889</v>
      </c>
      <c r="T74" s="4">
        <f>ABS(Table22342102345678911[[#This Row],[lab-med]])</f>
        <v>0.60999964999999889</v>
      </c>
      <c r="U74" s="4">
        <f>Table22342102345678911[[#This Row],[Pierre]]-F$13</f>
        <v>0.23149999999999871</v>
      </c>
      <c r="V74" s="4">
        <f>ABS(Table22342102345678911[[#This Row],[anl-med]])</f>
        <v>0.23149999999999871</v>
      </c>
      <c r="W74" s="4">
        <f>Table22342102345678911[[#This Row],[lab-med]]*Table22342102345678911[[#This Row],[anl-med]]</f>
        <v>0.14121491897499897</v>
      </c>
    </row>
    <row r="75" spans="2:23" x14ac:dyDescent="0.25">
      <c r="B75" s="46">
        <f ca="1">VALUE((Table22342102345678911[[#This Row],[Column3]]-62))</f>
        <v>13</v>
      </c>
      <c r="C75" t="s">
        <v>81</v>
      </c>
      <c r="D75">
        <v>9.9600000000000009</v>
      </c>
      <c r="E75"/>
      <c r="F75">
        <v>10.608000000000001</v>
      </c>
      <c r="G75" s="29">
        <f>Table22342102345678911[[#This Row],[Pierre]]-Table22342102345678911[[#This Row],[REF]]</f>
        <v>0.64799999999999969</v>
      </c>
      <c r="H75" s="29">
        <f>Table22342102345678911[[#This Row],[X-Y]]-E$20</f>
        <v>0.36342498000000312</v>
      </c>
      <c r="I75" s="29">
        <f>Table22342102345678911[[#This Row],[Pierre]]-E$20</f>
        <v>10.323424980000004</v>
      </c>
      <c r="J75" s="29">
        <f>Table22342102345678911[[#This Row],[Pierre]]*E$21+E$22</f>
        <v>10.202012850578836</v>
      </c>
      <c r="K75" s="56">
        <f>Table22342102345678911[[#This Row],[Yest]]-Table22342102345678911[[#This Row],[REF]]</f>
        <v>0.24201285057883481</v>
      </c>
      <c r="L75" s="56">
        <f>ABS(Table22342102345678911[[#This Row],[RESyx]])</f>
        <v>0.24201285057883481</v>
      </c>
      <c r="M75" s="29">
        <f>Table22342102345678911[[#This Row],[Pierre]]*E$25+E$26</f>
        <v>10.163544375275789</v>
      </c>
      <c r="N75" s="29">
        <f>Table22342102345678911[[#This Row],[X-Y]]^2</f>
        <v>0.41990399999999961</v>
      </c>
      <c r="O75" s="57">
        <f>Table22342102345678911[[#This Row],[yest_rect]]-Table22342102345678911[[#This Row],[REF]]</f>
        <v>0.20354437527578817</v>
      </c>
      <c r="P75" s="57">
        <f>Table22342102345678911[[#This Row],[dif rec]]^2</f>
        <v>4.1430312706410885E-2</v>
      </c>
      <c r="Q75" s="57">
        <f>ABS(Table22342102345678911[[#This Row],[diff-bias]])</f>
        <v>0.36342498000000312</v>
      </c>
      <c r="R75" s="57">
        <f ca="1">CELL("row",Table22342102345678911[[#This Row],[Position]])</f>
        <v>75</v>
      </c>
      <c r="S75" s="4">
        <f>Table22342102345678911[[#This Row],[REF]]-D$13</f>
        <v>-1.0500002500000001</v>
      </c>
      <c r="T75" s="4">
        <f>ABS(Table22342102345678911[[#This Row],[lab-med]])</f>
        <v>1.0500002500000001</v>
      </c>
      <c r="U75" s="4">
        <f>Table22342102345678911[[#This Row],[Pierre]]-F$13</f>
        <v>-0.67050000000000054</v>
      </c>
      <c r="V75" s="4">
        <f>ABS(Table22342102345678911[[#This Row],[anl-med]])</f>
        <v>0.67050000000000054</v>
      </c>
      <c r="W75" s="4">
        <f>Table22342102345678911[[#This Row],[lab-med]]*Table22342102345678911[[#This Row],[anl-med]]</f>
        <v>0.70402516762500067</v>
      </c>
    </row>
    <row r="76" spans="2:23" x14ac:dyDescent="0.25">
      <c r="B76" s="46">
        <f ca="1">VALUE((Table22342102345678911[[#This Row],[Column3]]-62))</f>
        <v>14</v>
      </c>
      <c r="C76" t="s">
        <v>82</v>
      </c>
      <c r="D76">
        <v>9.5</v>
      </c>
      <c r="E76"/>
      <c r="F76">
        <v>10.714</v>
      </c>
      <c r="G76" s="29">
        <f>Table22342102345678911[[#This Row],[Pierre]]-Table22342102345678911[[#This Row],[REF]]</f>
        <v>1.2140000000000004</v>
      </c>
      <c r="H76" s="29">
        <f>Table22342102345678911[[#This Row],[X-Y]]-E$20</f>
        <v>0.92942498000000384</v>
      </c>
      <c r="I76" s="29">
        <f>Table22342102345678911[[#This Row],[Pierre]]-E$20</f>
        <v>10.429424980000004</v>
      </c>
      <c r="J76" s="29">
        <f>Table22342102345678911[[#This Row],[Pierre]]*E$21+E$22</f>
        <v>10.324384934309579</v>
      </c>
      <c r="K76" s="56">
        <f>Table22342102345678911[[#This Row],[Yest]]-Table22342102345678911[[#This Row],[REF]]</f>
        <v>0.82438493430957926</v>
      </c>
      <c r="L76" s="56">
        <f>ABS(Table22342102345678911[[#This Row],[RESyx]])</f>
        <v>0.82438493430957926</v>
      </c>
      <c r="M76" s="29">
        <f>Table22342102345678911[[#This Row],[Pierre]]*E$25+E$26</f>
        <v>10.291103824565955</v>
      </c>
      <c r="N76" s="29">
        <f>Table22342102345678911[[#This Row],[X-Y]]^2</f>
        <v>1.473796000000001</v>
      </c>
      <c r="O76" s="57">
        <f>Table22342102345678911[[#This Row],[yest_rect]]-Table22342102345678911[[#This Row],[REF]]</f>
        <v>0.79110382456595474</v>
      </c>
      <c r="P76" s="57">
        <f>Table22342102345678911[[#This Row],[dif rec]]^2</f>
        <v>0.62584526124288087</v>
      </c>
      <c r="Q76" s="57">
        <f>ABS(Table22342102345678911[[#This Row],[diff-bias]])</f>
        <v>0.92942498000000384</v>
      </c>
      <c r="R76" s="57">
        <f ca="1">CELL("row",Table22342102345678911[[#This Row],[Position]])</f>
        <v>76</v>
      </c>
      <c r="S76" s="4">
        <f>Table22342102345678911[[#This Row],[REF]]-D$13</f>
        <v>-1.5100002500000009</v>
      </c>
      <c r="T76" s="4">
        <f>ABS(Table22342102345678911[[#This Row],[lab-med]])</f>
        <v>1.5100002500000009</v>
      </c>
      <c r="U76" s="4">
        <f>Table22342102345678911[[#This Row],[Pierre]]-F$13</f>
        <v>-0.56450000000000067</v>
      </c>
      <c r="V76" s="4">
        <f>ABS(Table22342102345678911[[#This Row],[anl-med]])</f>
        <v>0.56450000000000067</v>
      </c>
      <c r="W76" s="4">
        <f>Table22342102345678911[[#This Row],[lab-med]]*Table22342102345678911[[#This Row],[anl-med]]</f>
        <v>0.85239514112500159</v>
      </c>
    </row>
    <row r="77" spans="2:23" x14ac:dyDescent="0.25">
      <c r="B77" s="46">
        <f ca="1">VALUE((Table22342102345678911[[#This Row],[Column3]]-62))</f>
        <v>15</v>
      </c>
      <c r="C77" t="s">
        <v>83</v>
      </c>
      <c r="D77">
        <v>9.9899997999999997</v>
      </c>
      <c r="E77"/>
      <c r="F77">
        <v>10.763</v>
      </c>
      <c r="G77" s="29">
        <f>Table22342102345678911[[#This Row],[Pierre]]-Table22342102345678911[[#This Row],[REF]]</f>
        <v>0.77300020000000025</v>
      </c>
      <c r="H77" s="29">
        <f>Table22342102345678911[[#This Row],[X-Y]]-E$20</f>
        <v>0.48842518000000368</v>
      </c>
      <c r="I77" s="29">
        <f>Table22342102345678911[[#This Row],[Pierre]]-E$20</f>
        <v>10.478424980000003</v>
      </c>
      <c r="J77" s="29">
        <f>Table22342102345678911[[#This Row],[Pierre]]*E$21+E$22</f>
        <v>10.380953161694544</v>
      </c>
      <c r="K77" s="56">
        <f>Table22342102345678911[[#This Row],[Yest]]-Table22342102345678911[[#This Row],[REF]]</f>
        <v>0.3909533616945442</v>
      </c>
      <c r="L77" s="56">
        <f>ABS(Table22342102345678911[[#This Row],[RESyx]])</f>
        <v>0.3909533616945442</v>
      </c>
      <c r="M77" s="29">
        <f>Table22342102345678911[[#This Row],[Pierre]]*E$25+E$26</f>
        <v>10.350069985086879</v>
      </c>
      <c r="N77" s="29">
        <f>Table22342102345678911[[#This Row],[X-Y]]^2</f>
        <v>0.59752930920004044</v>
      </c>
      <c r="O77" s="57">
        <f>Table22342102345678911[[#This Row],[yest_rect]]-Table22342102345678911[[#This Row],[REF]]</f>
        <v>0.36007018508687949</v>
      </c>
      <c r="P77" s="57">
        <f>Table22342102345678911[[#This Row],[dif rec]]^2</f>
        <v>0.12965053818849964</v>
      </c>
      <c r="Q77" s="57">
        <f>ABS(Table22342102345678911[[#This Row],[diff-bias]])</f>
        <v>0.48842518000000368</v>
      </c>
      <c r="R77" s="57">
        <f ca="1">CELL("row",Table22342102345678911[[#This Row],[Position]])</f>
        <v>77</v>
      </c>
      <c r="S77" s="4">
        <f>Table22342102345678911[[#This Row],[REF]]-D$13</f>
        <v>-1.0200004500000013</v>
      </c>
      <c r="T77" s="4">
        <f>ABS(Table22342102345678911[[#This Row],[lab-med]])</f>
        <v>1.0200004500000013</v>
      </c>
      <c r="U77" s="4">
        <f>Table22342102345678911[[#This Row],[Pierre]]-F$13</f>
        <v>-0.51550000000000118</v>
      </c>
      <c r="V77" s="4">
        <f>ABS(Table22342102345678911[[#This Row],[anl-med]])</f>
        <v>0.51550000000000118</v>
      </c>
      <c r="W77" s="4">
        <f>Table22342102345678911[[#This Row],[lab-med]]*Table22342102345678911[[#This Row],[anl-med]]</f>
        <v>0.52581023197500187</v>
      </c>
    </row>
    <row r="78" spans="2:23" x14ac:dyDescent="0.25">
      <c r="B78" s="46">
        <f ca="1">VALUE((Table22342102345678911[[#This Row],[Column3]]-62))</f>
        <v>16</v>
      </c>
      <c r="C78" t="s">
        <v>84</v>
      </c>
      <c r="D78">
        <v>10.0100002</v>
      </c>
      <c r="E78"/>
      <c r="F78">
        <v>10.756</v>
      </c>
      <c r="G78" s="29">
        <f>Table22342102345678911[[#This Row],[Pierre]]-Table22342102345678911[[#This Row],[REF]]</f>
        <v>0.74599979999999988</v>
      </c>
      <c r="H78" s="29">
        <f>Table22342102345678911[[#This Row],[X-Y]]-E$20</f>
        <v>0.46142478000000331</v>
      </c>
      <c r="I78" s="29">
        <f>Table22342102345678911[[#This Row],[Pierre]]-E$20</f>
        <v>10.471424980000004</v>
      </c>
      <c r="J78" s="29">
        <f>Table22342102345678911[[#This Row],[Pierre]]*E$21+E$22</f>
        <v>10.372871986353836</v>
      </c>
      <c r="K78" s="56">
        <f>Table22342102345678911[[#This Row],[Yest]]-Table22342102345678911[[#This Row],[REF]]</f>
        <v>0.36287178635383555</v>
      </c>
      <c r="L78" s="56">
        <f>ABS(Table22342102345678911[[#This Row],[RESyx]])</f>
        <v>0.36287178635383555</v>
      </c>
      <c r="M78" s="29">
        <f>Table22342102345678911[[#This Row],[Pierre]]*E$25+E$26</f>
        <v>10.341646247869605</v>
      </c>
      <c r="N78" s="29">
        <f>Table22342102345678911[[#This Row],[X-Y]]^2</f>
        <v>0.55651570160003982</v>
      </c>
      <c r="O78" s="57">
        <f>Table22342102345678911[[#This Row],[yest_rect]]-Table22342102345678911[[#This Row],[REF]]</f>
        <v>0.33164604786960439</v>
      </c>
      <c r="P78" s="57">
        <f>Table22342102345678911[[#This Row],[dif rec]]^2</f>
        <v>0.10998910106752792</v>
      </c>
      <c r="Q78" s="57">
        <f>ABS(Table22342102345678911[[#This Row],[diff-bias]])</f>
        <v>0.46142478000000331</v>
      </c>
      <c r="R78" s="57">
        <f ca="1">CELL("row",Table22342102345678911[[#This Row],[Position]])</f>
        <v>78</v>
      </c>
      <c r="S78" s="4">
        <f>Table22342102345678911[[#This Row],[REF]]-D$13</f>
        <v>-1.0000000500000006</v>
      </c>
      <c r="T78" s="4">
        <f>ABS(Table22342102345678911[[#This Row],[lab-med]])</f>
        <v>1.0000000500000006</v>
      </c>
      <c r="U78" s="4">
        <f>Table22342102345678911[[#This Row],[Pierre]]-F$13</f>
        <v>-0.52250000000000085</v>
      </c>
      <c r="V78" s="4">
        <f>ABS(Table22342102345678911[[#This Row],[anl-med]])</f>
        <v>0.52250000000000085</v>
      </c>
      <c r="W78" s="4">
        <f>Table22342102345678911[[#This Row],[lab-med]]*Table22342102345678911[[#This Row],[anl-med]]</f>
        <v>0.52250002612500113</v>
      </c>
    </row>
    <row r="79" spans="2:23" x14ac:dyDescent="0.25">
      <c r="B79" s="46">
        <f ca="1">VALUE((Table22342102345678911[[#This Row],[Column3]]-62))</f>
        <v>17</v>
      </c>
      <c r="C79" t="s">
        <v>85</v>
      </c>
      <c r="D79">
        <v>9.8299999000000007</v>
      </c>
      <c r="E79"/>
      <c r="F79">
        <v>10.742000000000001</v>
      </c>
      <c r="G79" s="29">
        <f>Table22342102345678911[[#This Row],[Pierre]]-Table22342102345678911[[#This Row],[REF]]</f>
        <v>0.9120001000000002</v>
      </c>
      <c r="H79" s="29">
        <f>Table22342102345678911[[#This Row],[X-Y]]-E$20</f>
        <v>0.62742508000000363</v>
      </c>
      <c r="I79" s="29">
        <f>Table22342102345678911[[#This Row],[Pierre]]-E$20</f>
        <v>10.457424980000004</v>
      </c>
      <c r="J79" s="29">
        <f>Table22342102345678911[[#This Row],[Pierre]]*E$21+E$22</f>
        <v>10.356709635672416</v>
      </c>
      <c r="K79" s="56">
        <f>Table22342102345678911[[#This Row],[Yest]]-Table22342102345678911[[#This Row],[REF]]</f>
        <v>0.52670973567241575</v>
      </c>
      <c r="L79" s="56">
        <f>ABS(Table22342102345678911[[#This Row],[RESyx]])</f>
        <v>0.52670973567241575</v>
      </c>
      <c r="M79" s="29">
        <f>Table22342102345678911[[#This Row],[Pierre]]*E$25+E$26</f>
        <v>10.324798773435056</v>
      </c>
      <c r="N79" s="29">
        <f>Table22342102345678911[[#This Row],[X-Y]]^2</f>
        <v>0.83174418240001036</v>
      </c>
      <c r="O79" s="57">
        <f>Table22342102345678911[[#This Row],[yest_rect]]-Table22342102345678911[[#This Row],[REF]]</f>
        <v>0.49479887343505524</v>
      </c>
      <c r="P79" s="57">
        <f>Table22342102345678911[[#This Row],[dif rec]]^2</f>
        <v>0.24482592515259982</v>
      </c>
      <c r="Q79" s="57">
        <f>ABS(Table22342102345678911[[#This Row],[diff-bias]])</f>
        <v>0.62742508000000363</v>
      </c>
      <c r="R79" s="57">
        <f ca="1">CELL("row",Table22342102345678911[[#This Row],[Position]])</f>
        <v>79</v>
      </c>
      <c r="S79" s="4">
        <f>Table22342102345678911[[#This Row],[REF]]-D$13</f>
        <v>-1.1800003500000003</v>
      </c>
      <c r="T79" s="4">
        <f>ABS(Table22342102345678911[[#This Row],[lab-med]])</f>
        <v>1.1800003500000003</v>
      </c>
      <c r="U79" s="4">
        <f>Table22342102345678911[[#This Row],[Pierre]]-F$13</f>
        <v>-0.5365000000000002</v>
      </c>
      <c r="V79" s="4">
        <f>ABS(Table22342102345678911[[#This Row],[anl-med]])</f>
        <v>0.5365000000000002</v>
      </c>
      <c r="W79" s="4">
        <f>Table22342102345678911[[#This Row],[lab-med]]*Table22342102345678911[[#This Row],[anl-med]]</f>
        <v>0.63307018777500035</v>
      </c>
    </row>
    <row r="80" spans="2:23" x14ac:dyDescent="0.25">
      <c r="B80" s="46">
        <f ca="1">VALUE((Table22342102345678911[[#This Row],[Column3]]-62))</f>
        <v>18</v>
      </c>
      <c r="C80" t="s">
        <v>86</v>
      </c>
      <c r="D80">
        <v>9.5699997000000003</v>
      </c>
      <c r="E80"/>
      <c r="F80">
        <v>9.8019999999999996</v>
      </c>
      <c r="G80" s="29">
        <f>Table22342102345678911[[#This Row],[Pierre]]-Table22342102345678911[[#This Row],[REF]]</f>
        <v>0.23200029999999927</v>
      </c>
      <c r="H80" s="29">
        <f>Table22342102345678911[[#This Row],[X-Y]]-E$20</f>
        <v>-5.2574719999997299E-2</v>
      </c>
      <c r="I80" s="29">
        <f>Table22342102345678911[[#This Row],[Pierre]]-E$20</f>
        <v>9.517424980000003</v>
      </c>
      <c r="J80" s="29">
        <f>Table22342102345678911[[#This Row],[Pierre]]*E$21+E$22</f>
        <v>9.2715232327771453</v>
      </c>
      <c r="K80" s="56">
        <f>Table22342102345678911[[#This Row],[Yest]]-Table22342102345678911[[#This Row],[REF]]</f>
        <v>-0.29847646722285504</v>
      </c>
      <c r="L80" s="56">
        <f>ABS(Table22342102345678911[[#This Row],[RESyx]])</f>
        <v>0.29847646722285504</v>
      </c>
      <c r="M80" s="29">
        <f>Table22342102345678911[[#This Row],[Pierre]]*E$25+E$26</f>
        <v>9.1936112042581168</v>
      </c>
      <c r="N80" s="29">
        <f>Table22342102345678911[[#This Row],[X-Y]]^2</f>
        <v>5.382413920008966E-2</v>
      </c>
      <c r="O80" s="57">
        <f>Table22342102345678911[[#This Row],[yest_rect]]-Table22342102345678911[[#This Row],[REF]]</f>
        <v>-0.37638849574188349</v>
      </c>
      <c r="P80" s="57">
        <f>Table22342102345678911[[#This Row],[dif rec]]^2</f>
        <v>0.14166829972683784</v>
      </c>
      <c r="Q80" s="57">
        <f>ABS(Table22342102345678911[[#This Row],[diff-bias]])</f>
        <v>5.2574719999997299E-2</v>
      </c>
      <c r="R80" s="57">
        <f ca="1">CELL("row",Table22342102345678911[[#This Row],[Position]])</f>
        <v>80</v>
      </c>
      <c r="S80" s="4">
        <f>Table22342102345678911[[#This Row],[REF]]-D$13</f>
        <v>-1.4400005500000006</v>
      </c>
      <c r="T80" s="4">
        <f>ABS(Table22342102345678911[[#This Row],[lab-med]])</f>
        <v>1.4400005500000006</v>
      </c>
      <c r="U80" s="4">
        <f>Table22342102345678911[[#This Row],[Pierre]]-F$13</f>
        <v>-1.4765000000000015</v>
      </c>
      <c r="V80" s="4">
        <f>ABS(Table22342102345678911[[#This Row],[anl-med]])</f>
        <v>1.4765000000000015</v>
      </c>
      <c r="W80" s="4">
        <f>Table22342102345678911[[#This Row],[lab-med]]*Table22342102345678911[[#This Row],[anl-med]]</f>
        <v>2.1261608120750028</v>
      </c>
    </row>
    <row r="81" spans="2:23" x14ac:dyDescent="0.25">
      <c r="B81" s="46">
        <f ca="1">VALUE((Table22342102345678911[[#This Row],[Column3]]-62))</f>
        <v>19</v>
      </c>
      <c r="C81" t="s">
        <v>87</v>
      </c>
      <c r="D81">
        <v>9.9200000999999993</v>
      </c>
      <c r="E81"/>
      <c r="F81">
        <v>11.048999999999999</v>
      </c>
      <c r="G81" s="29">
        <f>Table22342102345678911[[#This Row],[Pierre]]-Table22342102345678911[[#This Row],[REF]]</f>
        <v>1.1289999000000002</v>
      </c>
      <c r="H81" s="29">
        <f>Table22342102345678911[[#This Row],[X-Y]]-E$20</f>
        <v>0.8444248800000036</v>
      </c>
      <c r="I81" s="29">
        <f>Table22342102345678911[[#This Row],[Pierre]]-E$20</f>
        <v>10.764424980000003</v>
      </c>
      <c r="J81" s="29">
        <f>Table22342102345678911[[#This Row],[Pierre]]*E$21+E$22</f>
        <v>10.711126897043529</v>
      </c>
      <c r="K81" s="56">
        <f>Table22342102345678911[[#This Row],[Yest]]-Table22342102345678911[[#This Row],[REF]]</f>
        <v>0.79112679704353006</v>
      </c>
      <c r="L81" s="56">
        <f>ABS(Table22342102345678911[[#This Row],[RESyx]])</f>
        <v>0.79112679704353006</v>
      </c>
      <c r="M81" s="29">
        <f>Table22342102345678911[[#This Row],[Pierre]]*E$25+E$26</f>
        <v>10.694239819964118</v>
      </c>
      <c r="N81" s="29">
        <f>Table22342102345678911[[#This Row],[X-Y]]^2</f>
        <v>1.2746407742000103</v>
      </c>
      <c r="O81" s="57">
        <f>Table22342102345678911[[#This Row],[yest_rect]]-Table22342102345678911[[#This Row],[REF]]</f>
        <v>0.77423971996411822</v>
      </c>
      <c r="P81" s="57">
        <f>Table22342102345678911[[#This Row],[dif rec]]^2</f>
        <v>0.59944714397011623</v>
      </c>
      <c r="Q81" s="57">
        <f>ABS(Table22342102345678911[[#This Row],[diff-bias]])</f>
        <v>0.8444248800000036</v>
      </c>
      <c r="R81" s="57">
        <f ca="1">CELL("row",Table22342102345678911[[#This Row],[Position]])</f>
        <v>81</v>
      </c>
      <c r="S81" s="4">
        <f>Table22342102345678911[[#This Row],[REF]]-D$13</f>
        <v>-1.0900001500000016</v>
      </c>
      <c r="T81" s="4">
        <f>ABS(Table22342102345678911[[#This Row],[lab-med]])</f>
        <v>1.0900001500000016</v>
      </c>
      <c r="U81" s="4">
        <f>Table22342102345678911[[#This Row],[Pierre]]-F$13</f>
        <v>-0.22950000000000159</v>
      </c>
      <c r="V81" s="4">
        <f>ABS(Table22342102345678911[[#This Row],[anl-med]])</f>
        <v>0.22950000000000159</v>
      </c>
      <c r="W81" s="4">
        <f>Table22342102345678911[[#This Row],[lab-med]]*Table22342102345678911[[#This Row],[anl-med]]</f>
        <v>0.25015503442500209</v>
      </c>
    </row>
    <row r="82" spans="2:23" x14ac:dyDescent="0.25">
      <c r="B82" s="46">
        <f ca="1">VALUE((Table22342102345678911[[#This Row],[Column3]]-62))</f>
        <v>20</v>
      </c>
      <c r="C82" t="s">
        <v>88</v>
      </c>
      <c r="D82">
        <v>11.670000099999999</v>
      </c>
      <c r="E82"/>
      <c r="F82">
        <v>11.494999999999999</v>
      </c>
      <c r="G82" s="29">
        <f>Table22342102345678911[[#This Row],[Pierre]]-Table22342102345678911[[#This Row],[REF]]</f>
        <v>-0.1750001000000001</v>
      </c>
      <c r="H82" s="29">
        <f>Table22342102345678911[[#This Row],[X-Y]]-E$20</f>
        <v>-0.45957511999999667</v>
      </c>
      <c r="I82" s="29">
        <f>Table22342102345678911[[#This Row],[Pierre]]-E$20</f>
        <v>11.210424980000003</v>
      </c>
      <c r="J82" s="29">
        <f>Table22342102345678911[[#This Row],[Pierre]]*E$21+E$22</f>
        <v>11.226013211608732</v>
      </c>
      <c r="K82" s="56">
        <f>Table22342102345678911[[#This Row],[Yest]]-Table22342102345678911[[#This Row],[REF]]</f>
        <v>-0.44398688839126699</v>
      </c>
      <c r="L82" s="56">
        <f>ABS(Table22342102345678911[[#This Row],[RESyx]])</f>
        <v>0.44398688839126699</v>
      </c>
      <c r="M82" s="29">
        <f>Table22342102345678911[[#This Row],[Pierre]]*E$25+E$26</f>
        <v>11.230952219807643</v>
      </c>
      <c r="N82" s="29">
        <f>Table22342102345678911[[#This Row],[X-Y]]^2</f>
        <v>3.0625035000010035E-2</v>
      </c>
      <c r="O82" s="57">
        <f>Table22342102345678911[[#This Row],[yest_rect]]-Table22342102345678911[[#This Row],[REF]]</f>
        <v>-0.43904788019235674</v>
      </c>
      <c r="P82" s="57">
        <f>Table22342102345678911[[#This Row],[dif rec]]^2</f>
        <v>0.19276304110140205</v>
      </c>
      <c r="Q82" s="57">
        <f>ABS(Table22342102345678911[[#This Row],[diff-bias]])</f>
        <v>0.45957511999999667</v>
      </c>
      <c r="R82" s="57">
        <f ca="1">CELL("row",Table22342102345678911[[#This Row],[Position]])</f>
        <v>82</v>
      </c>
      <c r="S82" s="4">
        <f>Table22342102345678911[[#This Row],[REF]]-D$13</f>
        <v>0.65999984999999839</v>
      </c>
      <c r="T82" s="4">
        <f>ABS(Table22342102345678911[[#This Row],[lab-med]])</f>
        <v>0.65999984999999839</v>
      </c>
      <c r="U82" s="4">
        <f>Table22342102345678911[[#This Row],[Pierre]]-F$13</f>
        <v>0.21649999999999814</v>
      </c>
      <c r="V82" s="4">
        <f>ABS(Table22342102345678911[[#This Row],[anl-med]])</f>
        <v>0.21649999999999814</v>
      </c>
      <c r="W82" s="4">
        <f>Table22342102345678911[[#This Row],[lab-med]]*Table22342102345678911[[#This Row],[anl-med]]</f>
        <v>0.14288996752499841</v>
      </c>
    </row>
    <row r="83" spans="2:23" x14ac:dyDescent="0.25">
      <c r="B83" s="46">
        <f ca="1">VALUE((Table22342102345678911[[#This Row],[Column3]]-62))</f>
        <v>21</v>
      </c>
      <c r="C83" t="s">
        <v>89</v>
      </c>
      <c r="D83">
        <v>11.5</v>
      </c>
      <c r="E83"/>
      <c r="F83">
        <v>11.731999999999999</v>
      </c>
      <c r="G83" s="29">
        <f>Table22342102345678911[[#This Row],[Pierre]]-Table22342102345678911[[#This Row],[REF]]</f>
        <v>0.23199999999999932</v>
      </c>
      <c r="H83" s="29">
        <f>Table22342102345678911[[#This Row],[X-Y]]-E$20</f>
        <v>-5.2575019999997252E-2</v>
      </c>
      <c r="I83" s="29">
        <f>Table22342102345678911[[#This Row],[Pierre]]-E$20</f>
        <v>11.447424980000003</v>
      </c>
      <c r="J83" s="29">
        <f>Table22342102345678911[[#This Row],[Pierre]]*E$21+E$22</f>
        <v>11.499618719572752</v>
      </c>
      <c r="K83" s="56">
        <f>Table22342102345678911[[#This Row],[Yest]]-Table22342102345678911[[#This Row],[REF]]</f>
        <v>-3.812804272484982E-4</v>
      </c>
      <c r="L83" s="56">
        <f>ABS(Table22342102345678911[[#This Row],[RESyx]])</f>
        <v>3.812804272484982E-4</v>
      </c>
      <c r="M83" s="29">
        <f>Table22342102345678911[[#This Row],[Pierre]]*E$25+E$26</f>
        <v>11.516155894163957</v>
      </c>
      <c r="N83" s="29">
        <f>Table22342102345678911[[#This Row],[X-Y]]^2</f>
        <v>5.3823999999999685E-2</v>
      </c>
      <c r="O83" s="57">
        <f>Table22342102345678911[[#This Row],[yest_rect]]-Table22342102345678911[[#This Row],[REF]]</f>
        <v>1.6155894163956575E-2</v>
      </c>
      <c r="P83" s="57">
        <f>Table22342102345678911[[#This Row],[dif rec]]^2</f>
        <v>2.610129162369661E-4</v>
      </c>
      <c r="Q83" s="57">
        <f>ABS(Table22342102345678911[[#This Row],[diff-bias]])</f>
        <v>5.2575019999997252E-2</v>
      </c>
      <c r="R83" s="57">
        <f ca="1">CELL("row",Table22342102345678911[[#This Row],[Position]])</f>
        <v>83</v>
      </c>
      <c r="S83" s="4">
        <f>Table22342102345678911[[#This Row],[REF]]-D$13</f>
        <v>0.48999974999999907</v>
      </c>
      <c r="T83" s="4">
        <f>ABS(Table22342102345678911[[#This Row],[lab-med]])</f>
        <v>0.48999974999999907</v>
      </c>
      <c r="U83" s="4">
        <f>Table22342102345678911[[#This Row],[Pierre]]-F$13</f>
        <v>0.45349999999999824</v>
      </c>
      <c r="V83" s="4">
        <f>ABS(Table22342102345678911[[#This Row],[anl-med]])</f>
        <v>0.45349999999999824</v>
      </c>
      <c r="W83" s="4">
        <f>Table22342102345678911[[#This Row],[lab-med]]*Table22342102345678911[[#This Row],[anl-med]]</f>
        <v>0.22221488662499872</v>
      </c>
    </row>
    <row r="84" spans="2:23" x14ac:dyDescent="0.25">
      <c r="B84" s="46">
        <f ca="1">VALUE((Table22342102345678911[[#This Row],[Column3]]-62))</f>
        <v>22</v>
      </c>
      <c r="C84" t="s">
        <v>90</v>
      </c>
      <c r="D84">
        <v>11.3699999</v>
      </c>
      <c r="E84"/>
      <c r="F84">
        <v>12.137</v>
      </c>
      <c r="G84" s="29">
        <f>Table22342102345678911[[#This Row],[Pierre]]-Table22342102345678911[[#This Row],[REF]]</f>
        <v>0.76700010000000063</v>
      </c>
      <c r="H84" s="29">
        <f>Table22342102345678911[[#This Row],[X-Y]]-E$20</f>
        <v>0.48242508000000406</v>
      </c>
      <c r="I84" s="29">
        <f>Table22342102345678911[[#This Row],[Pierre]]-E$20</f>
        <v>11.852424980000004</v>
      </c>
      <c r="J84" s="29">
        <f>Table22342102345678911[[#This Row],[Pierre]]*E$21+E$22</f>
        <v>11.967172435713801</v>
      </c>
      <c r="K84" s="56">
        <f>Table22342102345678911[[#This Row],[Yest]]-Table22342102345678911[[#This Row],[REF]]</f>
        <v>0.59717253571380091</v>
      </c>
      <c r="L84" s="56">
        <f>ABS(Table22342102345678911[[#This Row],[RESyx]])</f>
        <v>0.59717253571380091</v>
      </c>
      <c r="M84" s="29">
        <f>Table22342102345678911[[#This Row],[Pierre]]*E$25+E$26</f>
        <v>12.003529261734872</v>
      </c>
      <c r="N84" s="29">
        <f>Table22342102345678911[[#This Row],[X-Y]]^2</f>
        <v>0.58828915340001098</v>
      </c>
      <c r="O84" s="57">
        <f>Table22342102345678911[[#This Row],[yest_rect]]-Table22342102345678911[[#This Row],[REF]]</f>
        <v>0.63352936173487251</v>
      </c>
      <c r="P84" s="57">
        <f>Table22342102345678911[[#This Row],[dif rec]]^2</f>
        <v>0.40135945218019492</v>
      </c>
      <c r="Q84" s="57">
        <f>ABS(Table22342102345678911[[#This Row],[diff-bias]])</f>
        <v>0.48242508000000406</v>
      </c>
      <c r="R84" s="57">
        <f ca="1">CELL("row",Table22342102345678911[[#This Row],[Position]])</f>
        <v>84</v>
      </c>
      <c r="S84" s="4">
        <f>Table22342102345678911[[#This Row],[REF]]-D$13</f>
        <v>0.35999964999999889</v>
      </c>
      <c r="T84" s="4">
        <f>ABS(Table22342102345678911[[#This Row],[lab-med]])</f>
        <v>0.35999964999999889</v>
      </c>
      <c r="U84" s="4">
        <f>Table22342102345678911[[#This Row],[Pierre]]-F$13</f>
        <v>0.85849999999999937</v>
      </c>
      <c r="V84" s="4">
        <f>ABS(Table22342102345678911[[#This Row],[anl-med]])</f>
        <v>0.85849999999999937</v>
      </c>
      <c r="W84" s="4">
        <f>Table22342102345678911[[#This Row],[lab-med]]*Table22342102345678911[[#This Row],[anl-med]]</f>
        <v>0.30905969952499884</v>
      </c>
    </row>
    <row r="85" spans="2:23" x14ac:dyDescent="0.25">
      <c r="B85" s="46">
        <f ca="1">VALUE((Table22342102345678911[[#This Row],[Column3]]-62))</f>
        <v>23</v>
      </c>
      <c r="C85" t="s">
        <v>91</v>
      </c>
      <c r="D85">
        <v>11.5900002</v>
      </c>
      <c r="E85"/>
      <c r="F85">
        <v>11.295</v>
      </c>
      <c r="G85" s="29">
        <f>Table22342102345678911[[#This Row],[Pierre]]-Table22342102345678911[[#This Row],[REF]]</f>
        <v>-0.29500020000000049</v>
      </c>
      <c r="H85" s="29">
        <f>Table22342102345678911[[#This Row],[X-Y]]-E$20</f>
        <v>-0.57957521999999706</v>
      </c>
      <c r="I85" s="29">
        <f>Table22342102345678911[[#This Row],[Pierre]]-E$20</f>
        <v>11.010424980000003</v>
      </c>
      <c r="J85" s="29">
        <f>Table22342102345678911[[#This Row],[Pierre]]*E$21+E$22</f>
        <v>10.995122487588462</v>
      </c>
      <c r="K85" s="56">
        <f>Table22342102345678911[[#This Row],[Yest]]-Table22342102345678911[[#This Row],[REF]]</f>
        <v>-0.59487771241153808</v>
      </c>
      <c r="L85" s="56">
        <f>ABS(Table22342102345678911[[#This Row],[RESyx]])</f>
        <v>0.59487771241153808</v>
      </c>
      <c r="M85" s="29">
        <f>Table22342102345678911[[#This Row],[Pierre]]*E$25+E$26</f>
        <v>10.990274013599784</v>
      </c>
      <c r="N85" s="29">
        <f>Table22342102345678911[[#This Row],[X-Y]]^2</f>
        <v>8.7025118000040286E-2</v>
      </c>
      <c r="O85" s="57">
        <f>Table22342102345678911[[#This Row],[yest_rect]]-Table22342102345678911[[#This Row],[REF]]</f>
        <v>-0.59972618640021658</v>
      </c>
      <c r="P85" s="57">
        <f>Table22342102345678911[[#This Row],[dif rec]]^2</f>
        <v>0.35967149865414733</v>
      </c>
      <c r="Q85" s="57">
        <f>ABS(Table22342102345678911[[#This Row],[diff-bias]])</f>
        <v>0.57957521999999706</v>
      </c>
      <c r="R85" s="57">
        <f ca="1">CELL("row",Table22342102345678911[[#This Row],[Position]])</f>
        <v>85</v>
      </c>
      <c r="S85" s="4">
        <f>Table22342102345678911[[#This Row],[REF]]-D$13</f>
        <v>0.57999994999999949</v>
      </c>
      <c r="T85" s="4">
        <f>ABS(Table22342102345678911[[#This Row],[lab-med]])</f>
        <v>0.57999994999999949</v>
      </c>
      <c r="U85" s="4">
        <f>Table22342102345678911[[#This Row],[Pierre]]-F$13</f>
        <v>1.6499999999998849E-2</v>
      </c>
      <c r="V85" s="4">
        <f>ABS(Table22342102345678911[[#This Row],[anl-med]])</f>
        <v>1.6499999999998849E-2</v>
      </c>
      <c r="W85" s="4">
        <f>Table22342102345678911[[#This Row],[lab-med]]*Table22342102345678911[[#This Row],[anl-med]]</f>
        <v>9.5699991749993232E-3</v>
      </c>
    </row>
    <row r="86" spans="2:23" x14ac:dyDescent="0.25">
      <c r="B86" s="46">
        <f ca="1">VALUE((Table22342102345678911[[#This Row],[Column3]]-62))</f>
        <v>24</v>
      </c>
      <c r="C86" t="s">
        <v>92</v>
      </c>
      <c r="D86">
        <v>9.8800001000000002</v>
      </c>
      <c r="E86"/>
      <c r="F86">
        <v>10.375</v>
      </c>
      <c r="G86" s="29">
        <f>Table22342102345678911[[#This Row],[Pierre]]-Table22342102345678911[[#This Row],[REF]]</f>
        <v>0.49499989999999983</v>
      </c>
      <c r="H86" s="29">
        <f>Table22342102345678911[[#This Row],[X-Y]]-E$20</f>
        <v>0.21042488000000326</v>
      </c>
      <c r="I86" s="29">
        <f>Table22342102345678911[[#This Row],[Pierre]]-E$20</f>
        <v>10.090424980000003</v>
      </c>
      <c r="J86" s="29">
        <f>Table22342102345678911[[#This Row],[Pierre]]*E$21+E$22</f>
        <v>9.933025157095221</v>
      </c>
      <c r="K86" s="56">
        <f>Table22342102345678911[[#This Row],[Yest]]-Table22342102345678911[[#This Row],[REF]]</f>
        <v>5.3025057095220873E-2</v>
      </c>
      <c r="L86" s="56">
        <f>ABS(Table22342102345678911[[#This Row],[RESyx]])</f>
        <v>5.3025057095220873E-2</v>
      </c>
      <c r="M86" s="29">
        <f>Table22342102345678911[[#This Row],[Pierre]]*E$25+E$26</f>
        <v>9.8831542650436326</v>
      </c>
      <c r="N86" s="29">
        <f>Table22342102345678911[[#This Row],[X-Y]]^2</f>
        <v>0.24502490100000981</v>
      </c>
      <c r="O86" s="57">
        <f>Table22342102345678911[[#This Row],[yest_rect]]-Table22342102345678911[[#This Row],[REF]]</f>
        <v>3.1541650436324176E-3</v>
      </c>
      <c r="P86" s="57">
        <f>Table22342102345678911[[#This Row],[dif rec]]^2</f>
        <v>9.9487571224726914E-6</v>
      </c>
      <c r="Q86" s="57">
        <f>ABS(Table22342102345678911[[#This Row],[diff-bias]])</f>
        <v>0.21042488000000326</v>
      </c>
      <c r="R86" s="57">
        <f ca="1">CELL("row",Table22342102345678911[[#This Row],[Position]])</f>
        <v>86</v>
      </c>
      <c r="S86" s="4">
        <f>Table22342102345678911[[#This Row],[REF]]-D$13</f>
        <v>-1.1300001500000008</v>
      </c>
      <c r="T86" s="4">
        <f>ABS(Table22342102345678911[[#This Row],[lab-med]])</f>
        <v>1.1300001500000008</v>
      </c>
      <c r="U86" s="4">
        <f>Table22342102345678911[[#This Row],[Pierre]]-F$13</f>
        <v>-0.90350000000000108</v>
      </c>
      <c r="V86" s="4">
        <f>ABS(Table22342102345678911[[#This Row],[anl-med]])</f>
        <v>0.90350000000000108</v>
      </c>
      <c r="W86" s="4">
        <f>Table22342102345678911[[#This Row],[lab-med]]*Table22342102345678911[[#This Row],[anl-med]]</f>
        <v>1.0209551355250019</v>
      </c>
    </row>
    <row r="87" spans="2:23" x14ac:dyDescent="0.25">
      <c r="B87" s="46">
        <f ca="1">VALUE((Table22342102345678911[[#This Row],[Column3]]-62))</f>
        <v>25</v>
      </c>
      <c r="C87" t="s">
        <v>93</v>
      </c>
      <c r="D87">
        <v>11.8400002</v>
      </c>
      <c r="E87"/>
      <c r="F87">
        <v>12.18</v>
      </c>
      <c r="G87" s="29">
        <f>Table22342102345678911[[#This Row],[Pierre]]-Table22342102345678911[[#This Row],[REF]]</f>
        <v>0.3399997999999993</v>
      </c>
      <c r="H87" s="29">
        <f>Table22342102345678911[[#This Row],[X-Y]]-E$20</f>
        <v>5.5424780000002727E-2</v>
      </c>
      <c r="I87" s="29">
        <f>Table22342102345678911[[#This Row],[Pierre]]-E$20</f>
        <v>11.895424980000003</v>
      </c>
      <c r="J87" s="29">
        <f>Table22342102345678911[[#This Row],[Pierre]]*E$21+E$22</f>
        <v>12.016813941378157</v>
      </c>
      <c r="K87" s="56">
        <f>Table22342102345678911[[#This Row],[Yest]]-Table22342102345678911[[#This Row],[REF]]</f>
        <v>0.17681374137815631</v>
      </c>
      <c r="L87" s="56">
        <f>ABS(Table22342102345678911[[#This Row],[RESyx]])</f>
        <v>0.17681374137815631</v>
      </c>
      <c r="M87" s="29">
        <f>Table22342102345678911[[#This Row],[Pierre]]*E$25+E$26</f>
        <v>12.055275076069561</v>
      </c>
      <c r="N87" s="29">
        <f>Table22342102345678911[[#This Row],[X-Y]]^2</f>
        <v>0.11559986400003952</v>
      </c>
      <c r="O87" s="57">
        <f>Table22342102345678911[[#This Row],[yest_rect]]-Table22342102345678911[[#This Row],[REF]]</f>
        <v>0.21527487606956086</v>
      </c>
      <c r="P87" s="57">
        <f>Table22342102345678911[[#This Row],[dif rec]]^2</f>
        <v>4.6343272266764789E-2</v>
      </c>
      <c r="Q87" s="57">
        <f>ABS(Table22342102345678911[[#This Row],[diff-bias]])</f>
        <v>5.5424780000002727E-2</v>
      </c>
      <c r="R87" s="57">
        <f ca="1">CELL("row",Table22342102345678911[[#This Row],[Position]])</f>
        <v>87</v>
      </c>
      <c r="S87" s="4">
        <f>Table22342102345678911[[#This Row],[REF]]-D$13</f>
        <v>0.82999994999999949</v>
      </c>
      <c r="T87" s="4">
        <f>ABS(Table22342102345678911[[#This Row],[lab-med]])</f>
        <v>0.82999994999999949</v>
      </c>
      <c r="U87" s="4">
        <f>Table22342102345678911[[#This Row],[Pierre]]-F$13</f>
        <v>0.90149999999999864</v>
      </c>
      <c r="V87" s="4">
        <f>ABS(Table22342102345678911[[#This Row],[anl-med]])</f>
        <v>0.90149999999999864</v>
      </c>
      <c r="W87" s="4">
        <f>Table22342102345678911[[#This Row],[lab-med]]*Table22342102345678911[[#This Row],[anl-med]]</f>
        <v>0.74824495492499843</v>
      </c>
    </row>
    <row r="88" spans="2:23" x14ac:dyDescent="0.25">
      <c r="B88" s="46">
        <f ca="1">VALUE((Table22342102345678911[[#This Row],[Column3]]-62))</f>
        <v>26</v>
      </c>
      <c r="C88" t="s">
        <v>94</v>
      </c>
      <c r="D88">
        <v>10</v>
      </c>
      <c r="E88"/>
      <c r="F88">
        <v>10.208</v>
      </c>
      <c r="G88" s="29">
        <f>Table22342102345678911[[#This Row],[Pierre]]-Table22342102345678911[[#This Row],[REF]]</f>
        <v>0.20800000000000018</v>
      </c>
      <c r="H88" s="29">
        <f>Table22342102345678911[[#This Row],[X-Y]]-E$20</f>
        <v>-7.6575019999996385E-2</v>
      </c>
      <c r="I88" s="29">
        <f>Table22342102345678911[[#This Row],[Pierre]]-E$20</f>
        <v>9.9234249800000036</v>
      </c>
      <c r="J88" s="29">
        <f>Table22342102345678911[[#This Row],[Pierre]]*E$21+E$22</f>
        <v>9.7402314025382957</v>
      </c>
      <c r="K88" s="56">
        <f>Table22342102345678911[[#This Row],[Yest]]-Table22342102345678911[[#This Row],[REF]]</f>
        <v>-0.25976859746170433</v>
      </c>
      <c r="L88" s="56">
        <f>ABS(Table22342102345678911[[#This Row],[RESyx]])</f>
        <v>0.25976859746170433</v>
      </c>
      <c r="M88" s="29">
        <f>Table22342102345678911[[#This Row],[Pierre]]*E$25+E$26</f>
        <v>9.6821879628600716</v>
      </c>
      <c r="N88" s="29">
        <f>Table22342102345678911[[#This Row],[X-Y]]^2</f>
        <v>4.326400000000008E-2</v>
      </c>
      <c r="O88" s="57">
        <f>Table22342102345678911[[#This Row],[yest_rect]]-Table22342102345678911[[#This Row],[REF]]</f>
        <v>-0.31781203713992845</v>
      </c>
      <c r="P88" s="57">
        <f>Table22342102345678911[[#This Row],[dif rec]]^2</f>
        <v>0.10100449095103126</v>
      </c>
      <c r="Q88" s="57">
        <f>ABS(Table22342102345678911[[#This Row],[diff-bias]])</f>
        <v>7.6575019999996385E-2</v>
      </c>
      <c r="R88" s="57">
        <f ca="1">CELL("row",Table22342102345678911[[#This Row],[Position]])</f>
        <v>88</v>
      </c>
      <c r="S88" s="4">
        <f>Table22342102345678911[[#This Row],[REF]]-D$13</f>
        <v>-1.0100002500000009</v>
      </c>
      <c r="T88" s="4">
        <f>ABS(Table22342102345678911[[#This Row],[lab-med]])</f>
        <v>1.0100002500000009</v>
      </c>
      <c r="U88" s="4">
        <f>Table22342102345678911[[#This Row],[Pierre]]-F$13</f>
        <v>-1.0705000000000009</v>
      </c>
      <c r="V88" s="4">
        <f>ABS(Table22342102345678911[[#This Row],[anl-med]])</f>
        <v>1.0705000000000009</v>
      </c>
      <c r="W88" s="4">
        <f>Table22342102345678911[[#This Row],[lab-med]]*Table22342102345678911[[#This Row],[anl-med]]</f>
        <v>1.0812052676250019</v>
      </c>
    </row>
    <row r="89" spans="2:23" x14ac:dyDescent="0.25">
      <c r="B89" s="46">
        <f ca="1">VALUE((Table22342102345678911[[#This Row],[Column3]]-62))</f>
        <v>27</v>
      </c>
      <c r="C89" t="s">
        <v>95</v>
      </c>
      <c r="D89">
        <v>10.100000400000001</v>
      </c>
      <c r="E89"/>
      <c r="F89">
        <v>10.289</v>
      </c>
      <c r="G89" s="29">
        <f>Table22342102345678911[[#This Row],[Pierre]]-Table22342102345678911[[#This Row],[REF]]</f>
        <v>0.18899959999999894</v>
      </c>
      <c r="H89" s="29">
        <f>Table22342102345678911[[#This Row],[X-Y]]-E$20</f>
        <v>-9.5575419999997635E-2</v>
      </c>
      <c r="I89" s="29">
        <f>Table22342102345678911[[#This Row],[Pierre]]-E$20</f>
        <v>10.004424980000003</v>
      </c>
      <c r="J89" s="29">
        <f>Table22342102345678911[[#This Row],[Pierre]]*E$21+E$22</f>
        <v>9.8337421457665037</v>
      </c>
      <c r="K89" s="56">
        <f>Table22342102345678911[[#This Row],[Yest]]-Table22342102345678911[[#This Row],[REF]]</f>
        <v>-0.26625825423349703</v>
      </c>
      <c r="L89" s="56">
        <f>ABS(Table22342102345678911[[#This Row],[RESyx]])</f>
        <v>0.26625825423349703</v>
      </c>
      <c r="M89" s="29">
        <f>Table22342102345678911[[#This Row],[Pierre]]*E$25+E$26</f>
        <v>9.7796626363742529</v>
      </c>
      <c r="N89" s="29">
        <f>Table22342102345678911[[#This Row],[X-Y]]^2</f>
        <v>3.5720848800159598E-2</v>
      </c>
      <c r="O89" s="57">
        <f>Table22342102345678911[[#This Row],[yest_rect]]-Table22342102345678911[[#This Row],[REF]]</f>
        <v>-0.32033776362574784</v>
      </c>
      <c r="P89" s="57">
        <f>Table22342102345678911[[#This Row],[dif rec]]^2</f>
        <v>0.1026162828047455</v>
      </c>
      <c r="Q89" s="57">
        <f>ABS(Table22342102345678911[[#This Row],[diff-bias]])</f>
        <v>9.5575419999997635E-2</v>
      </c>
      <c r="R89" s="57">
        <f ca="1">CELL("row",Table22342102345678911[[#This Row],[Position]])</f>
        <v>89</v>
      </c>
      <c r="S89" s="4">
        <f>Table22342102345678911[[#This Row],[REF]]-D$13</f>
        <v>-0.90999985000000017</v>
      </c>
      <c r="T89" s="4">
        <f>ABS(Table22342102345678911[[#This Row],[lab-med]])</f>
        <v>0.90999985000000017</v>
      </c>
      <c r="U89" s="4">
        <f>Table22342102345678911[[#This Row],[Pierre]]-F$13</f>
        <v>-0.98950000000000138</v>
      </c>
      <c r="V89" s="4">
        <f>ABS(Table22342102345678911[[#This Row],[anl-med]])</f>
        <v>0.98950000000000138</v>
      </c>
      <c r="W89" s="4">
        <f>Table22342102345678911[[#This Row],[lab-med]]*Table22342102345678911[[#This Row],[anl-med]]</f>
        <v>0.90044485157500143</v>
      </c>
    </row>
    <row r="90" spans="2:23" x14ac:dyDescent="0.25">
      <c r="B90" s="46">
        <f ca="1">VALUE((Table22342102345678911[[#This Row],[Column3]]-62))</f>
        <v>28</v>
      </c>
      <c r="C90" t="s">
        <v>96</v>
      </c>
      <c r="D90">
        <v>11.399999599999999</v>
      </c>
      <c r="E90"/>
      <c r="F90">
        <v>11.819000000000001</v>
      </c>
      <c r="G90" s="29">
        <f>Table22342102345678911[[#This Row],[Pierre]]-Table22342102345678911[[#This Row],[REF]]</f>
        <v>0.4190004000000016</v>
      </c>
      <c r="H90" s="29">
        <f>Table22342102345678911[[#This Row],[X-Y]]-E$20</f>
        <v>0.13442538000000503</v>
      </c>
      <c r="I90" s="29">
        <f>Table22342102345678911[[#This Row],[Pierre]]-E$20</f>
        <v>11.534424980000004</v>
      </c>
      <c r="J90" s="29">
        <f>Table22342102345678911[[#This Row],[Pierre]]*E$21+E$22</f>
        <v>11.600056184521572</v>
      </c>
      <c r="K90" s="56">
        <f>Table22342102345678911[[#This Row],[Yest]]-Table22342102345678911[[#This Row],[REF]]</f>
        <v>0.20005658452157249</v>
      </c>
      <c r="L90" s="56">
        <f>ABS(Table22342102345678911[[#This Row],[RESyx]])</f>
        <v>0.20005658452157249</v>
      </c>
      <c r="M90" s="29">
        <f>Table22342102345678911[[#This Row],[Pierre]]*E$25+E$26</f>
        <v>11.620850913864377</v>
      </c>
      <c r="N90" s="29">
        <f>Table22342102345678911[[#This Row],[X-Y]]^2</f>
        <v>0.17556133520016134</v>
      </c>
      <c r="O90" s="57">
        <f>Table22342102345678911[[#This Row],[yest_rect]]-Table22342102345678911[[#This Row],[REF]]</f>
        <v>0.22085131386437773</v>
      </c>
      <c r="P90" s="57">
        <f>Table22342102345678911[[#This Row],[dif rec]]^2</f>
        <v>4.8775302835621884E-2</v>
      </c>
      <c r="Q90" s="57">
        <f>ABS(Table22342102345678911[[#This Row],[diff-bias]])</f>
        <v>0.13442538000000503</v>
      </c>
      <c r="R90" s="57">
        <f ca="1">CELL("row",Table22342102345678911[[#This Row],[Position]])</f>
        <v>90</v>
      </c>
      <c r="S90" s="4">
        <f>Table22342102345678911[[#This Row],[REF]]-D$13</f>
        <v>0.3899993499999983</v>
      </c>
      <c r="T90" s="4">
        <f>ABS(Table22342102345678911[[#This Row],[lab-med]])</f>
        <v>0.3899993499999983</v>
      </c>
      <c r="U90" s="4">
        <f>Table22342102345678911[[#This Row],[Pierre]]-F$13</f>
        <v>0.54049999999999976</v>
      </c>
      <c r="V90" s="4">
        <f>ABS(Table22342102345678911[[#This Row],[anl-med]])</f>
        <v>0.54049999999999976</v>
      </c>
      <c r="W90" s="4">
        <f>Table22342102345678911[[#This Row],[lab-med]]*Table22342102345678911[[#This Row],[anl-med]]</f>
        <v>0.21079464867499897</v>
      </c>
    </row>
    <row r="91" spans="2:23" x14ac:dyDescent="0.25">
      <c r="B91" s="46">
        <f ca="1">VALUE((Table22342102345678911[[#This Row],[Column3]]-62))</f>
        <v>29</v>
      </c>
      <c r="C91" t="s">
        <v>97</v>
      </c>
      <c r="D91">
        <v>10.279999699999999</v>
      </c>
      <c r="E91"/>
      <c r="F91">
        <v>10.573</v>
      </c>
      <c r="G91" s="29">
        <f>Table22342102345678911[[#This Row],[Pierre]]-Table22342102345678911[[#This Row],[REF]]</f>
        <v>0.29300030000000099</v>
      </c>
      <c r="H91" s="29">
        <f>Table22342102345678911[[#This Row],[X-Y]]-E$20</f>
        <v>8.4252800000044203E-3</v>
      </c>
      <c r="I91" s="29">
        <f>Table22342102345678911[[#This Row],[Pierre]]-E$20</f>
        <v>10.288424980000004</v>
      </c>
      <c r="J91" s="29">
        <f>Table22342102345678911[[#This Row],[Pierre]]*E$21+E$22</f>
        <v>10.161606973875289</v>
      </c>
      <c r="K91" s="56">
        <f>Table22342102345678911[[#This Row],[Yest]]-Table22342102345678911[[#This Row],[REF]]</f>
        <v>-0.11839272612471063</v>
      </c>
      <c r="L91" s="56">
        <f>ABS(Table22342102345678911[[#This Row],[RESyx]])</f>
        <v>0.11839272612471063</v>
      </c>
      <c r="M91" s="29">
        <f>Table22342102345678911[[#This Row],[Pierre]]*E$25+E$26</f>
        <v>10.121425689189413</v>
      </c>
      <c r="N91" s="29">
        <f>Table22342102345678911[[#This Row],[X-Y]]^2</f>
        <v>8.5849175800090577E-2</v>
      </c>
      <c r="O91" s="57">
        <f>Table22342102345678911[[#This Row],[yest_rect]]-Table22342102345678911[[#This Row],[REF]]</f>
        <v>-0.15857401081058597</v>
      </c>
      <c r="P91" s="57">
        <f>Table22342102345678911[[#This Row],[dif rec]]^2</f>
        <v>2.5145716904555838E-2</v>
      </c>
      <c r="Q91" s="57">
        <f>ABS(Table22342102345678911[[#This Row],[diff-bias]])</f>
        <v>8.4252800000044203E-3</v>
      </c>
      <c r="R91" s="57">
        <f ca="1">CELL("row",Table22342102345678911[[#This Row],[Position]])</f>
        <v>91</v>
      </c>
      <c r="S91" s="4">
        <f>Table22342102345678911[[#This Row],[REF]]-D$13</f>
        <v>-0.73000055000000152</v>
      </c>
      <c r="T91" s="4">
        <f>ABS(Table22342102345678911[[#This Row],[lab-med]])</f>
        <v>0.73000055000000152</v>
      </c>
      <c r="U91" s="4">
        <f>Table22342102345678911[[#This Row],[Pierre]]-F$13</f>
        <v>-0.70550000000000068</v>
      </c>
      <c r="V91" s="4">
        <f>ABS(Table22342102345678911[[#This Row],[anl-med]])</f>
        <v>0.70550000000000068</v>
      </c>
      <c r="W91" s="4">
        <f>Table22342102345678911[[#This Row],[lab-med]]*Table22342102345678911[[#This Row],[anl-med]]</f>
        <v>0.51501538802500157</v>
      </c>
    </row>
    <row r="92" spans="2:23" x14ac:dyDescent="0.25">
      <c r="B92" s="46">
        <f ca="1">VALUE((Table22342102345678911[[#This Row],[Column3]]-62))</f>
        <v>30</v>
      </c>
      <c r="C92" t="s">
        <v>98</v>
      </c>
      <c r="D92">
        <v>12.21</v>
      </c>
      <c r="E92"/>
      <c r="F92">
        <v>11.872</v>
      </c>
      <c r="G92" s="29">
        <f>Table22342102345678911[[#This Row],[Pierre]]-Table22342102345678911[[#This Row],[REF]]</f>
        <v>-0.33800000000000097</v>
      </c>
      <c r="H92" s="29">
        <f>Table22342102345678911[[#This Row],[X-Y]]-E$20</f>
        <v>-0.62257501999999754</v>
      </c>
      <c r="I92" s="29">
        <f>Table22342102345678911[[#This Row],[Pierre]]-E$20</f>
        <v>11.587424980000003</v>
      </c>
      <c r="J92" s="29">
        <f>Table22342102345678911[[#This Row],[Pierre]]*E$21+E$22</f>
        <v>11.661242226386943</v>
      </c>
      <c r="K92" s="56">
        <f>Table22342102345678911[[#This Row],[Yest]]-Table22342102345678911[[#This Row],[REF]]</f>
        <v>-0.54875777361305822</v>
      </c>
      <c r="L92" s="56">
        <f>ABS(Table22342102345678911[[#This Row],[RESyx]])</f>
        <v>0.54875777361305822</v>
      </c>
      <c r="M92" s="29">
        <f>Table22342102345678911[[#This Row],[Pierre]]*E$25+E$26</f>
        <v>11.684630638509457</v>
      </c>
      <c r="N92" s="29">
        <f>Table22342102345678911[[#This Row],[X-Y]]^2</f>
        <v>0.11424400000000065</v>
      </c>
      <c r="O92" s="57">
        <f>Table22342102345678911[[#This Row],[yest_rect]]-Table22342102345678911[[#This Row],[REF]]</f>
        <v>-0.5253693614905437</v>
      </c>
      <c r="P92" s="57">
        <f>Table22342102345678911[[#This Row],[dif rec]]^2</f>
        <v>0.27601296599298158</v>
      </c>
      <c r="Q92" s="57">
        <f>ABS(Table22342102345678911[[#This Row],[diff-bias]])</f>
        <v>0.62257501999999754</v>
      </c>
      <c r="R92" s="57">
        <f ca="1">CELL("row",Table22342102345678911[[#This Row],[Position]])</f>
        <v>92</v>
      </c>
      <c r="S92" s="4">
        <f>Table22342102345678911[[#This Row],[REF]]-D$13</f>
        <v>1.1999997499999999</v>
      </c>
      <c r="T92" s="4">
        <f>ABS(Table22342102345678911[[#This Row],[lab-med]])</f>
        <v>1.1999997499999999</v>
      </c>
      <c r="U92" s="4">
        <f>Table22342102345678911[[#This Row],[Pierre]]-F$13</f>
        <v>0.59349999999999881</v>
      </c>
      <c r="V92" s="4">
        <f>ABS(Table22342102345678911[[#This Row],[anl-med]])</f>
        <v>0.59349999999999881</v>
      </c>
      <c r="W92" s="4">
        <f>Table22342102345678911[[#This Row],[lab-med]]*Table22342102345678911[[#This Row],[anl-med]]</f>
        <v>0.71219985162499855</v>
      </c>
    </row>
    <row r="93" spans="2:23" x14ac:dyDescent="0.25">
      <c r="B93" s="46">
        <f ca="1">VALUE((Table22342102345678911[[#This Row],[Column3]]-62))</f>
        <v>31</v>
      </c>
      <c r="C93" t="s">
        <v>99</v>
      </c>
      <c r="D93">
        <v>11.9399996</v>
      </c>
      <c r="E93"/>
      <c r="F93">
        <v>12.057</v>
      </c>
      <c r="G93" s="29">
        <f>Table22342102345678911[[#This Row],[Pierre]]-Table22342102345678911[[#This Row],[REF]]</f>
        <v>0.11700040000000023</v>
      </c>
      <c r="H93" s="29">
        <f>Table22342102345678911[[#This Row],[X-Y]]-E$20</f>
        <v>-0.16757461999999634</v>
      </c>
      <c r="I93" s="29">
        <f>Table22342102345678911[[#This Row],[Pierre]]-E$20</f>
        <v>11.772424980000004</v>
      </c>
      <c r="J93" s="29">
        <f>Table22342102345678911[[#This Row],[Pierre]]*E$21+E$22</f>
        <v>11.874816146105692</v>
      </c>
      <c r="K93" s="56">
        <f>Table22342102345678911[[#This Row],[Yest]]-Table22342102345678911[[#This Row],[REF]]</f>
        <v>-6.518345389430813E-2</v>
      </c>
      <c r="L93" s="56">
        <f>ABS(Table22342102345678911[[#This Row],[RESyx]])</f>
        <v>6.518345389430813E-2</v>
      </c>
      <c r="M93" s="29">
        <f>Table22342102345678911[[#This Row],[Pierre]]*E$25+E$26</f>
        <v>11.907257979251728</v>
      </c>
      <c r="N93" s="29">
        <f>Table22342102345678911[[#This Row],[X-Y]]^2</f>
        <v>1.3689093600160053E-2</v>
      </c>
      <c r="O93" s="57">
        <f>Table22342102345678911[[#This Row],[yest_rect]]-Table22342102345678911[[#This Row],[REF]]</f>
        <v>-3.2741620748272027E-2</v>
      </c>
      <c r="P93" s="57">
        <f>Table22342102345678911[[#This Row],[dif rec]]^2</f>
        <v>1.0720137292236772E-3</v>
      </c>
      <c r="Q93" s="57">
        <f>ABS(Table22342102345678911[[#This Row],[diff-bias]])</f>
        <v>0.16757461999999634</v>
      </c>
      <c r="R93" s="57">
        <f ca="1">CELL("row",Table22342102345678911[[#This Row],[Position]])</f>
        <v>93</v>
      </c>
      <c r="S93" s="4">
        <f>Table22342102345678911[[#This Row],[REF]]-D$13</f>
        <v>0.92999934999999923</v>
      </c>
      <c r="T93" s="4">
        <f>ABS(Table22342102345678911[[#This Row],[lab-med]])</f>
        <v>0.92999934999999923</v>
      </c>
      <c r="U93" s="4">
        <f>Table22342102345678911[[#This Row],[Pierre]]-F$13</f>
        <v>0.7784999999999993</v>
      </c>
      <c r="V93" s="4">
        <f>ABS(Table22342102345678911[[#This Row],[anl-med]])</f>
        <v>0.7784999999999993</v>
      </c>
      <c r="W93" s="4">
        <f>Table22342102345678911[[#This Row],[lab-med]]*Table22342102345678911[[#This Row],[anl-med]]</f>
        <v>0.72400449397499878</v>
      </c>
    </row>
    <row r="94" spans="2:23" x14ac:dyDescent="0.25">
      <c r="B94" s="46">
        <f ca="1">VALUE((Table22342102345678911[[#This Row],[Column3]]-62))</f>
        <v>32</v>
      </c>
      <c r="C94" t="s">
        <v>100</v>
      </c>
      <c r="D94">
        <v>10.3699999</v>
      </c>
      <c r="E94"/>
      <c r="F94">
        <v>10.991</v>
      </c>
      <c r="G94" s="29">
        <f>Table22342102345678911[[#This Row],[Pierre]]-Table22342102345678911[[#This Row],[REF]]</f>
        <v>0.62100009999999983</v>
      </c>
      <c r="H94" s="29">
        <f>Table22342102345678911[[#This Row],[X-Y]]-E$20</f>
        <v>0.33642508000000326</v>
      </c>
      <c r="I94" s="29">
        <f>Table22342102345678911[[#This Row],[Pierre]]-E$20</f>
        <v>10.706424980000003</v>
      </c>
      <c r="J94" s="29">
        <f>Table22342102345678911[[#This Row],[Pierre]]*E$21+E$22</f>
        <v>10.644168587077651</v>
      </c>
      <c r="K94" s="56">
        <f>Table22342102345678911[[#This Row],[Yest]]-Table22342102345678911[[#This Row],[REF]]</f>
        <v>0.27416868707765119</v>
      </c>
      <c r="L94" s="56">
        <f>ABS(Table22342102345678911[[#This Row],[RESyx]])</f>
        <v>0.27416868707765119</v>
      </c>
      <c r="M94" s="29">
        <f>Table22342102345678911[[#This Row],[Pierre]]*E$25+E$26</f>
        <v>10.624443140163839</v>
      </c>
      <c r="N94" s="29">
        <f>Table22342102345678911[[#This Row],[X-Y]]^2</f>
        <v>0.38564112420000979</v>
      </c>
      <c r="O94" s="57">
        <f>Table22342102345678911[[#This Row],[yest_rect]]-Table22342102345678911[[#This Row],[REF]]</f>
        <v>0.25444324016383923</v>
      </c>
      <c r="P94" s="57">
        <f>Table22342102345678911[[#This Row],[dif rec]]^2</f>
        <v>6.4741362465073171E-2</v>
      </c>
      <c r="Q94" s="57">
        <f>ABS(Table22342102345678911[[#This Row],[diff-bias]])</f>
        <v>0.33642508000000326</v>
      </c>
      <c r="R94" s="57">
        <f ca="1">CELL("row",Table22342102345678911[[#This Row],[Position]])</f>
        <v>94</v>
      </c>
      <c r="S94" s="4">
        <f>Table22342102345678911[[#This Row],[REF]]-D$13</f>
        <v>-0.64000035000000111</v>
      </c>
      <c r="T94" s="4">
        <f>ABS(Table22342102345678911[[#This Row],[lab-med]])</f>
        <v>0.64000035000000111</v>
      </c>
      <c r="U94" s="4">
        <f>Table22342102345678911[[#This Row],[Pierre]]-F$13</f>
        <v>-0.28750000000000142</v>
      </c>
      <c r="V94" s="4">
        <f>ABS(Table22342102345678911[[#This Row],[anl-med]])</f>
        <v>0.28750000000000142</v>
      </c>
      <c r="W94" s="4">
        <f>Table22342102345678911[[#This Row],[lab-med]]*Table22342102345678911[[#This Row],[anl-med]]</f>
        <v>0.18400010062500122</v>
      </c>
    </row>
    <row r="95" spans="2:23" x14ac:dyDescent="0.25">
      <c r="B95" s="46">
        <f ca="1">VALUE((Table22342102345678911[[#This Row],[Column3]]-62))</f>
        <v>33</v>
      </c>
      <c r="C95" t="s">
        <v>101</v>
      </c>
      <c r="D95">
        <v>10.3800001</v>
      </c>
      <c r="E95"/>
      <c r="F95">
        <v>10.561999999999999</v>
      </c>
      <c r="G95" s="29">
        <f>Table22342102345678911[[#This Row],[Pierre]]-Table22342102345678911[[#This Row],[REF]]</f>
        <v>0.18199989999999922</v>
      </c>
      <c r="H95" s="29">
        <f>Table22342102345678911[[#This Row],[X-Y]]-E$20</f>
        <v>-0.10257511999999736</v>
      </c>
      <c r="I95" s="29">
        <f>Table22342102345678911[[#This Row],[Pierre]]-E$20</f>
        <v>10.277424980000003</v>
      </c>
      <c r="J95" s="29">
        <f>Table22342102345678911[[#This Row],[Pierre]]*E$21+E$22</f>
        <v>10.148907984054173</v>
      </c>
      <c r="K95" s="56">
        <f>Table22342102345678911[[#This Row],[Yest]]-Table22342102345678911[[#This Row],[REF]]</f>
        <v>-0.23109211594582746</v>
      </c>
      <c r="L95" s="56">
        <f>ABS(Table22342102345678911[[#This Row],[RESyx]])</f>
        <v>0.23109211594582746</v>
      </c>
      <c r="M95" s="29">
        <f>Table22342102345678911[[#This Row],[Pierre]]*E$25+E$26</f>
        <v>10.10818838784798</v>
      </c>
      <c r="N95" s="29">
        <f>Table22342102345678911[[#This Row],[X-Y]]^2</f>
        <v>3.3123963600009715E-2</v>
      </c>
      <c r="O95" s="57">
        <f>Table22342102345678911[[#This Row],[yest_rect]]-Table22342102345678911[[#This Row],[REF]]</f>
        <v>-0.27181171215202049</v>
      </c>
      <c r="P95" s="57">
        <f>Table22342102345678911[[#This Row],[dif rec]]^2</f>
        <v>7.3881606863012844E-2</v>
      </c>
      <c r="Q95" s="57">
        <f>ABS(Table22342102345678911[[#This Row],[diff-bias]])</f>
        <v>0.10257511999999736</v>
      </c>
      <c r="R95" s="57">
        <f ca="1">CELL("row",Table22342102345678911[[#This Row],[Position]])</f>
        <v>95</v>
      </c>
      <c r="S95" s="4">
        <f>Table22342102345678911[[#This Row],[REF]]-D$13</f>
        <v>-0.63000015000000076</v>
      </c>
      <c r="T95" s="4">
        <f>ABS(Table22342102345678911[[#This Row],[lab-med]])</f>
        <v>0.63000015000000076</v>
      </c>
      <c r="U95" s="4">
        <f>Table22342102345678911[[#This Row],[Pierre]]-F$13</f>
        <v>-0.71650000000000169</v>
      </c>
      <c r="V95" s="4">
        <f>ABS(Table22342102345678911[[#This Row],[anl-med]])</f>
        <v>0.71650000000000169</v>
      </c>
      <c r="W95" s="4">
        <f>Table22342102345678911[[#This Row],[lab-med]]*Table22342102345678911[[#This Row],[anl-med]]</f>
        <v>0.45139510747500161</v>
      </c>
    </row>
    <row r="96" spans="2:23" x14ac:dyDescent="0.25">
      <c r="B96" s="46">
        <f ca="1">VALUE((Table22342102345678911[[#This Row],[Column3]]-62))</f>
        <v>34</v>
      </c>
      <c r="C96" t="s">
        <v>102</v>
      </c>
      <c r="D96">
        <v>9.8800001000000002</v>
      </c>
      <c r="E96"/>
      <c r="F96">
        <v>10.541</v>
      </c>
      <c r="G96" s="29">
        <f>Table22342102345678911[[#This Row],[Pierre]]-Table22342102345678911[[#This Row],[REF]]</f>
        <v>0.6609999000000002</v>
      </c>
      <c r="H96" s="29">
        <f>Table22342102345678911[[#This Row],[X-Y]]-E$20</f>
        <v>0.37642488000000363</v>
      </c>
      <c r="I96" s="29">
        <f>Table22342102345678911[[#This Row],[Pierre]]-E$20</f>
        <v>10.256424980000004</v>
      </c>
      <c r="J96" s="29">
        <f>Table22342102345678911[[#This Row],[Pierre]]*E$21+E$22</f>
        <v>10.124664458032045</v>
      </c>
      <c r="K96" s="56">
        <f>Table22342102345678911[[#This Row],[Yest]]-Table22342102345678911[[#This Row],[REF]]</f>
        <v>0.24466435803204512</v>
      </c>
      <c r="L96" s="56">
        <f>ABS(Table22342102345678911[[#This Row],[RESyx]])</f>
        <v>0.24466435803204512</v>
      </c>
      <c r="M96" s="29">
        <f>Table22342102345678911[[#This Row],[Pierre]]*E$25+E$26</f>
        <v>10.082917176196156</v>
      </c>
      <c r="N96" s="29">
        <f>Table22342102345678911[[#This Row],[X-Y]]^2</f>
        <v>0.43692086780001027</v>
      </c>
      <c r="O96" s="57">
        <f>Table22342102345678911[[#This Row],[yest_rect]]-Table22342102345678911[[#This Row],[REF]]</f>
        <v>0.20291707619615629</v>
      </c>
      <c r="P96" s="57">
        <f>Table22342102345678911[[#This Row],[dif rec]]^2</f>
        <v>4.1175339811996697E-2</v>
      </c>
      <c r="Q96" s="57">
        <f>ABS(Table22342102345678911[[#This Row],[diff-bias]])</f>
        <v>0.37642488000000363</v>
      </c>
      <c r="R96" s="57">
        <f ca="1">CELL("row",Table22342102345678911[[#This Row],[Position]])</f>
        <v>96</v>
      </c>
      <c r="S96" s="4">
        <f>Table22342102345678911[[#This Row],[REF]]-D$13</f>
        <v>-1.1300001500000008</v>
      </c>
      <c r="T96" s="4">
        <f>ABS(Table22342102345678911[[#This Row],[lab-med]])</f>
        <v>1.1300001500000008</v>
      </c>
      <c r="U96" s="4">
        <f>Table22342102345678911[[#This Row],[Pierre]]-F$13</f>
        <v>-0.73750000000000071</v>
      </c>
      <c r="V96" s="4">
        <f>ABS(Table22342102345678911[[#This Row],[anl-med]])</f>
        <v>0.73750000000000071</v>
      </c>
      <c r="W96" s="4">
        <f>Table22342102345678911[[#This Row],[lab-med]]*Table22342102345678911[[#This Row],[anl-med]]</f>
        <v>0.83337511062500136</v>
      </c>
    </row>
    <row r="97" spans="2:23" x14ac:dyDescent="0.25">
      <c r="B97" s="46">
        <f ca="1">VALUE((Table22342102345678911[[#This Row],[Column3]]-62))</f>
        <v>35</v>
      </c>
      <c r="C97" t="s">
        <v>103</v>
      </c>
      <c r="D97">
        <v>12.079999900000001</v>
      </c>
      <c r="E97"/>
      <c r="F97">
        <v>11.932</v>
      </c>
      <c r="G97" s="29">
        <f>Table22342102345678911[[#This Row],[Pierre]]-Table22342102345678911[[#This Row],[REF]]</f>
        <v>-0.1479999000000003</v>
      </c>
      <c r="H97" s="29">
        <f>Table22342102345678911[[#This Row],[X-Y]]-E$20</f>
        <v>-0.43257491999999687</v>
      </c>
      <c r="I97" s="29">
        <f>Table22342102345678911[[#This Row],[Pierre]]-E$20</f>
        <v>11.647424980000004</v>
      </c>
      <c r="J97" s="29">
        <f>Table22342102345678911[[#This Row],[Pierre]]*E$21+E$22</f>
        <v>11.730509443593023</v>
      </c>
      <c r="K97" s="56">
        <f>Table22342102345678911[[#This Row],[Yest]]-Table22342102345678911[[#This Row],[REF]]</f>
        <v>-0.3494904564069774</v>
      </c>
      <c r="L97" s="56">
        <f>ABS(Table22342102345678911[[#This Row],[RESyx]])</f>
        <v>0.3494904564069774</v>
      </c>
      <c r="M97" s="29">
        <f>Table22342102345678911[[#This Row],[Pierre]]*E$25+E$26</f>
        <v>11.756834100371815</v>
      </c>
      <c r="N97" s="29">
        <f>Table22342102345678911[[#This Row],[X-Y]]^2</f>
        <v>2.1903970400010086E-2</v>
      </c>
      <c r="O97" s="57">
        <f>Table22342102345678911[[#This Row],[yest_rect]]-Table22342102345678911[[#This Row],[REF]]</f>
        <v>-0.32316579962818537</v>
      </c>
      <c r="P97" s="57">
        <f>Table22342102345678911[[#This Row],[dif rec]]^2</f>
        <v>0.10443613404932446</v>
      </c>
      <c r="Q97" s="57">
        <f>ABS(Table22342102345678911[[#This Row],[diff-bias]])</f>
        <v>0.43257491999999687</v>
      </c>
      <c r="R97" s="57">
        <f ca="1">CELL("row",Table22342102345678911[[#This Row],[Position]])</f>
        <v>97</v>
      </c>
      <c r="S97" s="4">
        <f>Table22342102345678911[[#This Row],[REF]]-D$13</f>
        <v>1.0699996499999997</v>
      </c>
      <c r="T97" s="4">
        <f>ABS(Table22342102345678911[[#This Row],[lab-med]])</f>
        <v>1.0699996499999997</v>
      </c>
      <c r="U97" s="4">
        <f>Table22342102345678911[[#This Row],[Pierre]]-F$13</f>
        <v>0.6534999999999993</v>
      </c>
      <c r="V97" s="4">
        <f>ABS(Table22342102345678911[[#This Row],[anl-med]])</f>
        <v>0.6534999999999993</v>
      </c>
      <c r="W97" s="4">
        <f>Table22342102345678911[[#This Row],[lab-med]]*Table22342102345678911[[#This Row],[anl-med]]</f>
        <v>0.69924477127499907</v>
      </c>
    </row>
    <row r="98" spans="2:23" x14ac:dyDescent="0.25">
      <c r="B98" s="46">
        <f ca="1">VALUE((Table22342102345678911[[#This Row],[Column3]]-62))</f>
        <v>36</v>
      </c>
      <c r="C98" t="s">
        <v>104</v>
      </c>
      <c r="D98">
        <v>9.0799999000000007</v>
      </c>
      <c r="E98"/>
      <c r="F98">
        <v>9.2230000000000008</v>
      </c>
      <c r="G98" s="29">
        <f>Table22342102345678911[[#This Row],[Pierre]]-Table22342102345678911[[#This Row],[REF]]</f>
        <v>0.14300010000000007</v>
      </c>
      <c r="H98" s="29">
        <f>Table22342102345678911[[#This Row],[X-Y]]-E$20</f>
        <v>-0.1415749199999965</v>
      </c>
      <c r="I98" s="29">
        <f>Table22342102345678911[[#This Row],[Pierre]]-E$20</f>
        <v>8.9384249800000042</v>
      </c>
      <c r="J98" s="29">
        <f>Table22342102345678911[[#This Row],[Pierre]]*E$21+E$22</f>
        <v>8.6030945867384663</v>
      </c>
      <c r="K98" s="56">
        <f>Table22342102345678911[[#This Row],[Yest]]-Table22342102345678911[[#This Row],[REF]]</f>
        <v>-0.4769053132615344</v>
      </c>
      <c r="L98" s="56">
        <f>ABS(Table22342102345678911[[#This Row],[RESyx]])</f>
        <v>0.4769053132615344</v>
      </c>
      <c r="M98" s="29">
        <f>Table22342102345678911[[#This Row],[Pierre]]*E$25+E$26</f>
        <v>8.4968477972863656</v>
      </c>
      <c r="N98" s="29">
        <f>Table22342102345678911[[#This Row],[X-Y]]^2</f>
        <v>2.0449028600010022E-2</v>
      </c>
      <c r="O98" s="57">
        <f>Table22342102345678911[[#This Row],[yest_rect]]-Table22342102345678911[[#This Row],[REF]]</f>
        <v>-0.58315210271363505</v>
      </c>
      <c r="P98" s="57">
        <f>Table22342102345678911[[#This Row],[dif rec]]^2</f>
        <v>0.34006637489933395</v>
      </c>
      <c r="Q98" s="57">
        <f>ABS(Table22342102345678911[[#This Row],[diff-bias]])</f>
        <v>0.1415749199999965</v>
      </c>
      <c r="R98" s="57">
        <f ca="1">CELL("row",Table22342102345678911[[#This Row],[Position]])</f>
        <v>98</v>
      </c>
      <c r="S98" s="4">
        <f>Table22342102345678911[[#This Row],[REF]]-D$13</f>
        <v>-1.9300003500000003</v>
      </c>
      <c r="T98" s="4">
        <f>ABS(Table22342102345678911[[#This Row],[lab-med]])</f>
        <v>1.9300003500000003</v>
      </c>
      <c r="U98" s="4">
        <f>Table22342102345678911[[#This Row],[Pierre]]-F$13</f>
        <v>-2.0555000000000003</v>
      </c>
      <c r="V98" s="4">
        <f>ABS(Table22342102345678911[[#This Row],[anl-med]])</f>
        <v>2.0555000000000003</v>
      </c>
      <c r="W98" s="4">
        <f>Table22342102345678911[[#This Row],[lab-med]]*Table22342102345678911[[#This Row],[anl-med]]</f>
        <v>3.9671157194250011</v>
      </c>
    </row>
    <row r="99" spans="2:23" x14ac:dyDescent="0.25">
      <c r="B99" s="46">
        <f ca="1">VALUE((Table22342102345678911[[#This Row],[Column3]]-62))</f>
        <v>37</v>
      </c>
      <c r="C99" t="s">
        <v>105</v>
      </c>
      <c r="D99">
        <v>10.800000199999999</v>
      </c>
      <c r="E99"/>
      <c r="F99">
        <v>11.077</v>
      </c>
      <c r="G99" s="29">
        <f>Table22342102345678911[[#This Row],[Pierre]]-Table22342102345678911[[#This Row],[REF]]</f>
        <v>0.27699980000000046</v>
      </c>
      <c r="H99" s="29">
        <f>Table22342102345678911[[#This Row],[X-Y]]-E$20</f>
        <v>-7.5752199999961078E-3</v>
      </c>
      <c r="I99" s="29">
        <f>Table22342102345678911[[#This Row],[Pierre]]-E$20</f>
        <v>10.792424980000003</v>
      </c>
      <c r="J99" s="29">
        <f>Table22342102345678911[[#This Row],[Pierre]]*E$21+E$22</f>
        <v>10.743451598406368</v>
      </c>
      <c r="K99" s="56">
        <f>Table22342102345678911[[#This Row],[Yest]]-Table22342102345678911[[#This Row],[REF]]</f>
        <v>-5.6548601593631176E-2</v>
      </c>
      <c r="L99" s="56">
        <f>ABS(Table22342102345678911[[#This Row],[RESyx]])</f>
        <v>5.6548601593631176E-2</v>
      </c>
      <c r="M99" s="29">
        <f>Table22342102345678911[[#This Row],[Pierre]]*E$25+E$26</f>
        <v>10.727934768833219</v>
      </c>
      <c r="N99" s="29">
        <f>Table22342102345678911[[#This Row],[X-Y]]^2</f>
        <v>7.6728889200040257E-2</v>
      </c>
      <c r="O99" s="57">
        <f>Table22342102345678911[[#This Row],[yest_rect]]-Table22342102345678911[[#This Row],[REF]]</f>
        <v>-7.2065431166780769E-2</v>
      </c>
      <c r="P99" s="57">
        <f>Table22342102345678911[[#This Row],[dif rec]]^2</f>
        <v>5.1934263692540172E-3</v>
      </c>
      <c r="Q99" s="57">
        <f>ABS(Table22342102345678911[[#This Row],[diff-bias]])</f>
        <v>7.5752199999961078E-3</v>
      </c>
      <c r="R99" s="57">
        <f ca="1">CELL("row",Table22342102345678911[[#This Row],[Position]])</f>
        <v>99</v>
      </c>
      <c r="S99" s="4">
        <f>Table22342102345678911[[#This Row],[REF]]-D$13</f>
        <v>-0.21000005000000144</v>
      </c>
      <c r="T99" s="4">
        <f>ABS(Table22342102345678911[[#This Row],[lab-med]])</f>
        <v>0.21000005000000144</v>
      </c>
      <c r="U99" s="4">
        <f>Table22342102345678911[[#This Row],[Pierre]]-F$13</f>
        <v>-0.20150000000000112</v>
      </c>
      <c r="V99" s="4">
        <f>ABS(Table22342102345678911[[#This Row],[anl-med]])</f>
        <v>0.20150000000000112</v>
      </c>
      <c r="W99" s="4">
        <f>Table22342102345678911[[#This Row],[lab-med]]*Table22342102345678911[[#This Row],[anl-med]]</f>
        <v>4.2315010075000527E-2</v>
      </c>
    </row>
    <row r="100" spans="2:23" x14ac:dyDescent="0.25">
      <c r="B100" s="46">
        <f ca="1">VALUE((Table22342102345678911[[#This Row],[Column3]]-62))</f>
        <v>38</v>
      </c>
      <c r="C100" t="s">
        <v>106</v>
      </c>
      <c r="D100">
        <v>9.3599996999999995</v>
      </c>
      <c r="E100"/>
      <c r="F100">
        <v>10.391999999999999</v>
      </c>
      <c r="G100" s="29">
        <f>Table22342102345678911[[#This Row],[Pierre]]-Table22342102345678911[[#This Row],[REF]]</f>
        <v>1.0320003</v>
      </c>
      <c r="H100" s="29">
        <f>Table22342102345678911[[#This Row],[X-Y]]-E$20</f>
        <v>0.74742528000000341</v>
      </c>
      <c r="I100" s="29">
        <f>Table22342102345678911[[#This Row],[Pierre]]-E$20</f>
        <v>10.107424980000003</v>
      </c>
      <c r="J100" s="29">
        <f>Table22342102345678911[[#This Row],[Pierre]]*E$21+E$22</f>
        <v>9.9526508686369421</v>
      </c>
      <c r="K100" s="56">
        <f>Table22342102345678911[[#This Row],[Yest]]-Table22342102345678911[[#This Row],[REF]]</f>
        <v>0.59265116863694267</v>
      </c>
      <c r="L100" s="56">
        <f>ABS(Table22342102345678911[[#This Row],[RESyx]])</f>
        <v>0.59265116863694267</v>
      </c>
      <c r="M100" s="29">
        <f>Table22342102345678911[[#This Row],[Pierre]]*E$25+E$26</f>
        <v>9.9036119125713</v>
      </c>
      <c r="N100" s="29">
        <f>Table22342102345678911[[#This Row],[X-Y]]^2</f>
        <v>1.0650246192000901</v>
      </c>
      <c r="O100" s="57">
        <f>Table22342102345678911[[#This Row],[yest_rect]]-Table22342102345678911[[#This Row],[REF]]</f>
        <v>0.54361221257130055</v>
      </c>
      <c r="P100" s="57">
        <f>Table22342102345678911[[#This Row],[dif rec]]^2</f>
        <v>0.29551423765666485</v>
      </c>
      <c r="Q100" s="57">
        <f>ABS(Table22342102345678911[[#This Row],[diff-bias]])</f>
        <v>0.74742528000000341</v>
      </c>
      <c r="R100" s="57">
        <f ca="1">CELL("row",Table22342102345678911[[#This Row],[Position]])</f>
        <v>100</v>
      </c>
      <c r="S100" s="4">
        <f>Table22342102345678911[[#This Row],[REF]]-D$13</f>
        <v>-1.6500005500000015</v>
      </c>
      <c r="T100" s="4">
        <f>ABS(Table22342102345678911[[#This Row],[lab-med]])</f>
        <v>1.6500005500000015</v>
      </c>
      <c r="U100" s="4">
        <f>Table22342102345678911[[#This Row],[Pierre]]-F$13</f>
        <v>-0.88650000000000162</v>
      </c>
      <c r="V100" s="4">
        <f>ABS(Table22342102345678911[[#This Row],[anl-med]])</f>
        <v>0.88650000000000162</v>
      </c>
      <c r="W100" s="4">
        <f>Table22342102345678911[[#This Row],[lab-med]]*Table22342102345678911[[#This Row],[anl-med]]</f>
        <v>1.462725487575004</v>
      </c>
    </row>
    <row r="101" spans="2:23" x14ac:dyDescent="0.25">
      <c r="B101" s="46">
        <f ca="1">VALUE((Table22342102345678911[[#This Row],[Column3]]-62))</f>
        <v>39</v>
      </c>
      <c r="C101" t="s">
        <v>107</v>
      </c>
      <c r="D101">
        <v>12.449999800000001</v>
      </c>
      <c r="E101"/>
      <c r="F101">
        <v>12.321</v>
      </c>
      <c r="G101" s="29">
        <f>Table22342102345678911[[#This Row],[Pierre]]-Table22342102345678911[[#This Row],[REF]]</f>
        <v>-0.12899980000000077</v>
      </c>
      <c r="H101" s="29">
        <f>Table22342102345678911[[#This Row],[X-Y]]-E$20</f>
        <v>-0.41357481999999735</v>
      </c>
      <c r="I101" s="29">
        <f>Table22342102345678911[[#This Row],[Pierre]]-E$20</f>
        <v>12.036424980000003</v>
      </c>
      <c r="J101" s="29">
        <f>Table22342102345678911[[#This Row],[Pierre]]*E$21+E$22</f>
        <v>12.179591901812447</v>
      </c>
      <c r="K101" s="56">
        <f>Table22342102345678911[[#This Row],[Yest]]-Table22342102345678911[[#This Row],[REF]]</f>
        <v>-0.27040789818755329</v>
      </c>
      <c r="L101" s="56">
        <f>ABS(Table22342102345678911[[#This Row],[RESyx]])</f>
        <v>0.27040789818755329</v>
      </c>
      <c r="M101" s="29">
        <f>Table22342102345678911[[#This Row],[Pierre]]*E$25+E$26</f>
        <v>12.224953211446101</v>
      </c>
      <c r="N101" s="29">
        <f>Table22342102345678911[[#This Row],[X-Y]]^2</f>
        <v>1.6640948400040202E-2</v>
      </c>
      <c r="O101" s="57">
        <f>Table22342102345678911[[#This Row],[yest_rect]]-Table22342102345678911[[#This Row],[REF]]</f>
        <v>-0.2250465885538997</v>
      </c>
      <c r="P101" s="57">
        <f>Table22342102345678911[[#This Row],[dif rec]]^2</f>
        <v>5.0645967019748217E-2</v>
      </c>
      <c r="Q101" s="57">
        <f>ABS(Table22342102345678911[[#This Row],[diff-bias]])</f>
        <v>0.41357481999999735</v>
      </c>
      <c r="R101" s="57">
        <f ca="1">CELL("row",Table22342102345678911[[#This Row],[Position]])</f>
        <v>101</v>
      </c>
      <c r="S101" s="4">
        <f>Table22342102345678911[[#This Row],[REF]]-D$13</f>
        <v>1.4399995499999996</v>
      </c>
      <c r="T101" s="4">
        <f>ABS(Table22342102345678911[[#This Row],[lab-med]])</f>
        <v>1.4399995499999996</v>
      </c>
      <c r="U101" s="4">
        <f>Table22342102345678911[[#This Row],[Pierre]]-F$13</f>
        <v>1.0424999999999986</v>
      </c>
      <c r="V101" s="4">
        <f>ABS(Table22342102345678911[[#This Row],[anl-med]])</f>
        <v>1.0424999999999986</v>
      </c>
      <c r="W101" s="4">
        <f>Table22342102345678911[[#This Row],[lab-med]]*Table22342102345678911[[#This Row],[anl-med]]</f>
        <v>1.5011995308749977</v>
      </c>
    </row>
    <row r="102" spans="2:23" x14ac:dyDescent="0.25">
      <c r="B102" s="46">
        <f ca="1">VALUE((Table22342102345678911[[#This Row],[Column3]]-62))</f>
        <v>40</v>
      </c>
      <c r="C102" t="s">
        <v>108</v>
      </c>
      <c r="D102">
        <v>10.920000099999999</v>
      </c>
      <c r="E102"/>
      <c r="F102">
        <v>11.413</v>
      </c>
      <c r="G102" s="29">
        <f>Table22342102345678911[[#This Row],[Pierre]]-Table22342102345678911[[#This Row],[REF]]</f>
        <v>0.49299990000000093</v>
      </c>
      <c r="H102" s="29">
        <f>Table22342102345678911[[#This Row],[X-Y]]-E$20</f>
        <v>0.20842488000000436</v>
      </c>
      <c r="I102" s="29">
        <f>Table22342102345678911[[#This Row],[Pierre]]-E$20</f>
        <v>11.128424980000004</v>
      </c>
      <c r="J102" s="29">
        <f>Table22342102345678911[[#This Row],[Pierre]]*E$21+E$22</f>
        <v>11.131348014760423</v>
      </c>
      <c r="K102" s="56">
        <f>Table22342102345678911[[#This Row],[Yest]]-Table22342102345678911[[#This Row],[REF]]</f>
        <v>0.21134791476042381</v>
      </c>
      <c r="L102" s="56">
        <f>ABS(Table22342102345678911[[#This Row],[RESyx]])</f>
        <v>0.21134791476042381</v>
      </c>
      <c r="M102" s="29">
        <f>Table22342102345678911[[#This Row],[Pierre]]*E$25+E$26</f>
        <v>11.132274155262422</v>
      </c>
      <c r="N102" s="29">
        <f>Table22342102345678911[[#This Row],[X-Y]]^2</f>
        <v>0.24304890140001092</v>
      </c>
      <c r="O102" s="57">
        <f>Table22342102345678911[[#This Row],[yest_rect]]-Table22342102345678911[[#This Row],[REF]]</f>
        <v>0.21227405526242293</v>
      </c>
      <c r="P102" s="57">
        <f>Table22342102345678911[[#This Row],[dif rec]]^2</f>
        <v>4.5060274537554186E-2</v>
      </c>
      <c r="Q102" s="57">
        <f>ABS(Table22342102345678911[[#This Row],[diff-bias]])</f>
        <v>0.20842488000000436</v>
      </c>
      <c r="R102" s="57">
        <f ca="1">CELL("row",Table22342102345678911[[#This Row],[Position]])</f>
        <v>102</v>
      </c>
      <c r="S102" s="4">
        <f>Table22342102345678911[[#This Row],[REF]]-D$13</f>
        <v>-9.0000150000001611E-2</v>
      </c>
      <c r="T102" s="4">
        <f>ABS(Table22342102345678911[[#This Row],[lab-med]])</f>
        <v>9.0000150000001611E-2</v>
      </c>
      <c r="U102" s="4">
        <f>Table22342102345678911[[#This Row],[Pierre]]-F$13</f>
        <v>0.13449999999999918</v>
      </c>
      <c r="V102" s="4">
        <f>ABS(Table22342102345678911[[#This Row],[anl-med]])</f>
        <v>0.13449999999999918</v>
      </c>
      <c r="W102" s="4">
        <f>Table22342102345678911[[#This Row],[lab-med]]*Table22342102345678911[[#This Row],[anl-med]]</f>
        <v>-1.2105020175000142E-2</v>
      </c>
    </row>
    <row r="103" spans="2:23" x14ac:dyDescent="0.25">
      <c r="B103" s="46">
        <f ca="1">VALUE((Table22342102345678911[[#This Row],[Column3]]-62))</f>
        <v>41</v>
      </c>
      <c r="C103" t="s">
        <v>109</v>
      </c>
      <c r="D103">
        <v>10.949999800000001</v>
      </c>
      <c r="E103"/>
      <c r="F103">
        <v>11.228</v>
      </c>
      <c r="G103" s="29">
        <f>Table22342102345678911[[#This Row],[Pierre]]-Table22342102345678911[[#This Row],[REF]]</f>
        <v>0.27800019999999925</v>
      </c>
      <c r="H103" s="29">
        <f>Table22342102345678911[[#This Row],[X-Y]]-E$20</f>
        <v>-6.5748199999973167E-3</v>
      </c>
      <c r="I103" s="29">
        <f>Table22342102345678911[[#This Row],[Pierre]]-E$20</f>
        <v>10.943424980000003</v>
      </c>
      <c r="J103" s="29">
        <f>Table22342102345678911[[#This Row],[Pierre]]*E$21+E$22</f>
        <v>10.917774095041672</v>
      </c>
      <c r="K103" s="56">
        <f>Table22342102345678911[[#This Row],[Yest]]-Table22342102345678911[[#This Row],[REF]]</f>
        <v>-3.2225704958328549E-2</v>
      </c>
      <c r="L103" s="56">
        <f>ABS(Table22342102345678911[[#This Row],[RESyx]])</f>
        <v>3.2225704958328549E-2</v>
      </c>
      <c r="M103" s="29">
        <f>Table22342102345678911[[#This Row],[Pierre]]*E$25+E$26</f>
        <v>10.909646814520151</v>
      </c>
      <c r="N103" s="29">
        <f>Table22342102345678911[[#This Row],[X-Y]]^2</f>
        <v>7.7284111200039585E-2</v>
      </c>
      <c r="O103" s="57">
        <f>Table22342102345678911[[#This Row],[yest_rect]]-Table22342102345678911[[#This Row],[REF]]</f>
        <v>-4.0352985479849224E-2</v>
      </c>
      <c r="P103" s="57">
        <f>Table22342102345678911[[#This Row],[dif rec]]^2</f>
        <v>1.6283634371369222E-3</v>
      </c>
      <c r="Q103" s="57">
        <f>ABS(Table22342102345678911[[#This Row],[diff-bias]])</f>
        <v>6.5748199999973167E-3</v>
      </c>
      <c r="R103" s="57">
        <f ca="1">CELL("row",Table22342102345678911[[#This Row],[Position]])</f>
        <v>103</v>
      </c>
      <c r="S103" s="4">
        <f>Table22342102345678911[[#This Row],[REF]]-D$13</f>
        <v>-6.0000450000000427E-2</v>
      </c>
      <c r="T103" s="4">
        <f>ABS(Table22342102345678911[[#This Row],[lab-med]])</f>
        <v>6.0000450000000427E-2</v>
      </c>
      <c r="U103" s="4">
        <f>Table22342102345678911[[#This Row],[Pierre]]-F$13</f>
        <v>-5.0500000000001322E-2</v>
      </c>
      <c r="V103" s="4">
        <f>ABS(Table22342102345678911[[#This Row],[anl-med]])</f>
        <v>5.0500000000001322E-2</v>
      </c>
      <c r="W103" s="4">
        <f>Table22342102345678911[[#This Row],[lab-med]]*Table22342102345678911[[#This Row],[anl-med]]</f>
        <v>3.030022725000101E-3</v>
      </c>
    </row>
    <row r="104" spans="2:23" x14ac:dyDescent="0.25">
      <c r="B104" s="46">
        <f ca="1">VALUE((Table22342102345678911[[#This Row],[Column3]]-62))</f>
        <v>42</v>
      </c>
      <c r="C104" t="s">
        <v>110</v>
      </c>
      <c r="D104">
        <v>10.9899998</v>
      </c>
      <c r="E104"/>
      <c r="F104">
        <v>11.488</v>
      </c>
      <c r="G104" s="29">
        <f>Table22342102345678911[[#This Row],[Pierre]]-Table22342102345678911[[#This Row],[REF]]</f>
        <v>0.49800019999999989</v>
      </c>
      <c r="H104" s="29">
        <f>Table22342102345678911[[#This Row],[X-Y]]-E$20</f>
        <v>0.21342518000000332</v>
      </c>
      <c r="I104" s="29">
        <f>Table22342102345678911[[#This Row],[Pierre]]-E$20</f>
        <v>11.203424980000003</v>
      </c>
      <c r="J104" s="29">
        <f>Table22342102345678911[[#This Row],[Pierre]]*E$21+E$22</f>
        <v>11.217932036268023</v>
      </c>
      <c r="K104" s="56">
        <f>Table22342102345678911[[#This Row],[Yest]]-Table22342102345678911[[#This Row],[REF]]</f>
        <v>0.22793223626802295</v>
      </c>
      <c r="L104" s="56">
        <f>ABS(Table22342102345678911[[#This Row],[RESyx]])</f>
        <v>0.22793223626802295</v>
      </c>
      <c r="M104" s="29">
        <f>Table22342102345678911[[#This Row],[Pierre]]*E$25+E$26</f>
        <v>11.222528482590368</v>
      </c>
      <c r="N104" s="29">
        <f>Table22342102345678911[[#This Row],[X-Y]]^2</f>
        <v>0.24800419920003988</v>
      </c>
      <c r="O104" s="57">
        <f>Table22342102345678911[[#This Row],[yest_rect]]-Table22342102345678911[[#This Row],[REF]]</f>
        <v>0.23252868259036852</v>
      </c>
      <c r="P104" s="57">
        <f>Table22342102345678911[[#This Row],[dif rec]]^2</f>
        <v>5.4069588227212348E-2</v>
      </c>
      <c r="Q104" s="57">
        <f>ABS(Table22342102345678911[[#This Row],[diff-bias]])</f>
        <v>0.21342518000000332</v>
      </c>
      <c r="R104" s="57">
        <f ca="1">CELL("row",Table22342102345678911[[#This Row],[Position]])</f>
        <v>104</v>
      </c>
      <c r="S104" s="4">
        <f>Table22342102345678911[[#This Row],[REF]]-D$13</f>
        <v>-2.000045000000128E-2</v>
      </c>
      <c r="T104" s="4">
        <f>ABS(Table22342102345678911[[#This Row],[lab-med]])</f>
        <v>2.000045000000128E-2</v>
      </c>
      <c r="U104" s="4">
        <f>Table22342102345678911[[#This Row],[Pierre]]-F$13</f>
        <v>0.20949999999999847</v>
      </c>
      <c r="V104" s="4">
        <f>ABS(Table22342102345678911[[#This Row],[anl-med]])</f>
        <v>0.20949999999999847</v>
      </c>
      <c r="W104" s="4">
        <f>Table22342102345678911[[#This Row],[lab-med]]*Table22342102345678911[[#This Row],[anl-med]]</f>
        <v>-4.1900942750002371E-3</v>
      </c>
    </row>
    <row r="105" spans="2:23" x14ac:dyDescent="0.25">
      <c r="B105" s="46">
        <f ca="1">VALUE((Table22342102345678911[[#This Row],[Column3]]-62))</f>
        <v>43</v>
      </c>
      <c r="C105" t="s">
        <v>111</v>
      </c>
      <c r="D105">
        <v>11</v>
      </c>
      <c r="E105"/>
      <c r="F105">
        <v>11.262</v>
      </c>
      <c r="G105" s="29">
        <f>Table22342102345678911[[#This Row],[Pierre]]-Table22342102345678911[[#This Row],[REF]]</f>
        <v>0.26200000000000045</v>
      </c>
      <c r="H105" s="29">
        <f>Table22342102345678911[[#This Row],[X-Y]]-E$20</f>
        <v>-2.2575019999996115E-2</v>
      </c>
      <c r="I105" s="29">
        <f>Table22342102345678911[[#This Row],[Pierre]]-E$20</f>
        <v>10.977424980000004</v>
      </c>
      <c r="J105" s="29">
        <f>Table22342102345678911[[#This Row],[Pierre]]*E$21+E$22</f>
        <v>10.957025518125119</v>
      </c>
      <c r="K105" s="56">
        <f>Table22342102345678911[[#This Row],[Yest]]-Table22342102345678911[[#This Row],[REF]]</f>
        <v>-4.297448187488051E-2</v>
      </c>
      <c r="L105" s="56">
        <f>ABS(Table22342102345678911[[#This Row],[RESyx]])</f>
        <v>4.297448187488051E-2</v>
      </c>
      <c r="M105" s="29">
        <f>Table22342102345678911[[#This Row],[Pierre]]*E$25+E$26</f>
        <v>10.950562109575488</v>
      </c>
      <c r="N105" s="29">
        <f>Table22342102345678911[[#This Row],[X-Y]]^2</f>
        <v>6.8644000000000233E-2</v>
      </c>
      <c r="O105" s="57">
        <f>Table22342102345678911[[#This Row],[yest_rect]]-Table22342102345678911[[#This Row],[REF]]</f>
        <v>-4.9437890424512076E-2</v>
      </c>
      <c r="P105" s="57">
        <f>Table22342102345678911[[#This Row],[dif rec]]^2</f>
        <v>2.4441050096260628E-3</v>
      </c>
      <c r="Q105" s="57">
        <f>ABS(Table22342102345678911[[#This Row],[diff-bias]])</f>
        <v>2.2575019999996115E-2</v>
      </c>
      <c r="R105" s="57">
        <f ca="1">CELL("row",Table22342102345678911[[#This Row],[Position]])</f>
        <v>105</v>
      </c>
      <c r="S105" s="4">
        <f>Table22342102345678911[[#This Row],[REF]]-D$13</f>
        <v>-1.0000250000000932E-2</v>
      </c>
      <c r="T105" s="4">
        <f>ABS(Table22342102345678911[[#This Row],[lab-med]])</f>
        <v>1.0000250000000932E-2</v>
      </c>
      <c r="U105" s="4">
        <f>Table22342102345678911[[#This Row],[Pierre]]-F$13</f>
        <v>-1.6500000000000625E-2</v>
      </c>
      <c r="V105" s="4">
        <f>ABS(Table22342102345678911[[#This Row],[anl-med]])</f>
        <v>1.6500000000000625E-2</v>
      </c>
      <c r="W105" s="4">
        <f>Table22342102345678911[[#This Row],[lab-med]]*Table22342102345678911[[#This Row],[anl-med]]</f>
        <v>1.6500412500002163E-4</v>
      </c>
    </row>
    <row r="106" spans="2:23" x14ac:dyDescent="0.25">
      <c r="B106" s="46">
        <f ca="1">VALUE((Table22342102345678911[[#This Row],[Column3]]-62))</f>
        <v>44</v>
      </c>
      <c r="C106" t="s">
        <v>112</v>
      </c>
      <c r="D106">
        <v>9.9700003000000006</v>
      </c>
      <c r="E106"/>
      <c r="F106">
        <v>10.465999999999999</v>
      </c>
      <c r="G106" s="29">
        <f>Table22342102345678911[[#This Row],[Pierre]]-Table22342102345678911[[#This Row],[REF]]</f>
        <v>0.49599969999999871</v>
      </c>
      <c r="H106" s="29">
        <f>Table22342102345678911[[#This Row],[X-Y]]-E$20</f>
        <v>0.21142468000000214</v>
      </c>
      <c r="I106" s="29">
        <f>Table22342102345678911[[#This Row],[Pierre]]-E$20</f>
        <v>10.181424980000003</v>
      </c>
      <c r="J106" s="29">
        <f>Table22342102345678911[[#This Row],[Pierre]]*E$21+E$22</f>
        <v>10.038080436524442</v>
      </c>
      <c r="K106" s="56">
        <f>Table22342102345678911[[#This Row],[Yest]]-Table22342102345678911[[#This Row],[REF]]</f>
        <v>6.808013652444167E-2</v>
      </c>
      <c r="L106" s="56">
        <f>ABS(Table22342102345678911[[#This Row],[RESyx]])</f>
        <v>6.808013652444167E-2</v>
      </c>
      <c r="M106" s="29">
        <f>Table22342102345678911[[#This Row],[Pierre]]*E$25+E$26</f>
        <v>9.9926628488682088</v>
      </c>
      <c r="N106" s="29">
        <f>Table22342102345678911[[#This Row],[X-Y]]^2</f>
        <v>0.24601570240008871</v>
      </c>
      <c r="O106" s="57">
        <f>Table22342102345678911[[#This Row],[yest_rect]]-Table22342102345678911[[#This Row],[REF]]</f>
        <v>2.2662548868208177E-2</v>
      </c>
      <c r="P106" s="57">
        <f>Table22342102345678911[[#This Row],[dif rec]]^2</f>
        <v>5.1359112120392372E-4</v>
      </c>
      <c r="Q106" s="57">
        <f>ABS(Table22342102345678911[[#This Row],[diff-bias]])</f>
        <v>0.21142468000000214</v>
      </c>
      <c r="R106" s="57">
        <f ca="1">CELL("row",Table22342102345678911[[#This Row],[Position]])</f>
        <v>106</v>
      </c>
      <c r="S106" s="4">
        <f>Table22342102345678911[[#This Row],[REF]]-D$13</f>
        <v>-1.0399999500000003</v>
      </c>
      <c r="T106" s="4">
        <f>ABS(Table22342102345678911[[#This Row],[lab-med]])</f>
        <v>1.0399999500000003</v>
      </c>
      <c r="U106" s="4">
        <f>Table22342102345678911[[#This Row],[Pierre]]-F$13</f>
        <v>-0.81250000000000178</v>
      </c>
      <c r="V106" s="4">
        <f>ABS(Table22342102345678911[[#This Row],[anl-med]])</f>
        <v>0.81250000000000178</v>
      </c>
      <c r="W106" s="4">
        <f>Table22342102345678911[[#This Row],[lab-med]]*Table22342102345678911[[#This Row],[anl-med]]</f>
        <v>0.84499995937500216</v>
      </c>
    </row>
    <row r="107" spans="2:23" x14ac:dyDescent="0.25">
      <c r="B107" s="46">
        <f ca="1">VALUE((Table22342102345678911[[#This Row],[Column3]]-62))</f>
        <v>45</v>
      </c>
      <c r="C107" t="s">
        <v>113</v>
      </c>
      <c r="D107">
        <v>12.899999599999999</v>
      </c>
      <c r="E107"/>
      <c r="F107">
        <v>12.548999999999999</v>
      </c>
      <c r="G107" s="29">
        <f>Table22342102345678911[[#This Row],[Pierre]]-Table22342102345678911[[#This Row],[REF]]</f>
        <v>-0.35099959999999975</v>
      </c>
      <c r="H107" s="29">
        <f>Table22342102345678911[[#This Row],[X-Y]]-E$20</f>
        <v>-0.63557461999999632</v>
      </c>
      <c r="I107" s="29">
        <f>Table22342102345678911[[#This Row],[Pierre]]-E$20</f>
        <v>12.264424980000003</v>
      </c>
      <c r="J107" s="29">
        <f>Table22342102345678911[[#This Row],[Pierre]]*E$21+E$22</f>
        <v>12.442807327195556</v>
      </c>
      <c r="K107" s="56">
        <f>Table22342102345678911[[#This Row],[Yest]]-Table22342102345678911[[#This Row],[REF]]</f>
        <v>-0.45719227280444308</v>
      </c>
      <c r="L107" s="56">
        <f>ABS(Table22342102345678911[[#This Row],[RESyx]])</f>
        <v>0.45719227280444308</v>
      </c>
      <c r="M107" s="29">
        <f>Table22342102345678911[[#This Row],[Pierre]]*E$25+E$26</f>
        <v>12.499326366523061</v>
      </c>
      <c r="N107" s="29">
        <f>Table22342102345678911[[#This Row],[X-Y]]^2</f>
        <v>0.12320071920015982</v>
      </c>
      <c r="O107" s="57">
        <f>Table22342102345678911[[#This Row],[yest_rect]]-Table22342102345678911[[#This Row],[REF]]</f>
        <v>-0.40067323347693851</v>
      </c>
      <c r="P107" s="57">
        <f>Table22342102345678911[[#This Row],[dif rec]]^2</f>
        <v>0.16053904002486527</v>
      </c>
      <c r="Q107" s="57">
        <f>ABS(Table22342102345678911[[#This Row],[diff-bias]])</f>
        <v>0.63557461999999632</v>
      </c>
      <c r="R107" s="57">
        <f ca="1">CELL("row",Table22342102345678911[[#This Row],[Position]])</f>
        <v>107</v>
      </c>
      <c r="S107" s="4">
        <f>Table22342102345678911[[#This Row],[REF]]-D$13</f>
        <v>1.8899993499999983</v>
      </c>
      <c r="T107" s="4">
        <f>ABS(Table22342102345678911[[#This Row],[lab-med]])</f>
        <v>1.8899993499999983</v>
      </c>
      <c r="U107" s="4">
        <f>Table22342102345678911[[#This Row],[Pierre]]-F$13</f>
        <v>1.2704999999999984</v>
      </c>
      <c r="V107" s="4">
        <f>ABS(Table22342102345678911[[#This Row],[anl-med]])</f>
        <v>1.2704999999999984</v>
      </c>
      <c r="W107" s="4">
        <f>Table22342102345678911[[#This Row],[lab-med]]*Table22342102345678911[[#This Row],[anl-med]]</f>
        <v>2.401244174174995</v>
      </c>
    </row>
    <row r="108" spans="2:23" x14ac:dyDescent="0.25">
      <c r="B108" s="46">
        <f ca="1">VALUE((Table22342102345678911[[#This Row],[Column3]]-62))</f>
        <v>46</v>
      </c>
      <c r="C108" t="s">
        <v>114</v>
      </c>
      <c r="D108">
        <v>10.529999699999999</v>
      </c>
      <c r="E108"/>
      <c r="F108">
        <v>10.74</v>
      </c>
      <c r="G108" s="29">
        <f>Table22342102345678911[[#This Row],[Pierre]]-Table22342102345678911[[#This Row],[REF]]</f>
        <v>0.21000030000000081</v>
      </c>
      <c r="H108" s="29">
        <f>Table22342102345678911[[#This Row],[X-Y]]-E$20</f>
        <v>-7.4574719999995764E-2</v>
      </c>
      <c r="I108" s="29">
        <f>Table22342102345678911[[#This Row],[Pierre]]-E$20</f>
        <v>10.455424980000004</v>
      </c>
      <c r="J108" s="29">
        <f>Table22342102345678911[[#This Row],[Pierre]]*E$21+E$22</f>
        <v>10.354400728432214</v>
      </c>
      <c r="K108" s="56">
        <f>Table22342102345678911[[#This Row],[Yest]]-Table22342102345678911[[#This Row],[REF]]</f>
        <v>-0.17559897156778526</v>
      </c>
      <c r="L108" s="56">
        <f>ABS(Table22342102345678911[[#This Row],[RESyx]])</f>
        <v>0.17559897156778526</v>
      </c>
      <c r="M108" s="29">
        <f>Table22342102345678911[[#This Row],[Pierre]]*E$25+E$26</f>
        <v>10.322391991372976</v>
      </c>
      <c r="N108" s="29">
        <f>Table22342102345678911[[#This Row],[X-Y]]^2</f>
        <v>4.4100126000090341E-2</v>
      </c>
      <c r="O108" s="57">
        <f>Table22342102345678911[[#This Row],[yest_rect]]-Table22342102345678911[[#This Row],[REF]]</f>
        <v>-0.20760770862702316</v>
      </c>
      <c r="P108" s="57">
        <f>Table22342102345678911[[#This Row],[dif rec]]^2</f>
        <v>4.3100960681362946E-2</v>
      </c>
      <c r="Q108" s="57">
        <f>ABS(Table22342102345678911[[#This Row],[diff-bias]])</f>
        <v>7.4574719999995764E-2</v>
      </c>
      <c r="R108" s="57">
        <f ca="1">CELL("row",Table22342102345678911[[#This Row],[Position]])</f>
        <v>108</v>
      </c>
      <c r="S108" s="4">
        <f>Table22342102345678911[[#This Row],[REF]]-D$13</f>
        <v>-0.48000055000000152</v>
      </c>
      <c r="T108" s="4">
        <f>ABS(Table22342102345678911[[#This Row],[lab-med]])</f>
        <v>0.48000055000000152</v>
      </c>
      <c r="U108" s="4">
        <f>Table22342102345678911[[#This Row],[Pierre]]-F$13</f>
        <v>-0.53850000000000087</v>
      </c>
      <c r="V108" s="4">
        <f>ABS(Table22342102345678911[[#This Row],[anl-med]])</f>
        <v>0.53850000000000087</v>
      </c>
      <c r="W108" s="4">
        <f>Table22342102345678911[[#This Row],[lab-med]]*Table22342102345678911[[#This Row],[anl-med]]</f>
        <v>0.25848029617500123</v>
      </c>
    </row>
    <row r="109" spans="2:23" x14ac:dyDescent="0.25">
      <c r="B109" s="46">
        <f ca="1">VALUE((Table22342102345678911[[#This Row],[Column3]]-62))</f>
        <v>47</v>
      </c>
      <c r="C109" t="s">
        <v>115</v>
      </c>
      <c r="D109">
        <v>11.0600004</v>
      </c>
      <c r="E109"/>
      <c r="F109">
        <v>11.436999999999999</v>
      </c>
      <c r="G109" s="29">
        <f>Table22342102345678911[[#This Row],[Pierre]]-Table22342102345678911[[#This Row],[REF]]</f>
        <v>0.37699959999999955</v>
      </c>
      <c r="H109" s="29">
        <f>Table22342102345678911[[#This Row],[X-Y]]-E$20</f>
        <v>9.2424580000002976E-2</v>
      </c>
      <c r="I109" s="29">
        <f>Table22342102345678911[[#This Row],[Pierre]]-E$20</f>
        <v>11.152424980000003</v>
      </c>
      <c r="J109" s="29">
        <f>Table22342102345678911[[#This Row],[Pierre]]*E$21+E$22</f>
        <v>11.159054901642854</v>
      </c>
      <c r="K109" s="56">
        <f>Table22342102345678911[[#This Row],[Yest]]-Table22342102345678911[[#This Row],[REF]]</f>
        <v>9.905450164285412E-2</v>
      </c>
      <c r="L109" s="56">
        <f>ABS(Table22342102345678911[[#This Row],[RESyx]])</f>
        <v>9.905450164285412E-2</v>
      </c>
      <c r="M109" s="29">
        <f>Table22342102345678911[[#This Row],[Pierre]]*E$25+E$26</f>
        <v>11.161155540007364</v>
      </c>
      <c r="N109" s="29">
        <f>Table22342102345678911[[#This Row],[X-Y]]^2</f>
        <v>0.14212869840015965</v>
      </c>
      <c r="O109" s="57">
        <f>Table22342102345678911[[#This Row],[yest_rect]]-Table22342102345678911[[#This Row],[REF]]</f>
        <v>0.10115514000736425</v>
      </c>
      <c r="P109" s="57">
        <f>Table22342102345678911[[#This Row],[dif rec]]^2</f>
        <v>1.0232362349909464E-2</v>
      </c>
      <c r="Q109" s="57">
        <f>ABS(Table22342102345678911[[#This Row],[diff-bias]])</f>
        <v>9.2424580000002976E-2</v>
      </c>
      <c r="R109" s="57">
        <f ca="1">CELL("row",Table22342102345678911[[#This Row],[Position]])</f>
        <v>109</v>
      </c>
      <c r="S109" s="4">
        <f>Table22342102345678911[[#This Row],[REF]]-D$13</f>
        <v>5.0000149999998911E-2</v>
      </c>
      <c r="T109" s="4">
        <f>ABS(Table22342102345678911[[#This Row],[lab-med]])</f>
        <v>5.0000149999998911E-2</v>
      </c>
      <c r="U109" s="4">
        <f>Table22342102345678911[[#This Row],[Pierre]]-F$13</f>
        <v>0.15849999999999831</v>
      </c>
      <c r="V109" s="4">
        <f>ABS(Table22342102345678911[[#This Row],[anl-med]])</f>
        <v>0.15849999999999831</v>
      </c>
      <c r="W109" s="4">
        <f>Table22342102345678911[[#This Row],[lab-med]]*Table22342102345678911[[#This Row],[anl-med]]</f>
        <v>7.925023774999743E-3</v>
      </c>
    </row>
    <row r="110" spans="2:23" x14ac:dyDescent="0.25">
      <c r="B110" s="46">
        <f ca="1">VALUE((Table22342102345678911[[#This Row],[Column3]]-62))</f>
        <v>48</v>
      </c>
      <c r="C110" t="s">
        <v>116</v>
      </c>
      <c r="D110">
        <v>9.1000004000000008</v>
      </c>
      <c r="E110"/>
      <c r="F110">
        <v>10.103</v>
      </c>
      <c r="G110" s="29">
        <f>Table22342102345678911[[#This Row],[Pierre]]-Table22342102345678911[[#This Row],[REF]]</f>
        <v>1.002999599999999</v>
      </c>
      <c r="H110" s="29">
        <f>Table22342102345678911[[#This Row],[X-Y]]-E$20</f>
        <v>0.71842458000000242</v>
      </c>
      <c r="I110" s="29">
        <f>Table22342102345678911[[#This Row],[Pierre]]-E$20</f>
        <v>9.8184249800000032</v>
      </c>
      <c r="J110" s="29">
        <f>Table22342102345678911[[#This Row],[Pierre]]*E$21+E$22</f>
        <v>9.6190137724276532</v>
      </c>
      <c r="K110" s="56">
        <f>Table22342102345678911[[#This Row],[Yest]]-Table22342102345678911[[#This Row],[REF]]</f>
        <v>0.51901337242765244</v>
      </c>
      <c r="L110" s="56">
        <f>ABS(Table22342102345678911[[#This Row],[RESyx]])</f>
        <v>0.51901337242765244</v>
      </c>
      <c r="M110" s="29">
        <f>Table22342102345678911[[#This Row],[Pierre]]*E$25+E$26</f>
        <v>9.5558319046009448</v>
      </c>
      <c r="N110" s="29">
        <f>Table22342102345678911[[#This Row],[X-Y]]^2</f>
        <v>1.006008197600158</v>
      </c>
      <c r="O110" s="57">
        <f>Table22342102345678911[[#This Row],[yest_rect]]-Table22342102345678911[[#This Row],[REF]]</f>
        <v>0.45583150460094402</v>
      </c>
      <c r="P110" s="57">
        <f>Table22342102345678911[[#This Row],[dif rec]]^2</f>
        <v>0.20778236058676045</v>
      </c>
      <c r="Q110" s="57">
        <f>ABS(Table22342102345678911[[#This Row],[diff-bias]])</f>
        <v>0.71842458000000242</v>
      </c>
      <c r="R110" s="57">
        <f ca="1">CELL("row",Table22342102345678911[[#This Row],[Position]])</f>
        <v>110</v>
      </c>
      <c r="S110" s="4">
        <f>Table22342102345678911[[#This Row],[REF]]-D$13</f>
        <v>-1.9099998500000002</v>
      </c>
      <c r="T110" s="4">
        <f>ABS(Table22342102345678911[[#This Row],[lab-med]])</f>
        <v>1.9099998500000002</v>
      </c>
      <c r="U110" s="4">
        <f>Table22342102345678911[[#This Row],[Pierre]]-F$13</f>
        <v>-1.1755000000000013</v>
      </c>
      <c r="V110" s="4">
        <f>ABS(Table22342102345678911[[#This Row],[anl-med]])</f>
        <v>1.1755000000000013</v>
      </c>
      <c r="W110" s="4">
        <f>Table22342102345678911[[#This Row],[lab-med]]*Table22342102345678911[[#This Row],[anl-med]]</f>
        <v>2.2452048236750026</v>
      </c>
    </row>
    <row r="111" spans="2:23" x14ac:dyDescent="0.25">
      <c r="B111" s="46">
        <f ca="1">VALUE((Table22342102345678911[[#This Row],[Column3]]-62))</f>
        <v>49</v>
      </c>
      <c r="C111" t="s">
        <v>117</v>
      </c>
      <c r="D111">
        <v>8.9700003000000006</v>
      </c>
      <c r="E111"/>
      <c r="F111">
        <v>10.013999999999999</v>
      </c>
      <c r="G111" s="29">
        <f>Table22342102345678911[[#This Row],[Pierre]]-Table22342102345678911[[#This Row],[REF]]</f>
        <v>1.0439996999999988</v>
      </c>
      <c r="H111" s="29">
        <f>Table22342102345678911[[#This Row],[X-Y]]-E$20</f>
        <v>0.75942468000000218</v>
      </c>
      <c r="I111" s="29">
        <f>Table22342102345678911[[#This Row],[Pierre]]-E$20</f>
        <v>9.7294249800000028</v>
      </c>
      <c r="J111" s="29">
        <f>Table22342102345678911[[#This Row],[Pierre]]*E$21+E$22</f>
        <v>9.5162674002386325</v>
      </c>
      <c r="K111" s="56">
        <f>Table22342102345678911[[#This Row],[Yest]]-Table22342102345678911[[#This Row],[REF]]</f>
        <v>0.5462671002386319</v>
      </c>
      <c r="L111" s="56">
        <f>ABS(Table22342102345678911[[#This Row],[RESyx]])</f>
        <v>0.5462671002386319</v>
      </c>
      <c r="M111" s="29">
        <f>Table22342102345678911[[#This Row],[Pierre]]*E$25+E$26</f>
        <v>9.4487301028384465</v>
      </c>
      <c r="N111" s="29">
        <f>Table22342102345678911[[#This Row],[X-Y]]^2</f>
        <v>1.0899353736000874</v>
      </c>
      <c r="O111" s="57">
        <f>Table22342102345678911[[#This Row],[yest_rect]]-Table22342102345678911[[#This Row],[REF]]</f>
        <v>0.47872980283844591</v>
      </c>
      <c r="P111" s="57">
        <f>Table22342102345678911[[#This Row],[dif rec]]^2</f>
        <v>0.2291822241257373</v>
      </c>
      <c r="Q111" s="57">
        <f>ABS(Table22342102345678911[[#This Row],[diff-bias]])</f>
        <v>0.75942468000000218</v>
      </c>
      <c r="R111" s="57">
        <f ca="1">CELL("row",Table22342102345678911[[#This Row],[Position]])</f>
        <v>111</v>
      </c>
      <c r="S111" s="4">
        <f>Table22342102345678911[[#This Row],[REF]]-D$13</f>
        <v>-2.0399999500000003</v>
      </c>
      <c r="T111" s="4">
        <f>ABS(Table22342102345678911[[#This Row],[lab-med]])</f>
        <v>2.0399999500000003</v>
      </c>
      <c r="U111" s="4">
        <f>Table22342102345678911[[#This Row],[Pierre]]-F$13</f>
        <v>-1.2645000000000017</v>
      </c>
      <c r="V111" s="4">
        <f>ABS(Table22342102345678911[[#This Row],[anl-med]])</f>
        <v>1.2645000000000017</v>
      </c>
      <c r="W111" s="4">
        <f>Table22342102345678911[[#This Row],[lab-med]]*Table22342102345678911[[#This Row],[anl-med]]</f>
        <v>2.5795799367750041</v>
      </c>
    </row>
    <row r="112" spans="2:23" x14ac:dyDescent="0.25">
      <c r="B112" s="46">
        <f ca="1">VALUE((Table22342102345678911[[#This Row],[Column3]]-62))</f>
        <v>50</v>
      </c>
      <c r="C112" t="s">
        <v>118</v>
      </c>
      <c r="D112">
        <v>11.1199999</v>
      </c>
      <c r="E112"/>
      <c r="F112">
        <v>11.73</v>
      </c>
      <c r="G112" s="29">
        <f>Table22342102345678911[[#This Row],[Pierre]]-Table22342102345678911[[#This Row],[REF]]</f>
        <v>0.6100001000000006</v>
      </c>
      <c r="H112" s="29">
        <f>Table22342102345678911[[#This Row],[X-Y]]-E$20</f>
        <v>0.32542508000000403</v>
      </c>
      <c r="I112" s="29">
        <f>Table22342102345678911[[#This Row],[Pierre]]-E$20</f>
        <v>11.445424980000004</v>
      </c>
      <c r="J112" s="29">
        <f>Table22342102345678911[[#This Row],[Pierre]]*E$21+E$22</f>
        <v>11.497309812332551</v>
      </c>
      <c r="K112" s="56">
        <f>Table22342102345678911[[#This Row],[Yest]]-Table22342102345678911[[#This Row],[REF]]</f>
        <v>0.37730991233255118</v>
      </c>
      <c r="L112" s="56">
        <f>ABS(Table22342102345678911[[#This Row],[RESyx]])</f>
        <v>0.37730991233255118</v>
      </c>
      <c r="M112" s="29">
        <f>Table22342102345678911[[#This Row],[Pierre]]*E$25+E$26</f>
        <v>11.513749112101879</v>
      </c>
      <c r="N112" s="29">
        <f>Table22342102345678911[[#This Row],[X-Y]]^2</f>
        <v>0.37210012200001075</v>
      </c>
      <c r="O112" s="57">
        <f>Table22342102345678911[[#This Row],[yest_rect]]-Table22342102345678911[[#This Row],[REF]]</f>
        <v>0.39374921210187885</v>
      </c>
      <c r="P112" s="57">
        <f>Table22342102345678911[[#This Row],[dif rec]]^2</f>
        <v>0.15503844203085038</v>
      </c>
      <c r="Q112" s="57">
        <f>ABS(Table22342102345678911[[#This Row],[diff-bias]])</f>
        <v>0.32542508000000403</v>
      </c>
      <c r="R112" s="57">
        <f ca="1">CELL("row",Table22342102345678911[[#This Row],[Position]])</f>
        <v>112</v>
      </c>
      <c r="S112" s="4">
        <f>Table22342102345678911[[#This Row],[REF]]-D$13</f>
        <v>0.10999964999999889</v>
      </c>
      <c r="T112" s="4">
        <f>ABS(Table22342102345678911[[#This Row],[lab-med]])</f>
        <v>0.10999964999999889</v>
      </c>
      <c r="U112" s="4">
        <f>Table22342102345678911[[#This Row],[Pierre]]-F$13</f>
        <v>0.45149999999999935</v>
      </c>
      <c r="V112" s="4">
        <f>ABS(Table22342102345678911[[#This Row],[anl-med]])</f>
        <v>0.45149999999999935</v>
      </c>
      <c r="W112" s="4">
        <f>Table22342102345678911[[#This Row],[lab-med]]*Table22342102345678911[[#This Row],[anl-med]]</f>
        <v>4.966484197499943E-2</v>
      </c>
    </row>
    <row r="113" spans="2:23" x14ac:dyDescent="0.25">
      <c r="B113" s="46">
        <f ca="1">VALUE((Table22342102345678911[[#This Row],[Column3]]-62))</f>
        <v>51</v>
      </c>
      <c r="C113" t="s">
        <v>119</v>
      </c>
      <c r="D113">
        <v>9.2299994999999999</v>
      </c>
      <c r="E113"/>
      <c r="F113">
        <v>9.7609999999999992</v>
      </c>
      <c r="G113" s="29">
        <f>Table22342102345678911[[#This Row],[Pierre]]-Table22342102345678911[[#This Row],[REF]]</f>
        <v>0.53100049999999932</v>
      </c>
      <c r="H113" s="29">
        <f>Table22342102345678911[[#This Row],[X-Y]]-E$20</f>
        <v>0.24642548000000275</v>
      </c>
      <c r="I113" s="29">
        <f>Table22342102345678911[[#This Row],[Pierre]]-E$20</f>
        <v>9.4764249800000027</v>
      </c>
      <c r="J113" s="29">
        <f>Table22342102345678911[[#This Row],[Pierre]]*E$21+E$22</f>
        <v>9.2241906343529898</v>
      </c>
      <c r="K113" s="56">
        <f>Table22342102345678911[[#This Row],[Yest]]-Table22342102345678911[[#This Row],[REF]]</f>
        <v>-5.8088656470101085E-3</v>
      </c>
      <c r="L113" s="56">
        <f>ABS(Table22342102345678911[[#This Row],[RESyx]])</f>
        <v>5.8088656470101085E-3</v>
      </c>
      <c r="M113" s="29">
        <f>Table22342102345678911[[#This Row],[Pierre]]*E$25+E$26</f>
        <v>9.144272171985504</v>
      </c>
      <c r="N113" s="29">
        <f>Table22342102345678911[[#This Row],[X-Y]]^2</f>
        <v>0.28196153100024929</v>
      </c>
      <c r="O113" s="57">
        <f>Table22342102345678911[[#This Row],[yest_rect]]-Table22342102345678911[[#This Row],[REF]]</f>
        <v>-8.5727328014495896E-2</v>
      </c>
      <c r="P113" s="57">
        <f>Table22342102345678911[[#This Row],[dif rec]]^2</f>
        <v>7.3491747685049732E-3</v>
      </c>
      <c r="Q113" s="57">
        <f>ABS(Table22342102345678911[[#This Row],[diff-bias]])</f>
        <v>0.24642548000000275</v>
      </c>
      <c r="R113" s="57">
        <f ca="1">CELL("row",Table22342102345678911[[#This Row],[Position]])</f>
        <v>113</v>
      </c>
      <c r="S113" s="4">
        <f>Table22342102345678911[[#This Row],[REF]]-D$13</f>
        <v>-1.780000750000001</v>
      </c>
      <c r="T113" s="4">
        <f>ABS(Table22342102345678911[[#This Row],[lab-med]])</f>
        <v>1.780000750000001</v>
      </c>
      <c r="U113" s="4">
        <f>Table22342102345678911[[#This Row],[Pierre]]-F$13</f>
        <v>-1.5175000000000018</v>
      </c>
      <c r="V113" s="4">
        <f>ABS(Table22342102345678911[[#This Row],[anl-med]])</f>
        <v>1.5175000000000018</v>
      </c>
      <c r="W113" s="4">
        <f>Table22342102345678911[[#This Row],[lab-med]]*Table22342102345678911[[#This Row],[anl-med]]</f>
        <v>2.7011511381250046</v>
      </c>
    </row>
    <row r="114" spans="2:23" x14ac:dyDescent="0.25">
      <c r="B114" s="46">
        <f ca="1">VALUE((Table22342102345678911[[#This Row],[Column3]]-62))</f>
        <v>52</v>
      </c>
      <c r="C114" t="s">
        <v>120</v>
      </c>
      <c r="D114">
        <v>11.2299995</v>
      </c>
      <c r="E114"/>
      <c r="F114">
        <v>11.792999999999999</v>
      </c>
      <c r="G114" s="29">
        <f>Table22342102345678911[[#This Row],[Pierre]]-Table22342102345678911[[#This Row],[REF]]</f>
        <v>0.56300049999999935</v>
      </c>
      <c r="H114" s="29">
        <f>Table22342102345678911[[#This Row],[X-Y]]-E$20</f>
        <v>0.27842548000000278</v>
      </c>
      <c r="I114" s="29">
        <f>Table22342102345678911[[#This Row],[Pierre]]-E$20</f>
        <v>11.508424980000003</v>
      </c>
      <c r="J114" s="29">
        <f>Table22342102345678911[[#This Row],[Pierre]]*E$21+E$22</f>
        <v>11.570040390398935</v>
      </c>
      <c r="K114" s="56">
        <f>Table22342102345678911[[#This Row],[Yest]]-Table22342102345678911[[#This Row],[REF]]</f>
        <v>0.34004089039893515</v>
      </c>
      <c r="L114" s="56">
        <f>ABS(Table22342102345678911[[#This Row],[RESyx]])</f>
        <v>0.34004089039893515</v>
      </c>
      <c r="M114" s="29">
        <f>Table22342102345678911[[#This Row],[Pierre]]*E$25+E$26</f>
        <v>11.589562747057352</v>
      </c>
      <c r="N114" s="29">
        <f>Table22342102345678911[[#This Row],[X-Y]]^2</f>
        <v>0.31696956300024925</v>
      </c>
      <c r="O114" s="57">
        <f>Table22342102345678911[[#This Row],[yest_rect]]-Table22342102345678911[[#This Row],[REF]]</f>
        <v>0.35956324705735199</v>
      </c>
      <c r="P114" s="57">
        <f>Table22342102345678911[[#This Row],[dif rec]]^2</f>
        <v>0.12928572863442633</v>
      </c>
      <c r="Q114" s="57">
        <f>ABS(Table22342102345678911[[#This Row],[diff-bias]])</f>
        <v>0.27842548000000278</v>
      </c>
      <c r="R114" s="57">
        <f ca="1">CELL("row",Table22342102345678911[[#This Row],[Position]])</f>
        <v>114</v>
      </c>
      <c r="S114" s="4">
        <f>Table22342102345678911[[#This Row],[REF]]-D$13</f>
        <v>0.21999924999999898</v>
      </c>
      <c r="T114" s="4">
        <f>ABS(Table22342102345678911[[#This Row],[lab-med]])</f>
        <v>0.21999924999999898</v>
      </c>
      <c r="U114" s="4">
        <f>Table22342102345678911[[#This Row],[Pierre]]-F$13</f>
        <v>0.51449999999999818</v>
      </c>
      <c r="V114" s="4">
        <f>ABS(Table22342102345678911[[#This Row],[anl-med]])</f>
        <v>0.51449999999999818</v>
      </c>
      <c r="W114" s="4">
        <f>Table22342102345678911[[#This Row],[lab-med]]*Table22342102345678911[[#This Row],[anl-med]]</f>
        <v>0.11318961412499907</v>
      </c>
    </row>
    <row r="115" spans="2:23" x14ac:dyDescent="0.25">
      <c r="B115" s="46">
        <f ca="1">VALUE((Table22342102345678911[[#This Row],[Column3]]-62))</f>
        <v>53</v>
      </c>
      <c r="C115" t="s">
        <v>121</v>
      </c>
      <c r="D115">
        <v>11.2299995</v>
      </c>
      <c r="E115"/>
      <c r="F115">
        <v>11.625</v>
      </c>
      <c r="G115" s="29">
        <f>Table22342102345678911[[#This Row],[Pierre]]-Table22342102345678911[[#This Row],[REF]]</f>
        <v>0.39500050000000009</v>
      </c>
      <c r="H115" s="29">
        <f>Table22342102345678911[[#This Row],[X-Y]]-E$20</f>
        <v>0.11042548000000352</v>
      </c>
      <c r="I115" s="29">
        <f>Table22342102345678911[[#This Row],[Pierre]]-E$20</f>
        <v>11.340424980000003</v>
      </c>
      <c r="J115" s="29">
        <f>Table22342102345678911[[#This Row],[Pierre]]*E$21+E$22</f>
        <v>11.376092182221909</v>
      </c>
      <c r="K115" s="56">
        <f>Table22342102345678911[[#This Row],[Yest]]-Table22342102345678911[[#This Row],[REF]]</f>
        <v>0.14609268222190863</v>
      </c>
      <c r="L115" s="56">
        <f>ABS(Table22342102345678911[[#This Row],[RESyx]])</f>
        <v>0.14609268222190863</v>
      </c>
      <c r="M115" s="29">
        <f>Table22342102345678911[[#This Row],[Pierre]]*E$25+E$26</f>
        <v>11.387393053842752</v>
      </c>
      <c r="N115" s="29">
        <f>Table22342102345678911[[#This Row],[X-Y]]^2</f>
        <v>0.15602539500025006</v>
      </c>
      <c r="O115" s="57">
        <f>Table22342102345678911[[#This Row],[yest_rect]]-Table22342102345678911[[#This Row],[REF]]</f>
        <v>0.157393553842752</v>
      </c>
      <c r="P115" s="57">
        <f>Table22342102345678911[[#This Row],[dif rec]]^2</f>
        <v>2.4772730791251273E-2</v>
      </c>
      <c r="Q115" s="57">
        <f>ABS(Table22342102345678911[[#This Row],[diff-bias]])</f>
        <v>0.11042548000000352</v>
      </c>
      <c r="R115" s="57">
        <f ca="1">CELL("row",Table22342102345678911[[#This Row],[Position]])</f>
        <v>115</v>
      </c>
      <c r="S115" s="4">
        <f>Table22342102345678911[[#This Row],[REF]]-D$13</f>
        <v>0.21999924999999898</v>
      </c>
      <c r="T115" s="4">
        <f>ABS(Table22342102345678911[[#This Row],[lab-med]])</f>
        <v>0.21999924999999898</v>
      </c>
      <c r="U115" s="4">
        <f>Table22342102345678911[[#This Row],[Pierre]]-F$13</f>
        <v>0.34649999999999892</v>
      </c>
      <c r="V115" s="4">
        <f>ABS(Table22342102345678911[[#This Row],[anl-med]])</f>
        <v>0.34649999999999892</v>
      </c>
      <c r="W115" s="4">
        <f>Table22342102345678911[[#This Row],[lab-med]]*Table22342102345678911[[#This Row],[anl-med]]</f>
        <v>7.6229740124999404E-2</v>
      </c>
    </row>
    <row r="116" spans="2:23" x14ac:dyDescent="0.25">
      <c r="B116" s="46">
        <f ca="1">VALUE((Table22342102345678911[[#This Row],[Column3]]-62))</f>
        <v>54</v>
      </c>
      <c r="C116" t="s">
        <v>122</v>
      </c>
      <c r="D116">
        <v>11.2399998</v>
      </c>
      <c r="E116"/>
      <c r="F116">
        <v>11.473000000000001</v>
      </c>
      <c r="G116" s="29">
        <f>Table22342102345678911[[#This Row],[Pierre]]-Table22342102345678911[[#This Row],[REF]]</f>
        <v>0.2330002000000011</v>
      </c>
      <c r="H116" s="29">
        <f>Table22342102345678911[[#This Row],[X-Y]]-E$20</f>
        <v>-5.1574819999995469E-2</v>
      </c>
      <c r="I116" s="29">
        <f>Table22342102345678911[[#This Row],[Pierre]]-E$20</f>
        <v>11.188424980000004</v>
      </c>
      <c r="J116" s="29">
        <f>Table22342102345678911[[#This Row],[Pierre]]*E$21+E$22</f>
        <v>11.200615231966504</v>
      </c>
      <c r="K116" s="56">
        <f>Table22342102345678911[[#This Row],[Yest]]-Table22342102345678911[[#This Row],[REF]]</f>
        <v>-3.9384568033495881E-2</v>
      </c>
      <c r="L116" s="56">
        <f>ABS(Table22342102345678911[[#This Row],[RESyx]])</f>
        <v>3.9384568033495881E-2</v>
      </c>
      <c r="M116" s="29">
        <f>Table22342102345678911[[#This Row],[Pierre]]*E$25+E$26</f>
        <v>11.20447761712478</v>
      </c>
      <c r="N116" s="29">
        <f>Table22342102345678911[[#This Row],[X-Y]]^2</f>
        <v>5.4289093200040515E-2</v>
      </c>
      <c r="O116" s="57">
        <f>Table22342102345678911[[#This Row],[yest_rect]]-Table22342102345678911[[#This Row],[REF]]</f>
        <v>-3.5522182875219244E-2</v>
      </c>
      <c r="P116" s="57">
        <f>Table22342102345678911[[#This Row],[dif rec]]^2</f>
        <v>1.2618254762205192E-3</v>
      </c>
      <c r="Q116" s="57">
        <f>ABS(Table22342102345678911[[#This Row],[diff-bias]])</f>
        <v>5.1574819999995469E-2</v>
      </c>
      <c r="R116" s="57">
        <f ca="1">CELL("row",Table22342102345678911[[#This Row],[Position]])</f>
        <v>116</v>
      </c>
      <c r="S116" s="4">
        <f>Table22342102345678911[[#This Row],[REF]]-D$13</f>
        <v>0.22999954999999872</v>
      </c>
      <c r="T116" s="4">
        <f>ABS(Table22342102345678911[[#This Row],[lab-med]])</f>
        <v>0.22999954999999872</v>
      </c>
      <c r="U116" s="4">
        <f>Table22342102345678911[[#This Row],[Pierre]]-F$13</f>
        <v>0.19449999999999967</v>
      </c>
      <c r="V116" s="4">
        <f>ABS(Table22342102345678911[[#This Row],[anl-med]])</f>
        <v>0.19449999999999967</v>
      </c>
      <c r="W116" s="4">
        <f>Table22342102345678911[[#This Row],[lab-med]]*Table22342102345678911[[#This Row],[anl-med]]</f>
        <v>4.4734912474999673E-2</v>
      </c>
    </row>
    <row r="117" spans="2:23" x14ac:dyDescent="0.25">
      <c r="B117" s="46">
        <f ca="1">VALUE((Table22342102345678911[[#This Row],[Column3]]-62))</f>
        <v>55</v>
      </c>
      <c r="C117" t="s">
        <v>123</v>
      </c>
      <c r="D117">
        <v>12.5600004</v>
      </c>
      <c r="E117"/>
      <c r="F117">
        <v>12.317</v>
      </c>
      <c r="G117" s="29">
        <f>Table22342102345678911[[#This Row],[Pierre]]-Table22342102345678911[[#This Row],[REF]]</f>
        <v>-0.24300039999999967</v>
      </c>
      <c r="H117" s="29">
        <f>Table22342102345678911[[#This Row],[X-Y]]-E$20</f>
        <v>-0.52757541999999624</v>
      </c>
      <c r="I117" s="29">
        <f>Table22342102345678911[[#This Row],[Pierre]]-E$20</f>
        <v>12.032424980000004</v>
      </c>
      <c r="J117" s="29">
        <f>Table22342102345678911[[#This Row],[Pierre]]*E$21+E$22</f>
        <v>12.174974087332043</v>
      </c>
      <c r="K117" s="56">
        <f>Table22342102345678911[[#This Row],[Yest]]-Table22342102345678911[[#This Row],[REF]]</f>
        <v>-0.38502631266795717</v>
      </c>
      <c r="L117" s="56">
        <f>ABS(Table22342102345678911[[#This Row],[RESyx]])</f>
        <v>0.38502631266795717</v>
      </c>
      <c r="M117" s="29">
        <f>Table22342102345678911[[#This Row],[Pierre]]*E$25+E$26</f>
        <v>12.220139647321945</v>
      </c>
      <c r="N117" s="29">
        <f>Table22342102345678911[[#This Row],[X-Y]]^2</f>
        <v>5.9049194400159842E-2</v>
      </c>
      <c r="O117" s="57">
        <f>Table22342102345678911[[#This Row],[yest_rect]]-Table22342102345678911[[#This Row],[REF]]</f>
        <v>-0.33986075267805482</v>
      </c>
      <c r="P117" s="57">
        <f>Table22342102345678911[[#This Row],[dif rec]]^2</f>
        <v>0.11550533121089394</v>
      </c>
      <c r="Q117" s="57">
        <f>ABS(Table22342102345678911[[#This Row],[diff-bias]])</f>
        <v>0.52757541999999624</v>
      </c>
      <c r="R117" s="57">
        <f ca="1">CELL("row",Table22342102345678911[[#This Row],[Position]])</f>
        <v>117</v>
      </c>
      <c r="S117" s="4">
        <f>Table22342102345678911[[#This Row],[REF]]-D$13</f>
        <v>1.5500001499999989</v>
      </c>
      <c r="T117" s="4">
        <f>ABS(Table22342102345678911[[#This Row],[lab-med]])</f>
        <v>1.5500001499999989</v>
      </c>
      <c r="U117" s="4">
        <f>Table22342102345678911[[#This Row],[Pierre]]-F$13</f>
        <v>1.0384999999999991</v>
      </c>
      <c r="V117" s="4">
        <f>ABS(Table22342102345678911[[#This Row],[anl-med]])</f>
        <v>1.0384999999999991</v>
      </c>
      <c r="W117" s="4">
        <f>Table22342102345678911[[#This Row],[lab-med]]*Table22342102345678911[[#This Row],[anl-med]]</f>
        <v>1.6096751557749975</v>
      </c>
    </row>
    <row r="118" spans="2:23" x14ac:dyDescent="0.25">
      <c r="B118" s="46">
        <f ca="1">VALUE((Table22342102345678911[[#This Row],[Column3]]-62))</f>
        <v>56</v>
      </c>
      <c r="C118" t="s">
        <v>124</v>
      </c>
      <c r="D118">
        <v>10.0699997</v>
      </c>
      <c r="E118"/>
      <c r="F118">
        <v>10.215999999999999</v>
      </c>
      <c r="G118" s="29">
        <f>Table22342102345678911[[#This Row],[Pierre]]-Table22342102345678911[[#This Row],[REF]]</f>
        <v>0.14600029999999897</v>
      </c>
      <c r="H118" s="29">
        <f>Table22342102345678911[[#This Row],[X-Y]]-E$20</f>
        <v>-0.1385747199999976</v>
      </c>
      <c r="I118" s="29">
        <f>Table22342102345678911[[#This Row],[Pierre]]-E$20</f>
        <v>9.9314249800000027</v>
      </c>
      <c r="J118" s="29">
        <f>Table22342102345678911[[#This Row],[Pierre]]*E$21+E$22</f>
        <v>9.7494670314991048</v>
      </c>
      <c r="K118" s="56">
        <f>Table22342102345678911[[#This Row],[Yest]]-Table22342102345678911[[#This Row],[REF]]</f>
        <v>-0.32053266850089557</v>
      </c>
      <c r="L118" s="56">
        <f>ABS(Table22342102345678911[[#This Row],[RESyx]])</f>
        <v>0.32053266850089557</v>
      </c>
      <c r="M118" s="29">
        <f>Table22342102345678911[[#This Row],[Pierre]]*E$25+E$26</f>
        <v>9.6918150911083849</v>
      </c>
      <c r="N118" s="29">
        <f>Table22342102345678911[[#This Row],[X-Y]]^2</f>
        <v>2.1316087600089701E-2</v>
      </c>
      <c r="O118" s="57">
        <f>Table22342102345678911[[#This Row],[yest_rect]]-Table22342102345678911[[#This Row],[REF]]</f>
        <v>-0.37818460889161543</v>
      </c>
      <c r="P118" s="57">
        <f>Table22342102345678911[[#This Row],[dif rec]]^2</f>
        <v>0.14302359840250412</v>
      </c>
      <c r="Q118" s="57">
        <f>ABS(Table22342102345678911[[#This Row],[diff-bias]])</f>
        <v>0.1385747199999976</v>
      </c>
      <c r="R118" s="57">
        <f ca="1">CELL("row",Table22342102345678911[[#This Row],[Position]])</f>
        <v>118</v>
      </c>
      <c r="S118" s="4">
        <f>Table22342102345678911[[#This Row],[REF]]-D$13</f>
        <v>-0.9400005500000006</v>
      </c>
      <c r="T118" s="4">
        <f>ABS(Table22342102345678911[[#This Row],[lab-med]])</f>
        <v>0.9400005500000006</v>
      </c>
      <c r="U118" s="4">
        <f>Table22342102345678911[[#This Row],[Pierre]]-F$13</f>
        <v>-1.0625000000000018</v>
      </c>
      <c r="V118" s="4">
        <f>ABS(Table22342102345678911[[#This Row],[anl-med]])</f>
        <v>1.0625000000000018</v>
      </c>
      <c r="W118" s="4">
        <f>Table22342102345678911[[#This Row],[lab-med]]*Table22342102345678911[[#This Row],[anl-med]]</f>
        <v>0.9987505843750023</v>
      </c>
    </row>
    <row r="119" spans="2:23" x14ac:dyDescent="0.25">
      <c r="B119" s="46">
        <f ca="1">VALUE((Table22342102345678911[[#This Row],[Column3]]-62))</f>
        <v>57</v>
      </c>
      <c r="C119" t="s">
        <v>125</v>
      </c>
      <c r="D119">
        <v>9.9399996000000002</v>
      </c>
      <c r="E119"/>
      <c r="F119">
        <v>10.353</v>
      </c>
      <c r="G119" s="29">
        <f>Table22342102345678911[[#This Row],[Pierre]]-Table22342102345678911[[#This Row],[REF]]</f>
        <v>0.4130003999999996</v>
      </c>
      <c r="H119" s="29">
        <f>Table22342102345678911[[#This Row],[X-Y]]-E$20</f>
        <v>0.12842538000000303</v>
      </c>
      <c r="I119" s="29">
        <f>Table22342102345678911[[#This Row],[Pierre]]-E$20</f>
        <v>10.068424980000003</v>
      </c>
      <c r="J119" s="29">
        <f>Table22342102345678911[[#This Row],[Pierre]]*E$21+E$22</f>
        <v>9.9076271774529907</v>
      </c>
      <c r="K119" s="56">
        <f>Table22342102345678911[[#This Row],[Yest]]-Table22342102345678911[[#This Row],[REF]]</f>
        <v>-3.237242254700945E-2</v>
      </c>
      <c r="L119" s="56">
        <f>ABS(Table22342102345678911[[#This Row],[RESyx]])</f>
        <v>3.237242254700945E-2</v>
      </c>
      <c r="M119" s="29">
        <f>Table22342102345678911[[#This Row],[Pierre]]*E$25+E$26</f>
        <v>9.8566796623607686</v>
      </c>
      <c r="N119" s="29">
        <f>Table22342102345678911[[#This Row],[X-Y]]^2</f>
        <v>0.17056933040015967</v>
      </c>
      <c r="O119" s="57">
        <f>Table22342102345678911[[#This Row],[yest_rect]]-Table22342102345678911[[#This Row],[REF]]</f>
        <v>-8.3319937639231512E-2</v>
      </c>
      <c r="P119" s="57">
        <f>Table22342102345678911[[#This Row],[dif rec]]^2</f>
        <v>6.9422120082054282E-3</v>
      </c>
      <c r="Q119" s="57">
        <f>ABS(Table22342102345678911[[#This Row],[diff-bias]])</f>
        <v>0.12842538000000303</v>
      </c>
      <c r="R119" s="57">
        <f ca="1">CELL("row",Table22342102345678911[[#This Row],[Position]])</f>
        <v>119</v>
      </c>
      <c r="S119" s="4">
        <f>Table22342102345678911[[#This Row],[REF]]-D$13</f>
        <v>-1.0700006500000008</v>
      </c>
      <c r="T119" s="4">
        <f>ABS(Table22342102345678911[[#This Row],[lab-med]])</f>
        <v>1.0700006500000008</v>
      </c>
      <c r="U119" s="4">
        <f>Table22342102345678911[[#This Row],[Pierre]]-F$13</f>
        <v>-0.92550000000000132</v>
      </c>
      <c r="V119" s="4">
        <f>ABS(Table22342102345678911[[#This Row],[anl-med]])</f>
        <v>0.92550000000000132</v>
      </c>
      <c r="W119" s="4">
        <f>Table22342102345678911[[#This Row],[lab-med]]*Table22342102345678911[[#This Row],[anl-med]]</f>
        <v>0.99028560157500212</v>
      </c>
    </row>
    <row r="120" spans="2:23" x14ac:dyDescent="0.25">
      <c r="B120" s="46">
        <f ca="1">VALUE((Table22342102345678911[[#This Row],[Column3]]-62))</f>
        <v>58</v>
      </c>
      <c r="C120" t="s">
        <v>126</v>
      </c>
      <c r="D120">
        <v>10.2399998</v>
      </c>
      <c r="E120"/>
      <c r="F120">
        <v>10.573</v>
      </c>
      <c r="G120" s="29">
        <f>Table22342102345678911[[#This Row],[Pierre]]-Table22342102345678911[[#This Row],[REF]]</f>
        <v>0.33300020000000075</v>
      </c>
      <c r="H120" s="29">
        <f>Table22342102345678911[[#This Row],[X-Y]]-E$20</f>
        <v>4.8425180000004175E-2</v>
      </c>
      <c r="I120" s="29">
        <f>Table22342102345678911[[#This Row],[Pierre]]-E$20</f>
        <v>10.288424980000004</v>
      </c>
      <c r="J120" s="29">
        <f>Table22342102345678911[[#This Row],[Pierre]]*E$21+E$22</f>
        <v>10.161606973875289</v>
      </c>
      <c r="K120" s="56">
        <f>Table22342102345678911[[#This Row],[Yest]]-Table22342102345678911[[#This Row],[REF]]</f>
        <v>-7.8392826124710879E-2</v>
      </c>
      <c r="L120" s="56">
        <f>ABS(Table22342102345678911[[#This Row],[RESyx]])</f>
        <v>7.8392826124710879E-2</v>
      </c>
      <c r="M120" s="29">
        <f>Table22342102345678911[[#This Row],[Pierre]]*E$25+E$26</f>
        <v>10.121425689189413</v>
      </c>
      <c r="N120" s="29">
        <f>Table22342102345678911[[#This Row],[X-Y]]^2</f>
        <v>0.1108891332000405</v>
      </c>
      <c r="O120" s="57">
        <f>Table22342102345678911[[#This Row],[yest_rect]]-Table22342102345678911[[#This Row],[REF]]</f>
        <v>-0.11857411081058622</v>
      </c>
      <c r="P120" s="57">
        <f>Table22342102345678911[[#This Row],[dif rec]]^2</f>
        <v>1.4059819754521179E-2</v>
      </c>
      <c r="Q120" s="57">
        <f>ABS(Table22342102345678911[[#This Row],[diff-bias]])</f>
        <v>4.8425180000004175E-2</v>
      </c>
      <c r="R120" s="57">
        <f ca="1">CELL("row",Table22342102345678911[[#This Row],[Position]])</f>
        <v>120</v>
      </c>
      <c r="S120" s="4">
        <f>Table22342102345678911[[#This Row],[REF]]-D$13</f>
        <v>-0.77000045000000128</v>
      </c>
      <c r="T120" s="4">
        <f>ABS(Table22342102345678911[[#This Row],[lab-med]])</f>
        <v>0.77000045000000128</v>
      </c>
      <c r="U120" s="4">
        <f>Table22342102345678911[[#This Row],[Pierre]]-F$13</f>
        <v>-0.70550000000000068</v>
      </c>
      <c r="V120" s="4">
        <f>ABS(Table22342102345678911[[#This Row],[anl-med]])</f>
        <v>0.70550000000000068</v>
      </c>
      <c r="W120" s="4">
        <f>Table22342102345678911[[#This Row],[lab-med]]*Table22342102345678911[[#This Row],[anl-med]]</f>
        <v>0.54323531747500142</v>
      </c>
    </row>
    <row r="121" spans="2:23" x14ac:dyDescent="0.25">
      <c r="B121" s="46">
        <f ca="1">VALUE((Table22342102345678911[[#This Row],[Column3]]-62))</f>
        <v>59</v>
      </c>
      <c r="C121" t="s">
        <v>127</v>
      </c>
      <c r="D121">
        <v>11.420000099999999</v>
      </c>
      <c r="E121"/>
      <c r="F121">
        <v>11.76</v>
      </c>
      <c r="G121" s="29">
        <f>Table22342102345678911[[#This Row],[Pierre]]-Table22342102345678911[[#This Row],[REF]]</f>
        <v>0.33999990000000047</v>
      </c>
      <c r="H121" s="29">
        <f>Table22342102345678911[[#This Row],[X-Y]]-E$20</f>
        <v>5.5424880000003895E-2</v>
      </c>
      <c r="I121" s="29">
        <f>Table22342102345678911[[#This Row],[Pierre]]-E$20</f>
        <v>11.475424980000003</v>
      </c>
      <c r="J121" s="29">
        <f>Table22342102345678911[[#This Row],[Pierre]]*E$21+E$22</f>
        <v>11.53194342093559</v>
      </c>
      <c r="K121" s="56">
        <f>Table22342102345678911[[#This Row],[Yest]]-Table22342102345678911[[#This Row],[REF]]</f>
        <v>0.11194332093559112</v>
      </c>
      <c r="L121" s="56">
        <f>ABS(Table22342102345678911[[#This Row],[RESyx]])</f>
        <v>0.11194332093559112</v>
      </c>
      <c r="M121" s="29">
        <f>Table22342102345678911[[#This Row],[Pierre]]*E$25+E$26</f>
        <v>11.549850843033056</v>
      </c>
      <c r="N121" s="29">
        <f>Table22342102345678911[[#This Row],[X-Y]]^2</f>
        <v>0.11559993200001031</v>
      </c>
      <c r="O121" s="57">
        <f>Table22342102345678911[[#This Row],[yest_rect]]-Table22342102345678911[[#This Row],[REF]]</f>
        <v>0.12985074303305666</v>
      </c>
      <c r="P121" s="57">
        <f>Table22342102345678911[[#This Row],[dif rec]]^2</f>
        <v>1.6861215466236913E-2</v>
      </c>
      <c r="Q121" s="57">
        <f>ABS(Table22342102345678911[[#This Row],[diff-bias]])</f>
        <v>5.5424880000003895E-2</v>
      </c>
      <c r="R121" s="57">
        <f ca="1">CELL("row",Table22342102345678911[[#This Row],[Position]])</f>
        <v>121</v>
      </c>
      <c r="S121" s="4">
        <f>Table22342102345678911[[#This Row],[REF]]-D$13</f>
        <v>0.40999984999999839</v>
      </c>
      <c r="T121" s="4">
        <f>ABS(Table22342102345678911[[#This Row],[lab-med]])</f>
        <v>0.40999984999999839</v>
      </c>
      <c r="U121" s="4">
        <f>Table22342102345678911[[#This Row],[Pierre]]-F$13</f>
        <v>0.48149999999999871</v>
      </c>
      <c r="V121" s="4">
        <f>ABS(Table22342102345678911[[#This Row],[anl-med]])</f>
        <v>0.48149999999999871</v>
      </c>
      <c r="W121" s="4">
        <f>Table22342102345678911[[#This Row],[lab-med]]*Table22342102345678911[[#This Row],[anl-med]]</f>
        <v>0.19741492777499869</v>
      </c>
    </row>
    <row r="122" spans="2:23" x14ac:dyDescent="0.25">
      <c r="B122" s="46">
        <f ca="1">VALUE((Table22342102345678911[[#This Row],[Column3]]-62))</f>
        <v>60</v>
      </c>
      <c r="C122" t="s">
        <v>128</v>
      </c>
      <c r="D122">
        <v>10.5</v>
      </c>
      <c r="E122"/>
      <c r="F122">
        <v>10.827</v>
      </c>
      <c r="G122" s="29">
        <f>Table22342102345678911[[#This Row],[Pierre]]-Table22342102345678911[[#This Row],[REF]]</f>
        <v>0.32699999999999996</v>
      </c>
      <c r="H122" s="29">
        <f>Table22342102345678911[[#This Row],[X-Y]]-E$20</f>
        <v>4.2424980000003387E-2</v>
      </c>
      <c r="I122" s="29">
        <f>Table22342102345678911[[#This Row],[Pierre]]-E$20</f>
        <v>10.542424980000003</v>
      </c>
      <c r="J122" s="29">
        <f>Table22342102345678911[[#This Row],[Pierre]]*E$21+E$22</f>
        <v>10.454838193381031</v>
      </c>
      <c r="K122" s="56">
        <f>Table22342102345678911[[#This Row],[Yest]]-Table22342102345678911[[#This Row],[REF]]</f>
        <v>-4.516180661896918E-2</v>
      </c>
      <c r="L122" s="56">
        <f>ABS(Table22342102345678911[[#This Row],[RESyx]])</f>
        <v>4.516180661896918E-2</v>
      </c>
      <c r="M122" s="29">
        <f>Table22342102345678911[[#This Row],[Pierre]]*E$25+E$26</f>
        <v>10.427087011073395</v>
      </c>
      <c r="N122" s="29">
        <f>Table22342102345678911[[#This Row],[X-Y]]^2</f>
        <v>0.10692899999999997</v>
      </c>
      <c r="O122" s="57">
        <f>Table22342102345678911[[#This Row],[yest_rect]]-Table22342102345678911[[#This Row],[REF]]</f>
        <v>-7.2912988926605138E-2</v>
      </c>
      <c r="P122" s="57">
        <f>Table22342102345678911[[#This Row],[dif rec]]^2</f>
        <v>5.3163039542112435E-3</v>
      </c>
      <c r="Q122" s="57">
        <f>ABS(Table22342102345678911[[#This Row],[diff-bias]])</f>
        <v>4.2424980000003387E-2</v>
      </c>
      <c r="R122" s="57">
        <f ca="1">CELL("row",Table22342102345678911[[#This Row],[Position]])</f>
        <v>122</v>
      </c>
      <c r="S122" s="4">
        <f>Table22342102345678911[[#This Row],[REF]]-D$13</f>
        <v>-0.51000025000000093</v>
      </c>
      <c r="T122" s="4">
        <f>ABS(Table22342102345678911[[#This Row],[lab-med]])</f>
        <v>0.51000025000000093</v>
      </c>
      <c r="U122" s="4">
        <f>Table22342102345678911[[#This Row],[Pierre]]-F$13</f>
        <v>-0.45150000000000112</v>
      </c>
      <c r="V122" s="4">
        <f>ABS(Table22342102345678911[[#This Row],[anl-med]])</f>
        <v>0.45150000000000112</v>
      </c>
      <c r="W122" s="4">
        <f>Table22342102345678911[[#This Row],[lab-med]]*Table22342102345678911[[#This Row],[anl-med]]</f>
        <v>0.23026511287500098</v>
      </c>
    </row>
    <row r="123" spans="2:23" x14ac:dyDescent="0.25">
      <c r="B123" s="46">
        <f ca="1">VALUE((Table22342102345678911[[#This Row],[Column3]]-62))</f>
        <v>61</v>
      </c>
      <c r="C123" t="s">
        <v>129</v>
      </c>
      <c r="D123">
        <v>13.140000300000001</v>
      </c>
      <c r="E123"/>
      <c r="F123">
        <v>12.938000000000001</v>
      </c>
      <c r="G123" s="29">
        <f>Table22342102345678911[[#This Row],[Pierre]]-Table22342102345678911[[#This Row],[REF]]</f>
        <v>-0.20200029999999991</v>
      </c>
      <c r="H123" s="29">
        <f>Table22342102345678911[[#This Row],[X-Y]]-E$20</f>
        <v>-0.48657531999999648</v>
      </c>
      <c r="I123" s="29">
        <f>Table22342102345678911[[#This Row],[Pierre]]-E$20</f>
        <v>12.653424980000004</v>
      </c>
      <c r="J123" s="29">
        <f>Table22342102345678911[[#This Row],[Pierre]]*E$21+E$22</f>
        <v>12.891889785414982</v>
      </c>
      <c r="K123" s="56">
        <f>Table22342102345678911[[#This Row],[Yest]]-Table22342102345678911[[#This Row],[REF]]</f>
        <v>-0.24811051458501865</v>
      </c>
      <c r="L123" s="56">
        <f>ABS(Table22342102345678911[[#This Row],[RESyx]])</f>
        <v>0.24811051458501865</v>
      </c>
      <c r="M123" s="29">
        <f>Table22342102345678911[[#This Row],[Pierre]]*E$25+E$26</f>
        <v>12.967445477597348</v>
      </c>
      <c r="N123" s="29">
        <f>Table22342102345678911[[#This Row],[X-Y]]^2</f>
        <v>4.0804121200089964E-2</v>
      </c>
      <c r="O123" s="57">
        <f>Table22342102345678911[[#This Row],[yest_rect]]-Table22342102345678911[[#This Row],[REF]]</f>
        <v>-0.17255482240265252</v>
      </c>
      <c r="P123" s="57">
        <f>Table22342102345678911[[#This Row],[dif rec]]^2</f>
        <v>2.9775166734410951E-2</v>
      </c>
      <c r="Q123" s="57">
        <f>ABS(Table22342102345678911[[#This Row],[diff-bias]])</f>
        <v>0.48657531999999648</v>
      </c>
      <c r="R123" s="57">
        <f ca="1">CELL("row",Table22342102345678911[[#This Row],[Position]])</f>
        <v>123</v>
      </c>
      <c r="S123" s="4">
        <f>Table22342102345678911[[#This Row],[REF]]-D$13</f>
        <v>2.1300000499999996</v>
      </c>
      <c r="T123" s="4">
        <f>ABS(Table22342102345678911[[#This Row],[lab-med]])</f>
        <v>2.1300000499999996</v>
      </c>
      <c r="U123" s="4">
        <f>Table22342102345678911[[#This Row],[Pierre]]-F$13</f>
        <v>1.6594999999999995</v>
      </c>
      <c r="V123" s="4">
        <f>ABS(Table22342102345678911[[#This Row],[anl-med]])</f>
        <v>1.6594999999999995</v>
      </c>
      <c r="W123" s="4">
        <f>Table22342102345678911[[#This Row],[lab-med]]*Table22342102345678911[[#This Row],[anl-med]]</f>
        <v>3.5347350829749984</v>
      </c>
    </row>
    <row r="124" spans="2:23" x14ac:dyDescent="0.25">
      <c r="B124" s="46">
        <f ca="1">VALUE((Table22342102345678911[[#This Row],[Column3]]-62))</f>
        <v>62</v>
      </c>
      <c r="C124" t="s">
        <v>130</v>
      </c>
      <c r="D124">
        <v>11.699999800000001</v>
      </c>
      <c r="E124"/>
      <c r="F124">
        <v>11.935</v>
      </c>
      <c r="G124" s="29">
        <f>Table22342102345678911[[#This Row],[Pierre]]-Table22342102345678911[[#This Row],[REF]]</f>
        <v>0.23500019999999999</v>
      </c>
      <c r="H124" s="29">
        <f>Table22342102345678911[[#This Row],[X-Y]]-E$20</f>
        <v>-4.9574819999996578E-2</v>
      </c>
      <c r="I124" s="29">
        <f>Table22342102345678911[[#This Row],[Pierre]]-E$20</f>
        <v>11.650424980000004</v>
      </c>
      <c r="J124" s="29">
        <f>Table22342102345678911[[#This Row],[Pierre]]*E$21+E$22</f>
        <v>11.733972804453328</v>
      </c>
      <c r="K124" s="56">
        <f>Table22342102345678911[[#This Row],[Yest]]-Table22342102345678911[[#This Row],[REF]]</f>
        <v>3.397300445332796E-2</v>
      </c>
      <c r="L124" s="56">
        <f>ABS(Table22342102345678911[[#This Row],[RESyx]])</f>
        <v>3.397300445332796E-2</v>
      </c>
      <c r="M124" s="29">
        <f>Table22342102345678911[[#This Row],[Pierre]]*E$25+E$26</f>
        <v>11.760444273464934</v>
      </c>
      <c r="N124" s="29">
        <f>Table22342102345678911[[#This Row],[X-Y]]^2</f>
        <v>5.5225094000039998E-2</v>
      </c>
      <c r="O124" s="57">
        <f>Table22342102345678911[[#This Row],[yest_rect]]-Table22342102345678911[[#This Row],[REF]]</f>
        <v>6.0444473464933424E-2</v>
      </c>
      <c r="P124" s="57">
        <f>Table22342102345678911[[#This Row],[dif rec]]^2</f>
        <v>3.6535343724530406E-3</v>
      </c>
      <c r="Q124" s="57">
        <f>ABS(Table22342102345678911[[#This Row],[diff-bias]])</f>
        <v>4.9574819999996578E-2</v>
      </c>
      <c r="R124" s="57">
        <f ca="1">CELL("row",Table22342102345678911[[#This Row],[Position]])</f>
        <v>124</v>
      </c>
      <c r="S124" s="4">
        <f>Table22342102345678911[[#This Row],[REF]]-D$13</f>
        <v>0.68999954999999957</v>
      </c>
      <c r="T124" s="4">
        <f>ABS(Table22342102345678911[[#This Row],[lab-med]])</f>
        <v>0.68999954999999957</v>
      </c>
      <c r="U124" s="4">
        <f>Table22342102345678911[[#This Row],[Pierre]]-F$13</f>
        <v>0.65649999999999942</v>
      </c>
      <c r="V124" s="4">
        <f>ABS(Table22342102345678911[[#This Row],[anl-med]])</f>
        <v>0.65649999999999942</v>
      </c>
      <c r="W124" s="4">
        <f>Table22342102345678911[[#This Row],[lab-med]]*Table22342102345678911[[#This Row],[anl-med]]</f>
        <v>0.45298470457499934</v>
      </c>
    </row>
    <row r="125" spans="2:23" x14ac:dyDescent="0.25">
      <c r="B125" s="46">
        <f ca="1">VALUE((Table22342102345678911[[#This Row],[Column3]]-62))</f>
        <v>63</v>
      </c>
      <c r="C125" t="s">
        <v>131</v>
      </c>
      <c r="D125">
        <v>10.3800001</v>
      </c>
      <c r="E125"/>
      <c r="F125">
        <v>10.914999999999999</v>
      </c>
      <c r="G125" s="29">
        <f>Table22342102345678911[[#This Row],[Pierre]]-Table22342102345678911[[#This Row],[REF]]</f>
        <v>0.53499989999999897</v>
      </c>
      <c r="H125" s="29">
        <f>Table22342102345678911[[#This Row],[X-Y]]-E$20</f>
        <v>0.2504248800000024</v>
      </c>
      <c r="I125" s="29">
        <f>Table22342102345678911[[#This Row],[Pierre]]-E$20</f>
        <v>10.630424980000003</v>
      </c>
      <c r="J125" s="29">
        <f>Table22342102345678911[[#This Row],[Pierre]]*E$21+E$22</f>
        <v>10.556430111949949</v>
      </c>
      <c r="K125" s="56">
        <f>Table22342102345678911[[#This Row],[Yest]]-Table22342102345678911[[#This Row],[REF]]</f>
        <v>0.17643001194994845</v>
      </c>
      <c r="L125" s="56">
        <f>ABS(Table22342102345678911[[#This Row],[RESyx]])</f>
        <v>0.17643001194994845</v>
      </c>
      <c r="M125" s="29">
        <f>Table22342102345678911[[#This Row],[Pierre]]*E$25+E$26</f>
        <v>10.532985421804851</v>
      </c>
      <c r="N125" s="29">
        <f>Table22342102345678911[[#This Row],[X-Y]]^2</f>
        <v>0.28622489300000892</v>
      </c>
      <c r="O125" s="57">
        <f>Table22342102345678911[[#This Row],[yest_rect]]-Table22342102345678911[[#This Row],[REF]]</f>
        <v>0.15298532180485047</v>
      </c>
      <c r="P125" s="57">
        <f>Table22342102345678911[[#This Row],[dif rec]]^2</f>
        <v>2.3404508687733656E-2</v>
      </c>
      <c r="Q125" s="57">
        <f>ABS(Table22342102345678911[[#This Row],[diff-bias]])</f>
        <v>0.2504248800000024</v>
      </c>
      <c r="R125" s="57">
        <f ca="1">CELL("row",Table22342102345678911[[#This Row],[Position]])</f>
        <v>125</v>
      </c>
      <c r="S125" s="4">
        <f>Table22342102345678911[[#This Row],[REF]]-D$13</f>
        <v>-0.63000015000000076</v>
      </c>
      <c r="T125" s="4">
        <f>ABS(Table22342102345678911[[#This Row],[lab-med]])</f>
        <v>0.63000015000000076</v>
      </c>
      <c r="U125" s="4">
        <f>Table22342102345678911[[#This Row],[Pierre]]-F$13</f>
        <v>-0.36350000000000193</v>
      </c>
      <c r="V125" s="4">
        <f>ABS(Table22342102345678911[[#This Row],[anl-med]])</f>
        <v>0.36350000000000193</v>
      </c>
      <c r="W125" s="4">
        <f>Table22342102345678911[[#This Row],[lab-med]]*Table22342102345678911[[#This Row],[anl-med]]</f>
        <v>0.2290050545250015</v>
      </c>
    </row>
    <row r="126" spans="2:23" x14ac:dyDescent="0.25">
      <c r="B126" s="46">
        <f ca="1">VALUE((Table22342102345678911[[#This Row],[Column3]]-62))</f>
        <v>64</v>
      </c>
      <c r="C126" t="s">
        <v>132</v>
      </c>
      <c r="D126">
        <v>13.350000400000001</v>
      </c>
      <c r="E126"/>
      <c r="F126">
        <v>13.037000000000001</v>
      </c>
      <c r="G126" s="29">
        <f>Table22342102345678911[[#This Row],[Pierre]]-Table22342102345678911[[#This Row],[REF]]</f>
        <v>-0.31300039999999996</v>
      </c>
      <c r="H126" s="29">
        <f>Table22342102345678911[[#This Row],[X-Y]]-E$20</f>
        <v>-0.59757541999999653</v>
      </c>
      <c r="I126" s="29">
        <f>Table22342102345678911[[#This Row],[Pierre]]-E$20</f>
        <v>12.752424980000004</v>
      </c>
      <c r="J126" s="29">
        <f>Table22342102345678911[[#This Row],[Pierre]]*E$21+E$22</f>
        <v>13.006180693805016</v>
      </c>
      <c r="K126" s="56">
        <f>Table22342102345678911[[#This Row],[Yest]]-Table22342102345678911[[#This Row],[REF]]</f>
        <v>-0.34381970619498503</v>
      </c>
      <c r="L126" s="56">
        <f>ABS(Table22342102345678911[[#This Row],[RESyx]])</f>
        <v>0.34381970619498503</v>
      </c>
      <c r="M126" s="29">
        <f>Table22342102345678911[[#This Row],[Pierre]]*E$25+E$26</f>
        <v>13.086581189670238</v>
      </c>
      <c r="N126" s="29">
        <f>Table22342102345678911[[#This Row],[X-Y]]^2</f>
        <v>9.7969250400159968E-2</v>
      </c>
      <c r="O126" s="57">
        <f>Table22342102345678911[[#This Row],[yest_rect]]-Table22342102345678911[[#This Row],[REF]]</f>
        <v>-0.26341921032976323</v>
      </c>
      <c r="P126" s="57">
        <f>Table22342102345678911[[#This Row],[dif rec]]^2</f>
        <v>6.9389680370756046E-2</v>
      </c>
      <c r="Q126" s="57">
        <f>ABS(Table22342102345678911[[#This Row],[diff-bias]])</f>
        <v>0.59757541999999653</v>
      </c>
      <c r="R126" s="57">
        <f ca="1">CELL("row",Table22342102345678911[[#This Row],[Position]])</f>
        <v>126</v>
      </c>
      <c r="S126" s="4">
        <f>Table22342102345678911[[#This Row],[REF]]-D$13</f>
        <v>2.3400001499999998</v>
      </c>
      <c r="T126" s="4">
        <f>ABS(Table22342102345678911[[#This Row],[lab-med]])</f>
        <v>2.3400001499999998</v>
      </c>
      <c r="U126" s="4">
        <f>Table22342102345678911[[#This Row],[Pierre]]-F$13</f>
        <v>1.7584999999999997</v>
      </c>
      <c r="V126" s="4">
        <f>ABS(Table22342102345678911[[#This Row],[anl-med]])</f>
        <v>1.7584999999999997</v>
      </c>
      <c r="W126" s="4">
        <f>Table22342102345678911[[#This Row],[lab-med]]*Table22342102345678911[[#This Row],[anl-med]]</f>
        <v>4.1148902637749991</v>
      </c>
    </row>
    <row r="127" spans="2:23" x14ac:dyDescent="0.25">
      <c r="B127" s="46">
        <f ca="1">VALUE((Table22342102345678911[[#This Row],[Column3]]-62))</f>
        <v>65</v>
      </c>
      <c r="C127" t="s">
        <v>133</v>
      </c>
      <c r="D127">
        <v>12.6599998</v>
      </c>
      <c r="E127"/>
      <c r="F127">
        <v>12.79</v>
      </c>
      <c r="G127" s="29">
        <f>Table22342102345678911[[#This Row],[Pierre]]-Table22342102345678911[[#This Row],[REF]]</f>
        <v>0.13000019999999957</v>
      </c>
      <c r="H127" s="29">
        <f>Table22342102345678911[[#This Row],[X-Y]]-E$20</f>
        <v>-0.154574819999997</v>
      </c>
      <c r="I127" s="29">
        <f>Table22342102345678911[[#This Row],[Pierre]]-E$20</f>
        <v>12.505424980000003</v>
      </c>
      <c r="J127" s="29">
        <f>Table22342102345678911[[#This Row],[Pierre]]*E$21+E$22</f>
        <v>12.72103064963998</v>
      </c>
      <c r="K127" s="56">
        <f>Table22342102345678911[[#This Row],[Yest]]-Table22342102345678911[[#This Row],[REF]]</f>
        <v>6.1030849639980289E-2</v>
      </c>
      <c r="L127" s="56">
        <f>ABS(Table22342102345678911[[#This Row],[RESyx]])</f>
        <v>6.1030849639980289E-2</v>
      </c>
      <c r="M127" s="29">
        <f>Table22342102345678911[[#This Row],[Pierre]]*E$25+E$26</f>
        <v>12.789343605003531</v>
      </c>
      <c r="N127" s="29">
        <f>Table22342102345678911[[#This Row],[X-Y]]^2</f>
        <v>1.6900052000039887E-2</v>
      </c>
      <c r="O127" s="57">
        <f>Table22342102345678911[[#This Row],[yest_rect]]-Table22342102345678911[[#This Row],[REF]]</f>
        <v>0.12934380500353093</v>
      </c>
      <c r="P127" s="57">
        <f>Table22342102345678911[[#This Row],[dif rec]]^2</f>
        <v>1.6729819892791434E-2</v>
      </c>
      <c r="Q127" s="57">
        <f>ABS(Table22342102345678911[[#This Row],[diff-bias]])</f>
        <v>0.154574819999997</v>
      </c>
      <c r="R127" s="57">
        <f ca="1">CELL("row",Table22342102345678911[[#This Row],[Position]])</f>
        <v>127</v>
      </c>
      <c r="S127" s="4">
        <f>Table22342102345678911[[#This Row],[REF]]-D$13</f>
        <v>1.6499995499999986</v>
      </c>
      <c r="T127" s="4">
        <f>ABS(Table22342102345678911[[#This Row],[lab-med]])</f>
        <v>1.6499995499999986</v>
      </c>
      <c r="U127" s="4">
        <f>Table22342102345678911[[#This Row],[Pierre]]-F$13</f>
        <v>1.5114999999999981</v>
      </c>
      <c r="V127" s="4">
        <f>ABS(Table22342102345678911[[#This Row],[anl-med]])</f>
        <v>1.5114999999999981</v>
      </c>
      <c r="W127" s="4">
        <f>Table22342102345678911[[#This Row],[lab-med]]*Table22342102345678911[[#This Row],[anl-med]]</f>
        <v>2.4939743198249946</v>
      </c>
    </row>
    <row r="128" spans="2:23" x14ac:dyDescent="0.25">
      <c r="B128" s="46">
        <f ca="1">VALUE((Table22342102345678911[[#This Row],[Column3]]-62))</f>
        <v>66</v>
      </c>
      <c r="C128" t="s">
        <v>134</v>
      </c>
      <c r="D128">
        <v>11.9899998</v>
      </c>
      <c r="E128"/>
      <c r="F128">
        <v>12.308999999999999</v>
      </c>
      <c r="G128" s="29">
        <f>Table22342102345678911[[#This Row],[Pierre]]-Table22342102345678911[[#This Row],[REF]]</f>
        <v>0.31900019999999962</v>
      </c>
      <c r="H128" s="29">
        <f>Table22342102345678911[[#This Row],[X-Y]]-E$20</f>
        <v>3.4425180000003053E-2</v>
      </c>
      <c r="I128" s="29">
        <f>Table22342102345678911[[#This Row],[Pierre]]-E$20</f>
        <v>12.024424980000003</v>
      </c>
      <c r="J128" s="29">
        <f>Table22342102345678911[[#This Row],[Pierre]]*E$21+E$22</f>
        <v>12.165738458371232</v>
      </c>
      <c r="K128" s="56">
        <f>Table22342102345678911[[#This Row],[Yest]]-Table22342102345678911[[#This Row],[REF]]</f>
        <v>0.17573865837123215</v>
      </c>
      <c r="L128" s="56">
        <f>ABS(Table22342102345678911[[#This Row],[RESyx]])</f>
        <v>0.17573865837123215</v>
      </c>
      <c r="M128" s="29">
        <f>Table22342102345678911[[#This Row],[Pierre]]*E$25+E$26</f>
        <v>12.21051251907363</v>
      </c>
      <c r="N128" s="29">
        <f>Table22342102345678911[[#This Row],[X-Y]]^2</f>
        <v>0.10176112760003976</v>
      </c>
      <c r="O128" s="57">
        <f>Table22342102345678911[[#This Row],[yest_rect]]-Table22342102345678911[[#This Row],[REF]]</f>
        <v>0.22051271907363024</v>
      </c>
      <c r="P128" s="57">
        <f>Table22342102345678911[[#This Row],[dif rec]]^2</f>
        <v>4.8625859273245767E-2</v>
      </c>
      <c r="Q128" s="57">
        <f>ABS(Table22342102345678911[[#This Row],[diff-bias]])</f>
        <v>3.4425180000003053E-2</v>
      </c>
      <c r="R128" s="57">
        <f ca="1">CELL("row",Table22342102345678911[[#This Row],[Position]])</f>
        <v>128</v>
      </c>
      <c r="S128" s="4">
        <f>Table22342102345678911[[#This Row],[REF]]-D$13</f>
        <v>0.97999954999999872</v>
      </c>
      <c r="T128" s="4">
        <f>ABS(Table22342102345678911[[#This Row],[lab-med]])</f>
        <v>0.97999954999999872</v>
      </c>
      <c r="U128" s="4">
        <f>Table22342102345678911[[#This Row],[Pierre]]-F$13</f>
        <v>1.0304999999999982</v>
      </c>
      <c r="V128" s="4">
        <f>ABS(Table22342102345678911[[#This Row],[anl-med]])</f>
        <v>1.0304999999999982</v>
      </c>
      <c r="W128" s="4">
        <f>Table22342102345678911[[#This Row],[lab-med]]*Table22342102345678911[[#This Row],[anl-med]]</f>
        <v>1.0098895362749969</v>
      </c>
    </row>
    <row r="129" spans="2:23" x14ac:dyDescent="0.25">
      <c r="B129" s="46">
        <f ca="1">VALUE((Table22342102345678911[[#This Row],[Column3]]-62))</f>
        <v>67</v>
      </c>
      <c r="C129" t="s">
        <v>135</v>
      </c>
      <c r="D129">
        <v>12</v>
      </c>
      <c r="E129"/>
      <c r="F129">
        <v>11.994</v>
      </c>
      <c r="G129" s="29">
        <f>Table22342102345678911[[#This Row],[Pierre]]-Table22342102345678911[[#This Row],[REF]]</f>
        <v>-6.0000000000002274E-3</v>
      </c>
      <c r="H129" s="29">
        <f>Table22342102345678911[[#This Row],[X-Y]]-E$20</f>
        <v>-0.2905750199999968</v>
      </c>
      <c r="I129" s="29">
        <f>Table22342102345678911[[#This Row],[Pierre]]-E$20</f>
        <v>11.709424980000003</v>
      </c>
      <c r="J129" s="29">
        <f>Table22342102345678911[[#This Row],[Pierre]]*E$21+E$22</f>
        <v>11.802085568039306</v>
      </c>
      <c r="K129" s="56">
        <f>Table22342102345678911[[#This Row],[Yest]]-Table22342102345678911[[#This Row],[REF]]</f>
        <v>-0.1979144319606938</v>
      </c>
      <c r="L129" s="56">
        <f>ABS(Table22342102345678911[[#This Row],[RESyx]])</f>
        <v>0.1979144319606938</v>
      </c>
      <c r="M129" s="29">
        <f>Table22342102345678911[[#This Row],[Pierre]]*E$25+E$26</f>
        <v>11.831444344296251</v>
      </c>
      <c r="N129" s="29">
        <f>Table22342102345678911[[#This Row],[X-Y]]^2</f>
        <v>3.6000000000002732E-5</v>
      </c>
      <c r="O129" s="57">
        <f>Table22342102345678911[[#This Row],[yest_rect]]-Table22342102345678911[[#This Row],[REF]]</f>
        <v>-0.16855565570374864</v>
      </c>
      <c r="P129" s="57">
        <f>Table22342102345678911[[#This Row],[dif rec]]^2</f>
        <v>2.841100906972065E-2</v>
      </c>
      <c r="Q129" s="57">
        <f>ABS(Table22342102345678911[[#This Row],[diff-bias]])</f>
        <v>0.2905750199999968</v>
      </c>
      <c r="R129" s="57">
        <f ca="1">CELL("row",Table22342102345678911[[#This Row],[Position]])</f>
        <v>129</v>
      </c>
      <c r="S129" s="4">
        <f>Table22342102345678911[[#This Row],[REF]]-D$13</f>
        <v>0.98999974999999907</v>
      </c>
      <c r="T129" s="4">
        <f>ABS(Table22342102345678911[[#This Row],[lab-med]])</f>
        <v>0.98999974999999907</v>
      </c>
      <c r="U129" s="4">
        <f>Table22342102345678911[[#This Row],[Pierre]]-F$13</f>
        <v>0.71549999999999869</v>
      </c>
      <c r="V129" s="4">
        <f>ABS(Table22342102345678911[[#This Row],[anl-med]])</f>
        <v>0.71549999999999869</v>
      </c>
      <c r="W129" s="4">
        <f>Table22342102345678911[[#This Row],[lab-med]]*Table22342102345678911[[#This Row],[anl-med]]</f>
        <v>0.70834482112499808</v>
      </c>
    </row>
    <row r="130" spans="2:23" x14ac:dyDescent="0.25">
      <c r="B130" s="46">
        <f ca="1">VALUE((Table22342102345678911[[#This Row],[Column3]]-62))</f>
        <v>68</v>
      </c>
      <c r="C130" t="s">
        <v>136</v>
      </c>
      <c r="D130">
        <v>12</v>
      </c>
      <c r="E130"/>
      <c r="F130">
        <v>12.292999999999999</v>
      </c>
      <c r="G130" s="29">
        <f>Table22342102345678911[[#This Row],[Pierre]]-Table22342102345678911[[#This Row],[REF]]</f>
        <v>0.29299999999999926</v>
      </c>
      <c r="H130" s="29">
        <f>Table22342102345678911[[#This Row],[X-Y]]-E$20</f>
        <v>8.4249800000026909E-3</v>
      </c>
      <c r="I130" s="29">
        <f>Table22342102345678911[[#This Row],[Pierre]]-E$20</f>
        <v>12.008424980000003</v>
      </c>
      <c r="J130" s="29">
        <f>Table22342102345678911[[#This Row],[Pierre]]*E$21+E$22</f>
        <v>12.14726720044961</v>
      </c>
      <c r="K130" s="56">
        <f>Table22342102345678911[[#This Row],[Yest]]-Table22342102345678911[[#This Row],[REF]]</f>
        <v>0.14726720044961006</v>
      </c>
      <c r="L130" s="56">
        <f>ABS(Table22342102345678911[[#This Row],[RESyx]])</f>
        <v>0.14726720044961006</v>
      </c>
      <c r="M130" s="29">
        <f>Table22342102345678911[[#This Row],[Pierre]]*E$25+E$26</f>
        <v>12.191258262577</v>
      </c>
      <c r="N130" s="29">
        <f>Table22342102345678911[[#This Row],[X-Y]]^2</f>
        <v>8.5848999999999565E-2</v>
      </c>
      <c r="O130" s="57">
        <f>Table22342102345678911[[#This Row],[yest_rect]]-Table22342102345678911[[#This Row],[REF]]</f>
        <v>0.19125826257699963</v>
      </c>
      <c r="P130" s="57">
        <f>Table22342102345678911[[#This Row],[dif rec]]^2</f>
        <v>3.6579723003972539E-2</v>
      </c>
      <c r="Q130" s="57">
        <f>ABS(Table22342102345678911[[#This Row],[diff-bias]])</f>
        <v>8.4249800000026909E-3</v>
      </c>
      <c r="R130" s="57">
        <f ca="1">CELL("row",Table22342102345678911[[#This Row],[Position]])</f>
        <v>130</v>
      </c>
      <c r="S130" s="4">
        <f>Table22342102345678911[[#This Row],[REF]]-D$13</f>
        <v>0.98999974999999907</v>
      </c>
      <c r="T130" s="4">
        <f>ABS(Table22342102345678911[[#This Row],[lab-med]])</f>
        <v>0.98999974999999907</v>
      </c>
      <c r="U130" s="4">
        <f>Table22342102345678911[[#This Row],[Pierre]]-F$13</f>
        <v>1.0144999999999982</v>
      </c>
      <c r="V130" s="4">
        <f>ABS(Table22342102345678911[[#This Row],[anl-med]])</f>
        <v>1.0144999999999982</v>
      </c>
      <c r="W130" s="4">
        <f>Table22342102345678911[[#This Row],[lab-med]]*Table22342102345678911[[#This Row],[anl-med]]</f>
        <v>1.0043547463749973</v>
      </c>
    </row>
    <row r="131" spans="2:23" x14ac:dyDescent="0.25">
      <c r="B131" s="46">
        <f ca="1">VALUE((Table22342102345678911[[#This Row],[Column3]]-62))</f>
        <v>69</v>
      </c>
      <c r="C131" t="s">
        <v>137</v>
      </c>
      <c r="D131">
        <v>13.1599998</v>
      </c>
      <c r="E131"/>
      <c r="F131">
        <v>13.262</v>
      </c>
      <c r="G131" s="29">
        <f>Table22342102345678911[[#This Row],[Pierre]]-Table22342102345678911[[#This Row],[REF]]</f>
        <v>0.10200020000000087</v>
      </c>
      <c r="H131" s="29">
        <f>Table22342102345678911[[#This Row],[X-Y]]-E$20</f>
        <v>-0.1825748199999957</v>
      </c>
      <c r="I131" s="29">
        <f>Table22342102345678911[[#This Row],[Pierre]]-E$20</f>
        <v>12.977424980000004</v>
      </c>
      <c r="J131" s="29">
        <f>Table22342102345678911[[#This Row],[Pierre]]*E$21+E$22</f>
        <v>13.265932758327819</v>
      </c>
      <c r="K131" s="56">
        <f>Table22342102345678911[[#This Row],[Yest]]-Table22342102345678911[[#This Row],[REF]]</f>
        <v>0.1059329583278199</v>
      </c>
      <c r="L131" s="56">
        <f>ABS(Table22342102345678911[[#This Row],[RESyx]])</f>
        <v>0.1059329583278199</v>
      </c>
      <c r="M131" s="29">
        <f>Table22342102345678911[[#This Row],[Pierre]]*E$25+E$26</f>
        <v>13.357344171654079</v>
      </c>
      <c r="N131" s="29">
        <f>Table22342102345678911[[#This Row],[X-Y]]^2</f>
        <v>1.0404040800040178E-2</v>
      </c>
      <c r="O131" s="57">
        <f>Table22342102345678911[[#This Row],[yest_rect]]-Table22342102345678911[[#This Row],[REF]]</f>
        <v>0.19734437165407925</v>
      </c>
      <c r="P131" s="57">
        <f>Table22342102345678911[[#This Row],[dif rec]]^2</f>
        <v>3.8944801023543356E-2</v>
      </c>
      <c r="Q131" s="57">
        <f>ABS(Table22342102345678911[[#This Row],[diff-bias]])</f>
        <v>0.1825748199999957</v>
      </c>
      <c r="R131" s="57">
        <f ca="1">CELL("row",Table22342102345678911[[#This Row],[Position]])</f>
        <v>131</v>
      </c>
      <c r="S131" s="4">
        <f>Table22342102345678911[[#This Row],[REF]]-D$13</f>
        <v>2.1499995499999986</v>
      </c>
      <c r="T131" s="4">
        <f>ABS(Table22342102345678911[[#This Row],[lab-med]])</f>
        <v>2.1499995499999986</v>
      </c>
      <c r="U131" s="4">
        <f>Table22342102345678911[[#This Row],[Pierre]]-F$13</f>
        <v>1.9834999999999994</v>
      </c>
      <c r="V131" s="4">
        <f>ABS(Table22342102345678911[[#This Row],[anl-med]])</f>
        <v>1.9834999999999994</v>
      </c>
      <c r="W131" s="4">
        <f>Table22342102345678911[[#This Row],[lab-med]]*Table22342102345678911[[#This Row],[anl-med]]</f>
        <v>4.2645241074249958</v>
      </c>
    </row>
    <row r="132" spans="2:23" x14ac:dyDescent="0.25">
      <c r="B132" s="46">
        <f ca="1">VALUE((Table22342102345678911[[#This Row],[Column3]]-62))</f>
        <v>70</v>
      </c>
      <c r="C132" t="s">
        <v>138</v>
      </c>
      <c r="D132">
        <v>12.170000099999999</v>
      </c>
      <c r="E132"/>
      <c r="F132">
        <v>12.055999999999999</v>
      </c>
      <c r="G132" s="29">
        <f>Table22342102345678911[[#This Row],[Pierre]]-Table22342102345678911[[#This Row],[REF]]</f>
        <v>-0.11400010000000016</v>
      </c>
      <c r="H132" s="29">
        <f>Table22342102345678911[[#This Row],[X-Y]]-E$20</f>
        <v>-0.39857511999999673</v>
      </c>
      <c r="I132" s="29">
        <f>Table22342102345678911[[#This Row],[Pierre]]-E$20</f>
        <v>11.771424980000003</v>
      </c>
      <c r="J132" s="29">
        <f>Table22342102345678911[[#This Row],[Pierre]]*E$21+E$22</f>
        <v>11.873661692485589</v>
      </c>
      <c r="K132" s="56">
        <f>Table22342102345678911[[#This Row],[Yest]]-Table22342102345678911[[#This Row],[REF]]</f>
        <v>-0.29633840751441021</v>
      </c>
      <c r="L132" s="56">
        <f>ABS(Table22342102345678911[[#This Row],[RESyx]])</f>
        <v>0.29633840751441021</v>
      </c>
      <c r="M132" s="29">
        <f>Table22342102345678911[[#This Row],[Pierre]]*E$25+E$26</f>
        <v>11.906054588220687</v>
      </c>
      <c r="N132" s="29">
        <f>Table22342102345678911[[#This Row],[X-Y]]^2</f>
        <v>1.2996022800010037E-2</v>
      </c>
      <c r="O132" s="57">
        <f>Table22342102345678911[[#This Row],[yest_rect]]-Table22342102345678911[[#This Row],[REF]]</f>
        <v>-0.26394551177931191</v>
      </c>
      <c r="P132" s="57">
        <f>Table22342102345678911[[#This Row],[dif rec]]^2</f>
        <v>6.9667233188442881E-2</v>
      </c>
      <c r="Q132" s="57">
        <f>ABS(Table22342102345678911[[#This Row],[diff-bias]])</f>
        <v>0.39857511999999673</v>
      </c>
      <c r="R132" s="57">
        <f ca="1">CELL("row",Table22342102345678911[[#This Row],[Position]])</f>
        <v>132</v>
      </c>
      <c r="S132" s="4">
        <f>Table22342102345678911[[#This Row],[REF]]-D$13</f>
        <v>1.1599998499999984</v>
      </c>
      <c r="T132" s="4">
        <f>ABS(Table22342102345678911[[#This Row],[lab-med]])</f>
        <v>1.1599998499999984</v>
      </c>
      <c r="U132" s="4">
        <f>Table22342102345678911[[#This Row],[Pierre]]-F$13</f>
        <v>0.77749999999999808</v>
      </c>
      <c r="V132" s="4">
        <f>ABS(Table22342102345678911[[#This Row],[anl-med]])</f>
        <v>0.77749999999999808</v>
      </c>
      <c r="W132" s="4">
        <f>Table22342102345678911[[#This Row],[lab-med]]*Table22342102345678911[[#This Row],[anl-med]]</f>
        <v>0.90189988337499649</v>
      </c>
    </row>
    <row r="133" spans="2:23" x14ac:dyDescent="0.25">
      <c r="B133" s="46">
        <f ca="1">VALUE((Table22342102345678911[[#This Row],[Column3]]-62))</f>
        <v>71</v>
      </c>
      <c r="C133" t="s">
        <v>139</v>
      </c>
      <c r="D133">
        <v>10.970000300000001</v>
      </c>
      <c r="E133"/>
      <c r="F133">
        <v>10.89</v>
      </c>
      <c r="G133" s="29">
        <f>Table22342102345678911[[#This Row],[Pierre]]-Table22342102345678911[[#This Row],[REF]]</f>
        <v>-8.0000300000000024E-2</v>
      </c>
      <c r="H133" s="29">
        <f>Table22342102345678911[[#This Row],[X-Y]]-E$20</f>
        <v>-0.36457531999999659</v>
      </c>
      <c r="I133" s="29">
        <f>Table22342102345678911[[#This Row],[Pierre]]-E$20</f>
        <v>10.605424980000004</v>
      </c>
      <c r="J133" s="29">
        <f>Table22342102345678911[[#This Row],[Pierre]]*E$21+E$22</f>
        <v>10.527568771447417</v>
      </c>
      <c r="K133" s="56">
        <f>Table22342102345678911[[#This Row],[Yest]]-Table22342102345678911[[#This Row],[REF]]</f>
        <v>-0.44243152855258394</v>
      </c>
      <c r="L133" s="56">
        <f>ABS(Table22342102345678911[[#This Row],[RESyx]])</f>
        <v>0.44243152855258394</v>
      </c>
      <c r="M133" s="29">
        <f>Table22342102345678911[[#This Row],[Pierre]]*E$25+E$26</f>
        <v>10.50290064602887</v>
      </c>
      <c r="N133" s="29">
        <f>Table22342102345678911[[#This Row],[X-Y]]^2</f>
        <v>6.4000480000900037E-3</v>
      </c>
      <c r="O133" s="57">
        <f>Table22342102345678911[[#This Row],[yest_rect]]-Table22342102345678911[[#This Row],[REF]]</f>
        <v>-0.46709965397113073</v>
      </c>
      <c r="P133" s="57">
        <f>Table22342102345678911[[#This Row],[dif rec]]^2</f>
        <v>0.21818208673995007</v>
      </c>
      <c r="Q133" s="57">
        <f>ABS(Table22342102345678911[[#This Row],[diff-bias]])</f>
        <v>0.36457531999999659</v>
      </c>
      <c r="R133" s="57">
        <f ca="1">CELL("row",Table22342102345678911[[#This Row],[Position]])</f>
        <v>133</v>
      </c>
      <c r="S133" s="4">
        <f>Table22342102345678911[[#This Row],[REF]]-D$13</f>
        <v>-3.9999950000000339E-2</v>
      </c>
      <c r="T133" s="4">
        <f>ABS(Table22342102345678911[[#This Row],[lab-med]])</f>
        <v>3.9999950000000339E-2</v>
      </c>
      <c r="U133" s="4">
        <f>Table22342102345678911[[#This Row],[Pierre]]-F$13</f>
        <v>-0.38850000000000051</v>
      </c>
      <c r="V133" s="4">
        <f>ABS(Table22342102345678911[[#This Row],[anl-med]])</f>
        <v>0.38850000000000051</v>
      </c>
      <c r="W133" s="4">
        <f>Table22342102345678911[[#This Row],[lab-med]]*Table22342102345678911[[#This Row],[anl-med]]</f>
        <v>1.5539980575000152E-2</v>
      </c>
    </row>
    <row r="134" spans="2:23" x14ac:dyDescent="0.25">
      <c r="B134" s="46">
        <f ca="1">VALUE((Table22342102345678911[[#This Row],[Column3]]-62))</f>
        <v>72</v>
      </c>
      <c r="C134" t="s">
        <v>140</v>
      </c>
      <c r="D134">
        <v>12.2600002</v>
      </c>
      <c r="E134"/>
      <c r="F134">
        <v>12.446999999999999</v>
      </c>
      <c r="G134" s="29">
        <f>Table22342102345678911[[#This Row],[Pierre]]-Table22342102345678911[[#This Row],[REF]]</f>
        <v>0.18699979999999883</v>
      </c>
      <c r="H134" s="29">
        <f>Table22342102345678911[[#This Row],[X-Y]]-E$20</f>
        <v>-9.7575219999997742E-2</v>
      </c>
      <c r="I134" s="29">
        <f>Table22342102345678911[[#This Row],[Pierre]]-E$20</f>
        <v>12.162424980000003</v>
      </c>
      <c r="J134" s="29">
        <f>Table22342102345678911[[#This Row],[Pierre]]*E$21+E$22</f>
        <v>12.325053057945217</v>
      </c>
      <c r="K134" s="56">
        <f>Table22342102345678911[[#This Row],[Yest]]-Table22342102345678911[[#This Row],[REF]]</f>
        <v>6.5052857945216758E-2</v>
      </c>
      <c r="L134" s="56">
        <f>ABS(Table22342102345678911[[#This Row],[RESyx]])</f>
        <v>6.5052857945216758E-2</v>
      </c>
      <c r="M134" s="29">
        <f>Table22342102345678911[[#This Row],[Pierre]]*E$25+E$26</f>
        <v>12.376580481357051</v>
      </c>
      <c r="N134" s="29">
        <f>Table22342102345678911[[#This Row],[X-Y]]^2</f>
        <v>3.4968925200039559E-2</v>
      </c>
      <c r="O134" s="57">
        <f>Table22342102345678911[[#This Row],[yest_rect]]-Table22342102345678911[[#This Row],[REF]]</f>
        <v>0.11658028135705045</v>
      </c>
      <c r="P134" s="57">
        <f>Table22342102345678911[[#This Row],[dif rec]]^2</f>
        <v>1.3590962001289045E-2</v>
      </c>
      <c r="Q134" s="57">
        <f>ABS(Table22342102345678911[[#This Row],[diff-bias]])</f>
        <v>9.7575219999997742E-2</v>
      </c>
      <c r="R134" s="57">
        <f ca="1">CELL("row",Table22342102345678911[[#This Row],[Position]])</f>
        <v>134</v>
      </c>
      <c r="S134" s="4">
        <f>Table22342102345678911[[#This Row],[REF]]-D$13</f>
        <v>1.2499999499999994</v>
      </c>
      <c r="T134" s="4">
        <f>ABS(Table22342102345678911[[#This Row],[lab-med]])</f>
        <v>1.2499999499999994</v>
      </c>
      <c r="U134" s="4">
        <f>Table22342102345678911[[#This Row],[Pierre]]-F$13</f>
        <v>1.1684999999999981</v>
      </c>
      <c r="V134" s="4">
        <f>ABS(Table22342102345678911[[#This Row],[anl-med]])</f>
        <v>1.1684999999999981</v>
      </c>
      <c r="W134" s="4">
        <f>Table22342102345678911[[#This Row],[lab-med]]*Table22342102345678911[[#This Row],[anl-med]]</f>
        <v>1.460624941574997</v>
      </c>
    </row>
    <row r="135" spans="2:23" x14ac:dyDescent="0.25">
      <c r="B135" s="46">
        <f ca="1">VALUE((Table22342102345678911[[#This Row],[Column3]]-62))</f>
        <v>73</v>
      </c>
      <c r="C135" t="s">
        <v>141</v>
      </c>
      <c r="D135">
        <v>13.029999699999999</v>
      </c>
      <c r="E135"/>
      <c r="F135">
        <v>12.917999999999999</v>
      </c>
      <c r="G135" s="29">
        <f>Table22342102345678911[[#This Row],[Pierre]]-Table22342102345678911[[#This Row],[REF]]</f>
        <v>-0.11199970000000015</v>
      </c>
      <c r="H135" s="29">
        <f>Table22342102345678911[[#This Row],[X-Y]]-E$20</f>
        <v>-0.39657471999999672</v>
      </c>
      <c r="I135" s="29">
        <f>Table22342102345678911[[#This Row],[Pierre]]-E$20</f>
        <v>12.633424980000003</v>
      </c>
      <c r="J135" s="29">
        <f>Table22342102345678911[[#This Row],[Pierre]]*E$21+E$22</f>
        <v>12.868800713012954</v>
      </c>
      <c r="K135" s="56">
        <f>Table22342102345678911[[#This Row],[Yest]]-Table22342102345678911[[#This Row],[REF]]</f>
        <v>-0.1611989869870456</v>
      </c>
      <c r="L135" s="56">
        <f>ABS(Table22342102345678911[[#This Row],[RESyx]])</f>
        <v>0.1611989869870456</v>
      </c>
      <c r="M135" s="29">
        <f>Table22342102345678911[[#This Row],[Pierre]]*E$25+E$26</f>
        <v>12.94337765697656</v>
      </c>
      <c r="N135" s="29">
        <f>Table22342102345678911[[#This Row],[X-Y]]^2</f>
        <v>1.2543932800090033E-2</v>
      </c>
      <c r="O135" s="57">
        <f>Table22342102345678911[[#This Row],[yest_rect]]-Table22342102345678911[[#This Row],[REF]]</f>
        <v>-8.6622043023439232E-2</v>
      </c>
      <c r="P135" s="57">
        <f>Table22342102345678911[[#This Row],[dif rec]]^2</f>
        <v>7.503378337554557E-3</v>
      </c>
      <c r="Q135" s="57">
        <f>ABS(Table22342102345678911[[#This Row],[diff-bias]])</f>
        <v>0.39657471999999672</v>
      </c>
      <c r="R135" s="57">
        <f ca="1">CELL("row",Table22342102345678911[[#This Row],[Position]])</f>
        <v>135</v>
      </c>
      <c r="S135" s="4">
        <f>Table22342102345678911[[#This Row],[REF]]-D$13</f>
        <v>2.0199994499999985</v>
      </c>
      <c r="T135" s="4">
        <f>ABS(Table22342102345678911[[#This Row],[lab-med]])</f>
        <v>2.0199994499999985</v>
      </c>
      <c r="U135" s="4">
        <f>Table22342102345678911[[#This Row],[Pierre]]-F$13</f>
        <v>1.6394999999999982</v>
      </c>
      <c r="V135" s="4">
        <f>ABS(Table22342102345678911[[#This Row],[anl-med]])</f>
        <v>1.6394999999999982</v>
      </c>
      <c r="W135" s="4">
        <f>Table22342102345678911[[#This Row],[lab-med]]*Table22342102345678911[[#This Row],[anl-med]]</f>
        <v>3.311789098274994</v>
      </c>
    </row>
    <row r="136" spans="2:23" x14ac:dyDescent="0.25">
      <c r="B136" s="46">
        <f ca="1">VALUE((Table22342102345678911[[#This Row],[Column3]]-62))</f>
        <v>74</v>
      </c>
      <c r="C136" t="s">
        <v>142</v>
      </c>
      <c r="D136">
        <v>12.359999699999999</v>
      </c>
      <c r="E136"/>
      <c r="F136">
        <v>12.7</v>
      </c>
      <c r="G136" s="29">
        <f>Table22342102345678911[[#This Row],[Pierre]]-Table22342102345678911[[#This Row],[REF]]</f>
        <v>0.34000029999999981</v>
      </c>
      <c r="H136" s="29">
        <f>Table22342102345678911[[#This Row],[X-Y]]-E$20</f>
        <v>5.5425280000003241E-2</v>
      </c>
      <c r="I136" s="29">
        <f>Table22342102345678911[[#This Row],[Pierre]]-E$20</f>
        <v>12.415424980000003</v>
      </c>
      <c r="J136" s="29">
        <f>Table22342102345678911[[#This Row],[Pierre]]*E$21+E$22</f>
        <v>12.61712982383086</v>
      </c>
      <c r="K136" s="56">
        <f>Table22342102345678911[[#This Row],[Yest]]-Table22342102345678911[[#This Row],[REF]]</f>
        <v>0.25713012383086031</v>
      </c>
      <c r="L136" s="56">
        <f>ABS(Table22342102345678911[[#This Row],[RESyx]])</f>
        <v>0.25713012383086031</v>
      </c>
      <c r="M136" s="29">
        <f>Table22342102345678911[[#This Row],[Pierre]]*E$25+E$26</f>
        <v>12.681038412209993</v>
      </c>
      <c r="N136" s="29">
        <f>Table22342102345678911[[#This Row],[X-Y]]^2</f>
        <v>0.11560020400008987</v>
      </c>
      <c r="O136" s="57">
        <f>Table22342102345678911[[#This Row],[yest_rect]]-Table22342102345678911[[#This Row],[REF]]</f>
        <v>0.3210387122099938</v>
      </c>
      <c r="P136" s="57">
        <f>Table22342102345678911[[#This Row],[dif rec]]^2</f>
        <v>0.10306585473745122</v>
      </c>
      <c r="Q136" s="57">
        <f>ABS(Table22342102345678911[[#This Row],[diff-bias]])</f>
        <v>5.5425280000003241E-2</v>
      </c>
      <c r="R136" s="57">
        <f ca="1">CELL("row",Table22342102345678911[[#This Row],[Position]])</f>
        <v>136</v>
      </c>
      <c r="S136" s="4">
        <f>Table22342102345678911[[#This Row],[REF]]-D$13</f>
        <v>1.3499994499999985</v>
      </c>
      <c r="T136" s="4">
        <f>ABS(Table22342102345678911[[#This Row],[lab-med]])</f>
        <v>1.3499994499999985</v>
      </c>
      <c r="U136" s="4">
        <f>Table22342102345678911[[#This Row],[Pierre]]-F$13</f>
        <v>1.4214999999999982</v>
      </c>
      <c r="V136" s="4">
        <f>ABS(Table22342102345678911[[#This Row],[anl-med]])</f>
        <v>1.4214999999999982</v>
      </c>
      <c r="W136" s="4">
        <f>Table22342102345678911[[#This Row],[lab-med]]*Table22342102345678911[[#This Row],[anl-med]]</f>
        <v>1.9190242181749955</v>
      </c>
    </row>
    <row r="137" spans="2:23" x14ac:dyDescent="0.25">
      <c r="B137" s="46">
        <f ca="1">VALUE((Table22342102345678911[[#This Row],[Column3]]-62))</f>
        <v>75</v>
      </c>
      <c r="C137" t="s">
        <v>143</v>
      </c>
      <c r="D137">
        <v>12.399999599999999</v>
      </c>
      <c r="E137"/>
      <c r="F137">
        <v>12.504</v>
      </c>
      <c r="G137" s="29">
        <f>Table22342102345678911[[#This Row],[Pierre]]-Table22342102345678911[[#This Row],[REF]]</f>
        <v>0.10400040000000033</v>
      </c>
      <c r="H137" s="29">
        <f>Table22342102345678911[[#This Row],[X-Y]]-E$20</f>
        <v>-0.18057461999999624</v>
      </c>
      <c r="I137" s="29">
        <f>Table22342102345678911[[#This Row],[Pierre]]-E$20</f>
        <v>12.219424980000003</v>
      </c>
      <c r="J137" s="29">
        <f>Table22342102345678911[[#This Row],[Pierre]]*E$21+E$22</f>
        <v>12.390856914290994</v>
      </c>
      <c r="K137" s="56">
        <f>Table22342102345678911[[#This Row],[Yest]]-Table22342102345678911[[#This Row],[REF]]</f>
        <v>-9.1426857090048941E-3</v>
      </c>
      <c r="L137" s="56">
        <f>ABS(Table22342102345678911[[#This Row],[RESyx]])</f>
        <v>9.1426857090048941E-3</v>
      </c>
      <c r="M137" s="29">
        <f>Table22342102345678911[[#This Row],[Pierre]]*E$25+E$26</f>
        <v>12.445173770126292</v>
      </c>
      <c r="N137" s="29">
        <f>Table22342102345678911[[#This Row],[X-Y]]^2</f>
        <v>1.0816083200160068E-2</v>
      </c>
      <c r="O137" s="57">
        <f>Table22342102345678911[[#This Row],[yest_rect]]-Table22342102345678911[[#This Row],[REF]]</f>
        <v>4.5174170126292879E-2</v>
      </c>
      <c r="P137" s="57">
        <f>Table22342102345678911[[#This Row],[dif rec]]^2</f>
        <v>2.0407056465992519E-3</v>
      </c>
      <c r="Q137" s="57">
        <f>ABS(Table22342102345678911[[#This Row],[diff-bias]])</f>
        <v>0.18057461999999624</v>
      </c>
      <c r="R137" s="57">
        <f ca="1">CELL("row",Table22342102345678911[[#This Row],[Position]])</f>
        <v>137</v>
      </c>
      <c r="S137" s="4">
        <f>Table22342102345678911[[#This Row],[REF]]-D$13</f>
        <v>1.3899993499999983</v>
      </c>
      <c r="T137" s="4">
        <f>ABS(Table22342102345678911[[#This Row],[lab-med]])</f>
        <v>1.3899993499999983</v>
      </c>
      <c r="U137" s="4">
        <f>Table22342102345678911[[#This Row],[Pierre]]-F$13</f>
        <v>1.2254999999999985</v>
      </c>
      <c r="V137" s="4">
        <f>ABS(Table22342102345678911[[#This Row],[anl-med]])</f>
        <v>1.2254999999999985</v>
      </c>
      <c r="W137" s="4">
        <f>Table22342102345678911[[#This Row],[lab-med]]*Table22342102345678911[[#This Row],[anl-med]]</f>
        <v>1.7034442034249957</v>
      </c>
    </row>
    <row r="138" spans="2:23" x14ac:dyDescent="0.25">
      <c r="B138" s="46">
        <f ca="1">VALUE((Table22342102345678911[[#This Row],[Column3]]-62))</f>
        <v>76</v>
      </c>
      <c r="C138" t="s">
        <v>144</v>
      </c>
      <c r="D138">
        <v>12.5</v>
      </c>
      <c r="E138"/>
      <c r="F138">
        <v>12.643000000000001</v>
      </c>
      <c r="G138" s="29">
        <f>Table22342102345678911[[#This Row],[Pierre]]-Table22342102345678911[[#This Row],[REF]]</f>
        <v>0.14300000000000068</v>
      </c>
      <c r="H138" s="29">
        <f>Table22342102345678911[[#This Row],[X-Y]]-E$20</f>
        <v>-0.14157501999999589</v>
      </c>
      <c r="I138" s="29">
        <f>Table22342102345678911[[#This Row],[Pierre]]-E$20</f>
        <v>12.358424980000004</v>
      </c>
      <c r="J138" s="29">
        <f>Table22342102345678911[[#This Row],[Pierre]]*E$21+E$22</f>
        <v>12.551325967485084</v>
      </c>
      <c r="K138" s="56">
        <f>Table22342102345678911[[#This Row],[Yest]]-Table22342102345678911[[#This Row],[REF]]</f>
        <v>5.1325967485084334E-2</v>
      </c>
      <c r="L138" s="56">
        <f>ABS(Table22342102345678911[[#This Row],[RESyx]])</f>
        <v>5.1325967485084334E-2</v>
      </c>
      <c r="M138" s="29">
        <f>Table22342102345678911[[#This Row],[Pierre]]*E$25+E$26</f>
        <v>12.612445123440756</v>
      </c>
      <c r="N138" s="29">
        <f>Table22342102345678911[[#This Row],[X-Y]]^2</f>
        <v>2.0449000000000196E-2</v>
      </c>
      <c r="O138" s="57">
        <f>Table22342102345678911[[#This Row],[yest_rect]]-Table22342102345678911[[#This Row],[REF]]</f>
        <v>0.11244512344075552</v>
      </c>
      <c r="P138" s="57">
        <f>Table22342102345678911[[#This Row],[dif rec]]^2</f>
        <v>1.2643905785606747E-2</v>
      </c>
      <c r="Q138" s="57">
        <f>ABS(Table22342102345678911[[#This Row],[diff-bias]])</f>
        <v>0.14157501999999589</v>
      </c>
      <c r="R138" s="57">
        <f ca="1">CELL("row",Table22342102345678911[[#This Row],[Position]])</f>
        <v>138</v>
      </c>
      <c r="S138" s="4">
        <f>Table22342102345678911[[#This Row],[REF]]-D$13</f>
        <v>1.4899997499999991</v>
      </c>
      <c r="T138" s="4">
        <f>ABS(Table22342102345678911[[#This Row],[lab-med]])</f>
        <v>1.4899997499999991</v>
      </c>
      <c r="U138" s="4">
        <f>Table22342102345678911[[#This Row],[Pierre]]-F$13</f>
        <v>1.3644999999999996</v>
      </c>
      <c r="V138" s="4">
        <f>ABS(Table22342102345678911[[#This Row],[anl-med]])</f>
        <v>1.3644999999999996</v>
      </c>
      <c r="W138" s="4">
        <f>Table22342102345678911[[#This Row],[lab-med]]*Table22342102345678911[[#This Row],[anl-med]]</f>
        <v>2.0331046588749979</v>
      </c>
    </row>
    <row r="139" spans="2:23" x14ac:dyDescent="0.25">
      <c r="B139" s="46">
        <f ca="1">VALUE((Table22342102345678911[[#This Row],[Column3]]-62))</f>
        <v>77</v>
      </c>
      <c r="C139" t="s">
        <v>145</v>
      </c>
      <c r="D139">
        <v>12.600000400000001</v>
      </c>
      <c r="E139"/>
      <c r="F139">
        <v>12.781000000000001</v>
      </c>
      <c r="G139" s="29">
        <f>Table22342102345678911[[#This Row],[Pierre]]-Table22342102345678911[[#This Row],[REF]]</f>
        <v>0.18099959999999982</v>
      </c>
      <c r="H139" s="29">
        <f>Table22342102345678911[[#This Row],[X-Y]]-E$20</f>
        <v>-0.10357541999999675</v>
      </c>
      <c r="I139" s="29">
        <f>Table22342102345678911[[#This Row],[Pierre]]-E$20</f>
        <v>12.496424980000004</v>
      </c>
      <c r="J139" s="29">
        <f>Table22342102345678911[[#This Row],[Pierre]]*E$21+E$22</f>
        <v>12.71064056705907</v>
      </c>
      <c r="K139" s="56">
        <f>Table22342102345678911[[#This Row],[Yest]]-Table22342102345678911[[#This Row],[REF]]</f>
        <v>0.11064016705906887</v>
      </c>
      <c r="L139" s="56">
        <f>ABS(Table22342102345678911[[#This Row],[RESyx]])</f>
        <v>0.11064016705906887</v>
      </c>
      <c r="M139" s="29">
        <f>Table22342102345678911[[#This Row],[Pierre]]*E$25+E$26</f>
        <v>12.778513085724178</v>
      </c>
      <c r="N139" s="29">
        <f>Table22342102345678911[[#This Row],[X-Y]]^2</f>
        <v>3.2760855200159936E-2</v>
      </c>
      <c r="O139" s="57">
        <f>Table22342102345678911[[#This Row],[yest_rect]]-Table22342102345678911[[#This Row],[REF]]</f>
        <v>0.17851268572417744</v>
      </c>
      <c r="P139" s="57">
        <f>Table22342102345678911[[#This Row],[dif rec]]^2</f>
        <v>3.1866778964458949E-2</v>
      </c>
      <c r="Q139" s="57">
        <f>ABS(Table22342102345678911[[#This Row],[diff-bias]])</f>
        <v>0.10357541999999675</v>
      </c>
      <c r="R139" s="57">
        <f ca="1">CELL("row",Table22342102345678911[[#This Row],[Position]])</f>
        <v>139</v>
      </c>
      <c r="S139" s="4">
        <f>Table22342102345678911[[#This Row],[REF]]-D$13</f>
        <v>1.5900001499999998</v>
      </c>
      <c r="T139" s="4">
        <f>ABS(Table22342102345678911[[#This Row],[lab-med]])</f>
        <v>1.5900001499999998</v>
      </c>
      <c r="U139" s="4">
        <f>Table22342102345678911[[#This Row],[Pierre]]-F$13</f>
        <v>1.5024999999999995</v>
      </c>
      <c r="V139" s="4">
        <f>ABS(Table22342102345678911[[#This Row],[anl-med]])</f>
        <v>1.5024999999999995</v>
      </c>
      <c r="W139" s="4">
        <f>Table22342102345678911[[#This Row],[lab-med]]*Table22342102345678911[[#This Row],[anl-med]]</f>
        <v>2.388975225374999</v>
      </c>
    </row>
    <row r="140" spans="2:23" x14ac:dyDescent="0.25">
      <c r="B140" s="46">
        <f ca="1">VALUE((Table22342102345678911[[#This Row],[Column3]]-62))</f>
        <v>78</v>
      </c>
      <c r="C140" t="s">
        <v>146</v>
      </c>
      <c r="D140">
        <v>12.670000099999999</v>
      </c>
      <c r="E140"/>
      <c r="F140">
        <v>12.975</v>
      </c>
      <c r="G140" s="29">
        <f>Table22342102345678911[[#This Row],[Pierre]]-Table22342102345678911[[#This Row],[REF]]</f>
        <v>0.30499990000000032</v>
      </c>
      <c r="H140" s="29">
        <f>Table22342102345678911[[#This Row],[X-Y]]-E$20</f>
        <v>2.0424880000003753E-2</v>
      </c>
      <c r="I140" s="29">
        <f>Table22342102345678911[[#This Row],[Pierre]]-E$20</f>
        <v>12.690424980000003</v>
      </c>
      <c r="J140" s="29">
        <f>Table22342102345678911[[#This Row],[Pierre]]*E$21+E$22</f>
        <v>12.934604569358731</v>
      </c>
      <c r="K140" s="56">
        <f>Table22342102345678911[[#This Row],[Yest]]-Table22342102345678911[[#This Row],[REF]]</f>
        <v>0.26460446935873172</v>
      </c>
      <c r="L140" s="56">
        <f>ABS(Table22342102345678911[[#This Row],[RESyx]])</f>
        <v>0.26460446935873172</v>
      </c>
      <c r="M140" s="29">
        <f>Table22342102345678911[[#This Row],[Pierre]]*E$25+E$26</f>
        <v>13.0119709457458</v>
      </c>
      <c r="N140" s="29">
        <f>Table22342102345678911[[#This Row],[X-Y]]^2</f>
        <v>9.3024939000010201E-2</v>
      </c>
      <c r="O140" s="57">
        <f>Table22342102345678911[[#This Row],[yest_rect]]-Table22342102345678911[[#This Row],[REF]]</f>
        <v>0.34197084574580039</v>
      </c>
      <c r="P140" s="57">
        <f>Table22342102345678911[[#This Row],[dif rec]]^2</f>
        <v>0.11694405934009801</v>
      </c>
      <c r="Q140" s="57">
        <f>ABS(Table22342102345678911[[#This Row],[diff-bias]])</f>
        <v>2.0424880000003753E-2</v>
      </c>
      <c r="R140" s="57">
        <f ca="1">CELL("row",Table22342102345678911[[#This Row],[Position]])</f>
        <v>140</v>
      </c>
      <c r="S140" s="4">
        <f>Table22342102345678911[[#This Row],[REF]]-D$13</f>
        <v>1.6599998499999984</v>
      </c>
      <c r="T140" s="4">
        <f>ABS(Table22342102345678911[[#This Row],[lab-med]])</f>
        <v>1.6599998499999984</v>
      </c>
      <c r="U140" s="4">
        <f>Table22342102345678911[[#This Row],[Pierre]]-F$13</f>
        <v>1.6964999999999986</v>
      </c>
      <c r="V140" s="4">
        <f>ABS(Table22342102345678911[[#This Row],[anl-med]])</f>
        <v>1.6964999999999986</v>
      </c>
      <c r="W140" s="4">
        <f>Table22342102345678911[[#This Row],[lab-med]]*Table22342102345678911[[#This Row],[anl-med]]</f>
        <v>2.8161897455249947</v>
      </c>
    </row>
    <row r="141" spans="2:23" x14ac:dyDescent="0.25">
      <c r="B141" s="46">
        <f ca="1">VALUE((Table22342102345678911[[#This Row],[Column3]]-62))</f>
        <v>79</v>
      </c>
      <c r="C141" t="s">
        <v>147</v>
      </c>
      <c r="D141">
        <v>12.699999800000001</v>
      </c>
      <c r="E141"/>
      <c r="F141">
        <v>12.911</v>
      </c>
      <c r="G141" s="29">
        <f>Table22342102345678911[[#This Row],[Pierre]]-Table22342102345678911[[#This Row],[REF]]</f>
        <v>0.21100019999999908</v>
      </c>
      <c r="H141" s="29">
        <f>Table22342102345678911[[#This Row],[X-Y]]-E$20</f>
        <v>-7.3574819999997487E-2</v>
      </c>
      <c r="I141" s="29">
        <f>Table22342102345678911[[#This Row],[Pierre]]-E$20</f>
        <v>12.626424980000003</v>
      </c>
      <c r="J141" s="29">
        <f>Table22342102345678911[[#This Row],[Pierre]]*E$21+E$22</f>
        <v>12.860719537672244</v>
      </c>
      <c r="K141" s="56">
        <f>Table22342102345678911[[#This Row],[Yest]]-Table22342102345678911[[#This Row],[REF]]</f>
        <v>0.16071973767224357</v>
      </c>
      <c r="L141" s="56">
        <f>ABS(Table22342102345678911[[#This Row],[RESyx]])</f>
        <v>0.16071973767224357</v>
      </c>
      <c r="M141" s="29">
        <f>Table22342102345678911[[#This Row],[Pierre]]*E$25+E$26</f>
        <v>12.934953919759286</v>
      </c>
      <c r="N141" s="29">
        <f>Table22342102345678911[[#This Row],[X-Y]]^2</f>
        <v>4.4521084400039615E-2</v>
      </c>
      <c r="O141" s="57">
        <f>Table22342102345678911[[#This Row],[yest_rect]]-Table22342102345678911[[#This Row],[REF]]</f>
        <v>0.23495411975928526</v>
      </c>
      <c r="P141" s="57">
        <f>Table22342102345678911[[#This Row],[dif rec]]^2</f>
        <v>5.5203438391860558E-2</v>
      </c>
      <c r="Q141" s="57">
        <f>ABS(Table22342102345678911[[#This Row],[diff-bias]])</f>
        <v>7.3574819999997487E-2</v>
      </c>
      <c r="R141" s="57">
        <f ca="1">CELL("row",Table22342102345678911[[#This Row],[Position]])</f>
        <v>141</v>
      </c>
      <c r="S141" s="4">
        <f>Table22342102345678911[[#This Row],[REF]]-D$13</f>
        <v>1.6899995499999996</v>
      </c>
      <c r="T141" s="4">
        <f>ABS(Table22342102345678911[[#This Row],[lab-med]])</f>
        <v>1.6899995499999996</v>
      </c>
      <c r="U141" s="4">
        <f>Table22342102345678911[[#This Row],[Pierre]]-F$13</f>
        <v>1.6324999999999985</v>
      </c>
      <c r="V141" s="4">
        <f>ABS(Table22342102345678911[[#This Row],[anl-med]])</f>
        <v>1.6324999999999985</v>
      </c>
      <c r="W141" s="4">
        <f>Table22342102345678911[[#This Row],[lab-med]]*Table22342102345678911[[#This Row],[anl-med]]</f>
        <v>2.7589242653749966</v>
      </c>
    </row>
    <row r="142" spans="2:23" x14ac:dyDescent="0.25">
      <c r="B142" s="46">
        <f ca="1">VALUE((Table22342102345678911[[#This Row],[Column3]]-62))</f>
        <v>80</v>
      </c>
      <c r="C142" t="s">
        <v>148</v>
      </c>
      <c r="D142">
        <v>14.4300003</v>
      </c>
      <c r="E142"/>
      <c r="F142">
        <v>14.247</v>
      </c>
      <c r="G142" s="29">
        <f>Table22342102345678911[[#This Row],[Pierre]]-Table22342102345678911[[#This Row],[REF]]</f>
        <v>-0.18300029999999978</v>
      </c>
      <c r="H142" s="29">
        <f>Table22342102345678911[[#This Row],[X-Y]]-E$20</f>
        <v>-0.46757531999999635</v>
      </c>
      <c r="I142" s="29">
        <f>Table22342102345678911[[#This Row],[Pierre]]-E$20</f>
        <v>13.962424980000003</v>
      </c>
      <c r="J142" s="29">
        <f>Table22342102345678911[[#This Row],[Pierre]]*E$21+E$22</f>
        <v>14.403069574127649</v>
      </c>
      <c r="K142" s="56">
        <f>Table22342102345678911[[#This Row],[Yest]]-Table22342102345678911[[#This Row],[REF]]</f>
        <v>-2.6930725872350791E-2</v>
      </c>
      <c r="L142" s="56">
        <f>ABS(Table22342102345678911[[#This Row],[RESyx]])</f>
        <v>2.6930725872350791E-2</v>
      </c>
      <c r="M142" s="29">
        <f>Table22342102345678911[[#This Row],[Pierre]]*E$25+E$26</f>
        <v>14.542684337227785</v>
      </c>
      <c r="N142" s="29">
        <f>Table22342102345678911[[#This Row],[X-Y]]^2</f>
        <v>3.3489109800089921E-2</v>
      </c>
      <c r="O142" s="57">
        <f>Table22342102345678911[[#This Row],[yest_rect]]-Table22342102345678911[[#This Row],[REF]]</f>
        <v>0.11268403722778508</v>
      </c>
      <c r="P142" s="57">
        <f>Table22342102345678911[[#This Row],[dif rec]]^2</f>
        <v>1.2697692245952855E-2</v>
      </c>
      <c r="Q142" s="57">
        <f>ABS(Table22342102345678911[[#This Row],[diff-bias]])</f>
        <v>0.46757531999999635</v>
      </c>
      <c r="R142" s="57">
        <f ca="1">CELL("row",Table22342102345678911[[#This Row],[Position]])</f>
        <v>142</v>
      </c>
      <c r="S142" s="4">
        <f>Table22342102345678911[[#This Row],[REF]]-D$13</f>
        <v>3.4200000499999987</v>
      </c>
      <c r="T142" s="4">
        <f>ABS(Table22342102345678911[[#This Row],[lab-med]])</f>
        <v>3.4200000499999987</v>
      </c>
      <c r="U142" s="4">
        <f>Table22342102345678911[[#This Row],[Pierre]]-F$13</f>
        <v>2.9684999999999988</v>
      </c>
      <c r="V142" s="4">
        <f>ABS(Table22342102345678911[[#This Row],[anl-med]])</f>
        <v>2.9684999999999988</v>
      </c>
      <c r="W142" s="4">
        <f>Table22342102345678911[[#This Row],[lab-med]]*Table22342102345678911[[#This Row],[anl-med]]</f>
        <v>10.152270148424993</v>
      </c>
    </row>
  </sheetData>
  <mergeCells count="1">
    <mergeCell ref="C3:K3"/>
  </mergeCells>
  <conditionalFormatting sqref="F63:F142">
    <cfRule type="expression" dxfId="87" priority="2" stopIfTrue="1">
      <formula>ABS(F63-#REF!)/#REF!&gt;3</formula>
    </cfRule>
  </conditionalFormatting>
  <conditionalFormatting sqref="D68:D72">
    <cfRule type="expression" dxfId="86" priority="1" stopIfTrue="1">
      <formula>ABS(D68-#REF!)/#REF!&gt;3</formula>
    </cfRule>
  </conditionalFormatting>
  <pageMargins left="0.75" right="0.75" top="1" bottom="1" header="0.5" footer="0.5"/>
  <pageSetup paperSize="9" scale="65" orientation="portrait" r:id="rId1"/>
  <headerFooter alignWithMargins="0">
    <oddHeader>&amp;A</oddHeader>
    <oddFooter>&amp;F</oddFooter>
  </headerFooter>
  <rowBreaks count="1" manualBreakCount="1">
    <brk id="58" max="16383" man="1"/>
  </rowBreaks>
  <drawing r:id="rId2"/>
  <legacyDrawing r:id="rId3"/>
  <tableParts count="1">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8AB51-74C9-4307-9131-263B1604AA58}">
  <dimension ref="A1:Q93"/>
  <sheetViews>
    <sheetView topLeftCell="A63" workbookViewId="0">
      <selection activeCell="M14" sqref="M14:M93"/>
    </sheetView>
  </sheetViews>
  <sheetFormatPr defaultRowHeight="13.2" x14ac:dyDescent="0.25"/>
  <sheetData>
    <row r="1" spans="1:17" x14ac:dyDescent="0.25">
      <c r="A1" t="s">
        <v>203</v>
      </c>
      <c r="J1" t="s">
        <v>226</v>
      </c>
    </row>
    <row r="3" spans="1:17" x14ac:dyDescent="0.25">
      <c r="A3" t="s">
        <v>204</v>
      </c>
      <c r="J3" t="s">
        <v>204</v>
      </c>
    </row>
    <row r="5" spans="1:17" x14ac:dyDescent="0.25">
      <c r="A5" t="s">
        <v>205</v>
      </c>
      <c r="C5">
        <v>0.46</v>
      </c>
      <c r="F5" t="s">
        <v>206</v>
      </c>
      <c r="G5">
        <v>80</v>
      </c>
      <c r="J5" t="s">
        <v>205</v>
      </c>
      <c r="L5">
        <v>0.47699999999999998</v>
      </c>
      <c r="O5" t="s">
        <v>206</v>
      </c>
      <c r="P5">
        <v>80</v>
      </c>
    </row>
    <row r="6" spans="1:17" x14ac:dyDescent="0.25">
      <c r="A6" t="s">
        <v>207</v>
      </c>
      <c r="C6">
        <v>11.109</v>
      </c>
      <c r="D6">
        <v>11.394</v>
      </c>
      <c r="E6" t="s">
        <v>208</v>
      </c>
      <c r="F6">
        <v>1.173</v>
      </c>
      <c r="G6">
        <v>0.97499999999999998</v>
      </c>
      <c r="J6" t="s">
        <v>207</v>
      </c>
      <c r="L6">
        <v>11.109</v>
      </c>
      <c r="M6">
        <v>11.465999999999999</v>
      </c>
      <c r="N6" t="s">
        <v>208</v>
      </c>
      <c r="O6">
        <v>1.173</v>
      </c>
      <c r="P6">
        <v>1.1020000000000001</v>
      </c>
    </row>
    <row r="7" spans="1:17" x14ac:dyDescent="0.25">
      <c r="A7" t="s">
        <v>209</v>
      </c>
      <c r="C7">
        <v>-0.28499999999999998</v>
      </c>
      <c r="F7" t="s">
        <v>210</v>
      </c>
      <c r="G7">
        <v>0.39100000000000001</v>
      </c>
      <c r="J7" t="s">
        <v>209</v>
      </c>
      <c r="L7">
        <v>-0.35699999999999998</v>
      </c>
      <c r="O7" t="s">
        <v>210</v>
      </c>
      <c r="P7">
        <v>0.40600000000000003</v>
      </c>
    </row>
    <row r="8" spans="1:17" x14ac:dyDescent="0.25">
      <c r="A8" t="s">
        <v>211</v>
      </c>
      <c r="C8">
        <v>0.36399999999999999</v>
      </c>
      <c r="F8" t="s">
        <v>212</v>
      </c>
      <c r="G8">
        <v>0.84799999999999998</v>
      </c>
      <c r="J8" t="s">
        <v>211</v>
      </c>
      <c r="L8">
        <v>0.318</v>
      </c>
      <c r="O8" t="s">
        <v>212</v>
      </c>
      <c r="P8">
        <v>0.879</v>
      </c>
    </row>
    <row r="9" spans="1:17" x14ac:dyDescent="0.25">
      <c r="A9" t="s">
        <v>213</v>
      </c>
      <c r="C9">
        <v>1.1539999999999999</v>
      </c>
      <c r="F9" t="s">
        <v>214</v>
      </c>
      <c r="H9">
        <v>0.92</v>
      </c>
      <c r="J9" t="s">
        <v>213</v>
      </c>
      <c r="L9">
        <v>1.0249999999999999</v>
      </c>
      <c r="O9" t="s">
        <v>214</v>
      </c>
      <c r="Q9">
        <v>0.92700000000000005</v>
      </c>
    </row>
    <row r="10" spans="1:17" x14ac:dyDescent="0.25">
      <c r="A10" t="s">
        <v>215</v>
      </c>
      <c r="B10">
        <v>1.46</v>
      </c>
      <c r="E10" t="s">
        <v>216</v>
      </c>
      <c r="F10">
        <v>0</v>
      </c>
      <c r="J10" t="s">
        <v>215</v>
      </c>
      <c r="K10">
        <v>0</v>
      </c>
      <c r="N10" t="s">
        <v>216</v>
      </c>
      <c r="O10">
        <v>0</v>
      </c>
    </row>
    <row r="12" spans="1:17" x14ac:dyDescent="0.25">
      <c r="A12" t="s">
        <v>217</v>
      </c>
      <c r="B12" t="s">
        <v>218</v>
      </c>
      <c r="C12" t="s">
        <v>219</v>
      </c>
      <c r="D12" t="s">
        <v>220</v>
      </c>
      <c r="E12" t="s">
        <v>221</v>
      </c>
      <c r="F12" t="s">
        <v>222</v>
      </c>
      <c r="G12" t="s">
        <v>223</v>
      </c>
      <c r="H12" t="s">
        <v>224</v>
      </c>
      <c r="J12" t="s">
        <v>217</v>
      </c>
      <c r="K12" t="s">
        <v>218</v>
      </c>
      <c r="L12" t="s">
        <v>219</v>
      </c>
      <c r="M12" t="s">
        <v>220</v>
      </c>
      <c r="N12" t="s">
        <v>221</v>
      </c>
      <c r="O12" t="s">
        <v>222</v>
      </c>
      <c r="P12" t="s">
        <v>223</v>
      </c>
      <c r="Q12" t="s">
        <v>224</v>
      </c>
    </row>
    <row r="14" spans="1:17" x14ac:dyDescent="0.25">
      <c r="A14">
        <v>1</v>
      </c>
      <c r="B14" t="s">
        <v>69</v>
      </c>
      <c r="C14">
        <v>9.94</v>
      </c>
      <c r="D14">
        <v>10.37</v>
      </c>
      <c r="E14">
        <v>-0.43</v>
      </c>
      <c r="F14">
        <v>-0.14499999999999999</v>
      </c>
      <c r="G14">
        <v>2.331</v>
      </c>
      <c r="H14">
        <v>0</v>
      </c>
      <c r="J14">
        <v>1</v>
      </c>
      <c r="K14" t="s">
        <v>69</v>
      </c>
      <c r="L14">
        <v>9.94</v>
      </c>
      <c r="M14">
        <v>9.8580000000000005</v>
      </c>
      <c r="N14">
        <v>8.2000000000000003E-2</v>
      </c>
      <c r="O14">
        <v>0.439</v>
      </c>
      <c r="P14">
        <v>0</v>
      </c>
      <c r="Q14">
        <v>0</v>
      </c>
    </row>
    <row r="15" spans="1:17" x14ac:dyDescent="0.25">
      <c r="A15">
        <v>2</v>
      </c>
      <c r="B15" t="s">
        <v>70</v>
      </c>
      <c r="C15">
        <v>10.02</v>
      </c>
      <c r="D15">
        <v>10.782</v>
      </c>
      <c r="E15">
        <v>-0.76200000000000001</v>
      </c>
      <c r="F15">
        <v>-0.47799999999999998</v>
      </c>
      <c r="G15">
        <v>1.591</v>
      </c>
      <c r="H15">
        <v>0</v>
      </c>
      <c r="J15">
        <v>2</v>
      </c>
      <c r="K15" t="s">
        <v>70</v>
      </c>
      <c r="L15">
        <v>10.02</v>
      </c>
      <c r="M15">
        <v>10.644</v>
      </c>
      <c r="N15">
        <v>-0.624</v>
      </c>
      <c r="O15">
        <v>-0.26800000000000002</v>
      </c>
      <c r="P15">
        <v>0</v>
      </c>
      <c r="Q15">
        <v>0</v>
      </c>
    </row>
    <row r="16" spans="1:17" x14ac:dyDescent="0.25">
      <c r="A16">
        <v>3</v>
      </c>
      <c r="B16" t="s">
        <v>71</v>
      </c>
      <c r="C16">
        <v>10</v>
      </c>
      <c r="D16">
        <v>10.478999999999999</v>
      </c>
      <c r="E16">
        <v>-0.47899999999999998</v>
      </c>
      <c r="F16">
        <v>-0.19500000000000001</v>
      </c>
      <c r="G16">
        <v>1.776</v>
      </c>
      <c r="H16">
        <v>0</v>
      </c>
      <c r="J16">
        <v>3</v>
      </c>
      <c r="K16" t="s">
        <v>71</v>
      </c>
      <c r="L16">
        <v>10</v>
      </c>
      <c r="M16">
        <v>10.348000000000001</v>
      </c>
      <c r="N16">
        <v>-0.34799999999999998</v>
      </c>
      <c r="O16">
        <v>8.0000000000000002E-3</v>
      </c>
      <c r="P16">
        <v>0</v>
      </c>
      <c r="Q16">
        <v>0</v>
      </c>
    </row>
    <row r="17" spans="1:17" x14ac:dyDescent="0.25">
      <c r="A17">
        <v>4</v>
      </c>
      <c r="B17" t="s">
        <v>72</v>
      </c>
      <c r="C17">
        <v>10.5</v>
      </c>
      <c r="D17">
        <v>10.999000000000001</v>
      </c>
      <c r="E17">
        <v>-0.499</v>
      </c>
      <c r="F17">
        <v>-0.214</v>
      </c>
      <c r="G17">
        <v>1.2989999999999999</v>
      </c>
      <c r="H17">
        <v>0</v>
      </c>
      <c r="J17">
        <v>4</v>
      </c>
      <c r="K17" t="s">
        <v>72</v>
      </c>
      <c r="L17">
        <v>10.5</v>
      </c>
      <c r="M17">
        <v>10.862</v>
      </c>
      <c r="N17">
        <v>-0.36199999999999999</v>
      </c>
      <c r="O17">
        <v>-5.0000000000000001E-3</v>
      </c>
      <c r="P17">
        <v>0</v>
      </c>
      <c r="Q17">
        <v>0</v>
      </c>
    </row>
    <row r="18" spans="1:17" x14ac:dyDescent="0.25">
      <c r="A18">
        <v>5</v>
      </c>
      <c r="B18" t="s">
        <v>73</v>
      </c>
      <c r="C18">
        <v>10.78</v>
      </c>
      <c r="D18">
        <v>10.672000000000001</v>
      </c>
      <c r="E18">
        <v>0.108</v>
      </c>
      <c r="F18">
        <v>0.39200000000000002</v>
      </c>
      <c r="G18">
        <v>1.732</v>
      </c>
      <c r="H18">
        <v>0</v>
      </c>
      <c r="J18">
        <v>5</v>
      </c>
      <c r="K18" t="s">
        <v>73</v>
      </c>
      <c r="L18">
        <v>10.78</v>
      </c>
      <c r="M18">
        <v>11.31</v>
      </c>
      <c r="N18">
        <v>-0.53</v>
      </c>
      <c r="O18">
        <v>-0.17399999999999999</v>
      </c>
      <c r="P18">
        <v>0</v>
      </c>
      <c r="Q18">
        <v>0</v>
      </c>
    </row>
    <row r="19" spans="1:17" x14ac:dyDescent="0.25">
      <c r="A19">
        <v>6</v>
      </c>
      <c r="B19" t="s">
        <v>74</v>
      </c>
      <c r="C19">
        <v>10.45</v>
      </c>
      <c r="D19">
        <v>10.839</v>
      </c>
      <c r="E19">
        <v>-0.38900000000000001</v>
      </c>
      <c r="F19">
        <v>-0.105</v>
      </c>
      <c r="G19">
        <v>1.9119999999999999</v>
      </c>
      <c r="H19">
        <v>0</v>
      </c>
      <c r="J19">
        <v>6</v>
      </c>
      <c r="K19" t="s">
        <v>74</v>
      </c>
      <c r="L19">
        <v>10.45</v>
      </c>
      <c r="M19">
        <v>10.817</v>
      </c>
      <c r="N19">
        <v>-0.36699999999999999</v>
      </c>
      <c r="O19">
        <v>-1.0999999999999999E-2</v>
      </c>
      <c r="P19">
        <v>0</v>
      </c>
      <c r="Q19">
        <v>0</v>
      </c>
    </row>
    <row r="20" spans="1:17" x14ac:dyDescent="0.25">
      <c r="A20">
        <v>7</v>
      </c>
      <c r="B20" t="s">
        <v>75</v>
      </c>
      <c r="C20">
        <v>11.02</v>
      </c>
      <c r="D20">
        <v>10.412000000000001</v>
      </c>
      <c r="E20">
        <v>0.60799999999999998</v>
      </c>
      <c r="F20">
        <v>0.89300000000000002</v>
      </c>
      <c r="G20">
        <v>2.6190000000000002</v>
      </c>
      <c r="H20">
        <v>0</v>
      </c>
      <c r="J20">
        <v>7</v>
      </c>
      <c r="K20" t="s">
        <v>75</v>
      </c>
      <c r="L20">
        <v>11.02</v>
      </c>
      <c r="M20">
        <v>11.191000000000001</v>
      </c>
      <c r="N20">
        <v>-0.17100000000000001</v>
      </c>
      <c r="O20">
        <v>0.186</v>
      </c>
      <c r="P20">
        <v>0</v>
      </c>
      <c r="Q20">
        <v>0</v>
      </c>
    </row>
    <row r="21" spans="1:17" x14ac:dyDescent="0.25">
      <c r="A21">
        <v>8</v>
      </c>
      <c r="B21" t="s">
        <v>76</v>
      </c>
      <c r="C21">
        <v>10.8</v>
      </c>
      <c r="D21">
        <v>10.925000000000001</v>
      </c>
      <c r="E21">
        <v>-0.125</v>
      </c>
      <c r="F21">
        <v>0.159</v>
      </c>
      <c r="G21">
        <v>1</v>
      </c>
      <c r="H21">
        <v>0</v>
      </c>
      <c r="J21">
        <v>8</v>
      </c>
      <c r="K21" t="s">
        <v>76</v>
      </c>
      <c r="L21">
        <v>10.8</v>
      </c>
      <c r="M21">
        <v>11.204000000000001</v>
      </c>
      <c r="N21">
        <v>-0.40400000000000003</v>
      </c>
      <c r="O21">
        <v>-4.8000000000000001E-2</v>
      </c>
      <c r="P21">
        <v>0</v>
      </c>
      <c r="Q21">
        <v>0</v>
      </c>
    </row>
    <row r="22" spans="1:17" x14ac:dyDescent="0.25">
      <c r="A22">
        <v>9</v>
      </c>
      <c r="B22" t="s">
        <v>77</v>
      </c>
      <c r="C22">
        <v>10.88</v>
      </c>
      <c r="D22">
        <v>10.855</v>
      </c>
      <c r="E22">
        <v>2.5000000000000001E-2</v>
      </c>
      <c r="F22">
        <v>0.309</v>
      </c>
      <c r="G22">
        <v>1.4359999999999999</v>
      </c>
      <c r="H22">
        <v>0</v>
      </c>
      <c r="J22">
        <v>9</v>
      </c>
      <c r="K22" t="s">
        <v>77</v>
      </c>
      <c r="L22">
        <v>10.88</v>
      </c>
      <c r="M22">
        <v>11.263999999999999</v>
      </c>
      <c r="N22">
        <v>-0.38400000000000001</v>
      </c>
      <c r="O22">
        <v>-2.7E-2</v>
      </c>
      <c r="P22">
        <v>0</v>
      </c>
      <c r="Q22">
        <v>0</v>
      </c>
    </row>
    <row r="23" spans="1:17" x14ac:dyDescent="0.25">
      <c r="A23">
        <v>10</v>
      </c>
      <c r="B23" t="s">
        <v>78</v>
      </c>
      <c r="C23">
        <v>11.06</v>
      </c>
      <c r="D23">
        <v>11.38</v>
      </c>
      <c r="E23">
        <v>-0.32</v>
      </c>
      <c r="F23">
        <v>-3.5999999999999997E-2</v>
      </c>
      <c r="G23">
        <v>1.605</v>
      </c>
      <c r="H23">
        <v>0</v>
      </c>
      <c r="J23">
        <v>10</v>
      </c>
      <c r="K23" t="s">
        <v>78</v>
      </c>
      <c r="L23">
        <v>11.06</v>
      </c>
      <c r="M23">
        <v>11.099</v>
      </c>
      <c r="N23">
        <v>-3.9E-2</v>
      </c>
      <c r="O23">
        <v>0.317</v>
      </c>
      <c r="P23">
        <v>0</v>
      </c>
      <c r="Q23">
        <v>0</v>
      </c>
    </row>
    <row r="24" spans="1:17" x14ac:dyDescent="0.25">
      <c r="A24">
        <v>11</v>
      </c>
      <c r="B24" t="s">
        <v>79</v>
      </c>
      <c r="C24">
        <v>11.09</v>
      </c>
      <c r="D24">
        <v>11.125</v>
      </c>
      <c r="E24">
        <v>-3.5000000000000003E-2</v>
      </c>
      <c r="F24">
        <v>0.25</v>
      </c>
      <c r="G24">
        <v>1.1830000000000001</v>
      </c>
      <c r="H24">
        <v>0</v>
      </c>
      <c r="J24">
        <v>11</v>
      </c>
      <c r="K24" t="s">
        <v>79</v>
      </c>
      <c r="L24">
        <v>11.09</v>
      </c>
      <c r="M24">
        <v>11.324</v>
      </c>
      <c r="N24">
        <v>-0.23400000000000001</v>
      </c>
      <c r="O24">
        <v>0.123</v>
      </c>
      <c r="P24">
        <v>0</v>
      </c>
      <c r="Q24">
        <v>0</v>
      </c>
    </row>
    <row r="25" spans="1:17" x14ac:dyDescent="0.25">
      <c r="A25">
        <v>12</v>
      </c>
      <c r="B25" t="s">
        <v>80</v>
      </c>
      <c r="C25">
        <v>11.62</v>
      </c>
      <c r="D25">
        <v>11.51</v>
      </c>
      <c r="E25">
        <v>0.11</v>
      </c>
      <c r="F25">
        <v>0.39400000000000002</v>
      </c>
      <c r="G25">
        <v>0.91</v>
      </c>
      <c r="H25">
        <v>0</v>
      </c>
      <c r="J25">
        <v>12</v>
      </c>
      <c r="K25" t="s">
        <v>80</v>
      </c>
      <c r="L25">
        <v>11.62</v>
      </c>
      <c r="M25">
        <v>11.506</v>
      </c>
      <c r="N25">
        <v>0.114</v>
      </c>
      <c r="O25">
        <v>0.47099999999999997</v>
      </c>
      <c r="P25">
        <v>0</v>
      </c>
      <c r="Q25">
        <v>0</v>
      </c>
    </row>
    <row r="26" spans="1:17" x14ac:dyDescent="0.25">
      <c r="A26">
        <v>13</v>
      </c>
      <c r="B26" t="s">
        <v>81</v>
      </c>
      <c r="C26">
        <v>9.9600000000000009</v>
      </c>
      <c r="D26">
        <v>10.608000000000001</v>
      </c>
      <c r="E26">
        <v>-0.64800000000000002</v>
      </c>
      <c r="F26">
        <v>-0.36399999999999999</v>
      </c>
      <c r="G26">
        <v>0.77700000000000002</v>
      </c>
      <c r="H26">
        <v>0</v>
      </c>
      <c r="J26">
        <v>13</v>
      </c>
      <c r="K26" t="s">
        <v>81</v>
      </c>
      <c r="L26">
        <v>9.9600000000000009</v>
      </c>
      <c r="M26">
        <v>10.398999999999999</v>
      </c>
      <c r="N26">
        <v>-0.439</v>
      </c>
      <c r="O26">
        <v>-8.2000000000000003E-2</v>
      </c>
      <c r="P26">
        <v>0</v>
      </c>
      <c r="Q26">
        <v>0</v>
      </c>
    </row>
    <row r="27" spans="1:17" x14ac:dyDescent="0.25">
      <c r="A27">
        <v>14</v>
      </c>
      <c r="B27" t="s">
        <v>82</v>
      </c>
      <c r="C27">
        <v>9.5</v>
      </c>
      <c r="D27">
        <v>10.714</v>
      </c>
      <c r="E27">
        <v>-1.214</v>
      </c>
      <c r="F27">
        <v>-0.93</v>
      </c>
      <c r="G27">
        <v>1.2869999999999999</v>
      </c>
      <c r="H27">
        <v>0</v>
      </c>
      <c r="J27">
        <v>14</v>
      </c>
      <c r="K27" t="s">
        <v>82</v>
      </c>
      <c r="L27">
        <v>9.5</v>
      </c>
      <c r="M27">
        <v>10.36</v>
      </c>
      <c r="N27">
        <v>-0.86</v>
      </c>
      <c r="O27">
        <v>-0.503</v>
      </c>
      <c r="P27">
        <v>0</v>
      </c>
      <c r="Q27">
        <v>0</v>
      </c>
    </row>
    <row r="28" spans="1:17" x14ac:dyDescent="0.25">
      <c r="A28">
        <v>15</v>
      </c>
      <c r="B28" t="s">
        <v>83</v>
      </c>
      <c r="C28">
        <v>9.99</v>
      </c>
      <c r="D28">
        <v>10.763</v>
      </c>
      <c r="E28">
        <v>-0.77300000000000002</v>
      </c>
      <c r="F28">
        <v>-0.48799999999999999</v>
      </c>
      <c r="G28">
        <v>1.3660000000000001</v>
      </c>
      <c r="H28">
        <v>0</v>
      </c>
      <c r="J28">
        <v>15</v>
      </c>
      <c r="K28" t="s">
        <v>83</v>
      </c>
      <c r="L28">
        <v>9.99</v>
      </c>
      <c r="M28">
        <v>11.009</v>
      </c>
      <c r="N28">
        <v>-1.0189999999999999</v>
      </c>
      <c r="O28">
        <v>-0.66200000000000003</v>
      </c>
      <c r="P28">
        <v>0</v>
      </c>
      <c r="Q28">
        <v>0</v>
      </c>
    </row>
    <row r="29" spans="1:17" x14ac:dyDescent="0.25">
      <c r="A29">
        <v>16</v>
      </c>
      <c r="B29" t="s">
        <v>84</v>
      </c>
      <c r="C29">
        <v>10.01</v>
      </c>
      <c r="D29">
        <v>10.756</v>
      </c>
      <c r="E29">
        <v>-0.746</v>
      </c>
      <c r="F29">
        <v>-0.46200000000000002</v>
      </c>
      <c r="G29">
        <v>0.77100000000000002</v>
      </c>
      <c r="H29">
        <v>0</v>
      </c>
      <c r="J29">
        <v>16</v>
      </c>
      <c r="K29" t="s">
        <v>84</v>
      </c>
      <c r="L29">
        <v>10.01</v>
      </c>
      <c r="M29">
        <v>10.917</v>
      </c>
      <c r="N29">
        <v>-0.90700000000000003</v>
      </c>
      <c r="O29">
        <v>-0.55100000000000005</v>
      </c>
      <c r="P29">
        <v>0</v>
      </c>
      <c r="Q29">
        <v>0</v>
      </c>
    </row>
    <row r="30" spans="1:17" x14ac:dyDescent="0.25">
      <c r="A30">
        <v>17</v>
      </c>
      <c r="B30" t="s">
        <v>85</v>
      </c>
      <c r="C30">
        <v>9.83</v>
      </c>
      <c r="D30">
        <v>10.742000000000001</v>
      </c>
      <c r="E30">
        <v>-0.91200000000000003</v>
      </c>
      <c r="F30">
        <v>-0.628</v>
      </c>
      <c r="G30">
        <v>1.1950000000000001</v>
      </c>
      <c r="H30">
        <v>0</v>
      </c>
      <c r="J30">
        <v>17</v>
      </c>
      <c r="K30" t="s">
        <v>85</v>
      </c>
      <c r="L30">
        <v>9.83</v>
      </c>
      <c r="M30">
        <v>10.561999999999999</v>
      </c>
      <c r="N30">
        <v>-0.73199999999999998</v>
      </c>
      <c r="O30">
        <v>-0.376</v>
      </c>
      <c r="P30">
        <v>0</v>
      </c>
      <c r="Q30">
        <v>0</v>
      </c>
    </row>
    <row r="31" spans="1:17" x14ac:dyDescent="0.25">
      <c r="A31">
        <v>18</v>
      </c>
      <c r="B31" t="s">
        <v>86</v>
      </c>
      <c r="C31">
        <v>9.57</v>
      </c>
      <c r="D31">
        <v>9.8019999999999996</v>
      </c>
      <c r="E31">
        <v>-0.23200000000000001</v>
      </c>
      <c r="F31">
        <v>5.1999999999999998E-2</v>
      </c>
      <c r="G31">
        <v>1.38</v>
      </c>
      <c r="H31">
        <v>0</v>
      </c>
      <c r="J31">
        <v>18</v>
      </c>
      <c r="K31" t="s">
        <v>86</v>
      </c>
      <c r="L31">
        <v>9.57</v>
      </c>
      <c r="M31">
        <v>9.9499999999999993</v>
      </c>
      <c r="N31">
        <v>-0.38</v>
      </c>
      <c r="O31">
        <v>-2.3E-2</v>
      </c>
      <c r="P31">
        <v>0</v>
      </c>
      <c r="Q31">
        <v>0</v>
      </c>
    </row>
    <row r="32" spans="1:17" x14ac:dyDescent="0.25">
      <c r="A32">
        <v>19</v>
      </c>
      <c r="B32" t="s">
        <v>87</v>
      </c>
      <c r="C32">
        <v>9.92</v>
      </c>
      <c r="D32">
        <v>11.048999999999999</v>
      </c>
      <c r="E32">
        <v>-1.129</v>
      </c>
      <c r="F32">
        <v>-0.84399999999999997</v>
      </c>
      <c r="G32">
        <v>1.018</v>
      </c>
      <c r="H32">
        <v>0</v>
      </c>
      <c r="J32">
        <v>19</v>
      </c>
      <c r="K32" t="s">
        <v>87</v>
      </c>
      <c r="L32">
        <v>9.92</v>
      </c>
      <c r="M32">
        <v>10.692</v>
      </c>
      <c r="N32">
        <v>-0.77200000000000002</v>
      </c>
      <c r="O32">
        <v>-0.41599999999999998</v>
      </c>
      <c r="P32">
        <v>0</v>
      </c>
      <c r="Q32">
        <v>0</v>
      </c>
    </row>
    <row r="33" spans="1:17" x14ac:dyDescent="0.25">
      <c r="A33">
        <v>20</v>
      </c>
      <c r="B33" t="s">
        <v>88</v>
      </c>
      <c r="C33">
        <v>11.67</v>
      </c>
      <c r="D33">
        <v>11.494999999999999</v>
      </c>
      <c r="E33">
        <v>0.17499999999999999</v>
      </c>
      <c r="F33">
        <v>0.46</v>
      </c>
      <c r="G33">
        <v>1.401</v>
      </c>
      <c r="H33">
        <v>0</v>
      </c>
      <c r="J33">
        <v>20</v>
      </c>
      <c r="K33" t="s">
        <v>88</v>
      </c>
      <c r="L33">
        <v>11.67</v>
      </c>
      <c r="M33">
        <v>11.878</v>
      </c>
      <c r="N33">
        <v>-0.20799999999999999</v>
      </c>
      <c r="O33">
        <v>0.14899999999999999</v>
      </c>
      <c r="P33">
        <v>0</v>
      </c>
      <c r="Q33">
        <v>0</v>
      </c>
    </row>
    <row r="34" spans="1:17" x14ac:dyDescent="0.25">
      <c r="A34">
        <v>21</v>
      </c>
      <c r="B34" t="s">
        <v>89</v>
      </c>
      <c r="C34">
        <v>11.5</v>
      </c>
      <c r="D34">
        <v>11.731999999999999</v>
      </c>
      <c r="E34">
        <v>-0.23200000000000001</v>
      </c>
      <c r="F34">
        <v>5.2999999999999999E-2</v>
      </c>
      <c r="G34">
        <v>1.5249999999999999</v>
      </c>
      <c r="H34">
        <v>0</v>
      </c>
      <c r="J34">
        <v>21</v>
      </c>
      <c r="K34" t="s">
        <v>89</v>
      </c>
      <c r="L34">
        <v>11.5</v>
      </c>
      <c r="M34">
        <v>11.94</v>
      </c>
      <c r="N34">
        <v>-0.44</v>
      </c>
      <c r="O34">
        <v>-8.3000000000000004E-2</v>
      </c>
      <c r="P34">
        <v>0</v>
      </c>
      <c r="Q34">
        <v>0</v>
      </c>
    </row>
    <row r="35" spans="1:17" x14ac:dyDescent="0.25">
      <c r="A35">
        <v>22</v>
      </c>
      <c r="B35" t="s">
        <v>90</v>
      </c>
      <c r="C35">
        <v>11.37</v>
      </c>
      <c r="D35">
        <v>12.137</v>
      </c>
      <c r="E35">
        <v>-0.76700000000000002</v>
      </c>
      <c r="F35">
        <v>-0.48199999999999998</v>
      </c>
      <c r="G35">
        <v>1.093</v>
      </c>
      <c r="H35">
        <v>0</v>
      </c>
      <c r="J35">
        <v>22</v>
      </c>
      <c r="K35" t="s">
        <v>90</v>
      </c>
      <c r="L35">
        <v>11.37</v>
      </c>
      <c r="M35">
        <v>11.715</v>
      </c>
      <c r="N35">
        <v>-0.34499999999999997</v>
      </c>
      <c r="O35">
        <v>1.2E-2</v>
      </c>
      <c r="P35">
        <v>0</v>
      </c>
      <c r="Q35">
        <v>0</v>
      </c>
    </row>
    <row r="36" spans="1:17" x14ac:dyDescent="0.25">
      <c r="A36">
        <v>23</v>
      </c>
      <c r="B36" t="s">
        <v>91</v>
      </c>
      <c r="C36">
        <v>11.59</v>
      </c>
      <c r="D36">
        <v>11.295</v>
      </c>
      <c r="E36">
        <v>0.29499999999999998</v>
      </c>
      <c r="F36">
        <v>0.57999999999999996</v>
      </c>
      <c r="G36">
        <v>1.375</v>
      </c>
      <c r="H36">
        <v>0</v>
      </c>
      <c r="J36">
        <v>23</v>
      </c>
      <c r="K36" t="s">
        <v>91</v>
      </c>
      <c r="L36">
        <v>11.59</v>
      </c>
      <c r="M36">
        <v>11.677</v>
      </c>
      <c r="N36">
        <v>-8.6999999999999994E-2</v>
      </c>
      <c r="O36">
        <v>0.27</v>
      </c>
      <c r="P36">
        <v>0</v>
      </c>
      <c r="Q36">
        <v>0</v>
      </c>
    </row>
    <row r="37" spans="1:17" x14ac:dyDescent="0.25">
      <c r="A37">
        <v>24</v>
      </c>
      <c r="B37" t="s">
        <v>92</v>
      </c>
      <c r="C37">
        <v>9.8800000000000008</v>
      </c>
      <c r="D37">
        <v>10.375</v>
      </c>
      <c r="E37">
        <v>-0.495</v>
      </c>
      <c r="F37">
        <v>-0.21</v>
      </c>
      <c r="G37">
        <v>1.3069999999999999</v>
      </c>
      <c r="H37">
        <v>0</v>
      </c>
      <c r="J37">
        <v>24</v>
      </c>
      <c r="K37" t="s">
        <v>92</v>
      </c>
      <c r="L37">
        <v>9.8800000000000008</v>
      </c>
      <c r="M37">
        <v>9.9309999999999992</v>
      </c>
      <c r="N37">
        <v>-5.0999999999999997E-2</v>
      </c>
      <c r="O37">
        <v>0.30599999999999999</v>
      </c>
      <c r="P37">
        <v>0</v>
      </c>
      <c r="Q37">
        <v>0</v>
      </c>
    </row>
    <row r="38" spans="1:17" x14ac:dyDescent="0.25">
      <c r="A38">
        <v>25</v>
      </c>
      <c r="B38" t="s">
        <v>93</v>
      </c>
      <c r="C38">
        <v>11.84</v>
      </c>
      <c r="D38">
        <v>12.18</v>
      </c>
      <c r="E38">
        <v>-0.34</v>
      </c>
      <c r="F38">
        <v>-5.5E-2</v>
      </c>
      <c r="G38">
        <v>1.55</v>
      </c>
      <c r="H38">
        <v>0</v>
      </c>
      <c r="J38">
        <v>25</v>
      </c>
      <c r="K38" t="s">
        <v>93</v>
      </c>
      <c r="L38">
        <v>11.84</v>
      </c>
      <c r="M38">
        <v>12.31</v>
      </c>
      <c r="N38">
        <v>-0.47</v>
      </c>
      <c r="O38">
        <v>-0.113</v>
      </c>
      <c r="P38">
        <v>0</v>
      </c>
      <c r="Q38">
        <v>0</v>
      </c>
    </row>
    <row r="39" spans="1:17" x14ac:dyDescent="0.25">
      <c r="A39">
        <v>26</v>
      </c>
      <c r="B39" t="s">
        <v>94</v>
      </c>
      <c r="C39">
        <v>10</v>
      </c>
      <c r="D39">
        <v>10.208</v>
      </c>
      <c r="E39">
        <v>-0.20799999999999999</v>
      </c>
      <c r="F39">
        <v>7.6999999999999999E-2</v>
      </c>
      <c r="G39">
        <v>2.0139999999999998</v>
      </c>
      <c r="H39">
        <v>0</v>
      </c>
      <c r="J39">
        <v>26</v>
      </c>
      <c r="K39" t="s">
        <v>94</v>
      </c>
      <c r="L39">
        <v>10</v>
      </c>
      <c r="M39">
        <v>10.117000000000001</v>
      </c>
      <c r="N39">
        <v>-0.11700000000000001</v>
      </c>
      <c r="O39">
        <v>0.24</v>
      </c>
      <c r="P39">
        <v>0</v>
      </c>
      <c r="Q39">
        <v>0</v>
      </c>
    </row>
    <row r="40" spans="1:17" x14ac:dyDescent="0.25">
      <c r="A40">
        <v>27</v>
      </c>
      <c r="B40" t="s">
        <v>95</v>
      </c>
      <c r="C40">
        <v>10.1</v>
      </c>
      <c r="D40">
        <v>10.289</v>
      </c>
      <c r="E40">
        <v>-0.189</v>
      </c>
      <c r="F40">
        <v>9.5000000000000001E-2</v>
      </c>
      <c r="G40">
        <v>1.5109999999999999</v>
      </c>
      <c r="H40">
        <v>0</v>
      </c>
      <c r="J40">
        <v>27</v>
      </c>
      <c r="K40" t="s">
        <v>95</v>
      </c>
      <c r="L40">
        <v>10.1</v>
      </c>
      <c r="M40">
        <v>11.13</v>
      </c>
      <c r="N40">
        <v>-1.03</v>
      </c>
      <c r="O40">
        <v>-0.67400000000000004</v>
      </c>
      <c r="P40">
        <v>0</v>
      </c>
      <c r="Q40">
        <v>0</v>
      </c>
    </row>
    <row r="41" spans="1:17" x14ac:dyDescent="0.25">
      <c r="A41">
        <v>28</v>
      </c>
      <c r="B41" t="s">
        <v>96</v>
      </c>
      <c r="C41">
        <v>11.4</v>
      </c>
      <c r="D41">
        <v>11.819000000000001</v>
      </c>
      <c r="E41">
        <v>-0.41899999999999998</v>
      </c>
      <c r="F41">
        <v>-0.13500000000000001</v>
      </c>
      <c r="G41">
        <v>0.95499999999999996</v>
      </c>
      <c r="H41">
        <v>0</v>
      </c>
      <c r="J41">
        <v>28</v>
      </c>
      <c r="K41" t="s">
        <v>96</v>
      </c>
      <c r="L41">
        <v>11.4</v>
      </c>
      <c r="M41">
        <v>11.696999999999999</v>
      </c>
      <c r="N41">
        <v>-0.29699999999999999</v>
      </c>
      <c r="O41">
        <v>0.06</v>
      </c>
      <c r="P41">
        <v>0</v>
      </c>
      <c r="Q41">
        <v>0</v>
      </c>
    </row>
    <row r="42" spans="1:17" x14ac:dyDescent="0.25">
      <c r="A42">
        <v>29</v>
      </c>
      <c r="B42" t="s">
        <v>97</v>
      </c>
      <c r="C42">
        <v>10.28</v>
      </c>
      <c r="D42">
        <v>10.573</v>
      </c>
      <c r="E42">
        <v>-0.29299999999999998</v>
      </c>
      <c r="F42">
        <v>-8.0000000000000002E-3</v>
      </c>
      <c r="G42">
        <v>1.4710000000000001</v>
      </c>
      <c r="H42">
        <v>0</v>
      </c>
      <c r="J42">
        <v>29</v>
      </c>
      <c r="K42" t="s">
        <v>97</v>
      </c>
      <c r="L42">
        <v>10.28</v>
      </c>
      <c r="M42">
        <v>10.548</v>
      </c>
      <c r="N42">
        <v>-0.26800000000000002</v>
      </c>
      <c r="O42">
        <v>8.8999999999999996E-2</v>
      </c>
      <c r="P42">
        <v>0</v>
      </c>
      <c r="Q42">
        <v>0</v>
      </c>
    </row>
    <row r="43" spans="1:17" x14ac:dyDescent="0.25">
      <c r="A43">
        <v>30</v>
      </c>
      <c r="B43" t="s">
        <v>98</v>
      </c>
      <c r="C43">
        <v>12.21</v>
      </c>
      <c r="D43">
        <v>11.872</v>
      </c>
      <c r="E43">
        <v>0.33800000000000002</v>
      </c>
      <c r="F43">
        <v>0.622</v>
      </c>
      <c r="G43">
        <v>0.95</v>
      </c>
      <c r="H43">
        <v>0</v>
      </c>
      <c r="J43">
        <v>30</v>
      </c>
      <c r="K43" t="s">
        <v>98</v>
      </c>
      <c r="L43">
        <v>12.21</v>
      </c>
      <c r="M43">
        <v>12.183</v>
      </c>
      <c r="N43">
        <v>2.7E-2</v>
      </c>
      <c r="O43">
        <v>0.38400000000000001</v>
      </c>
      <c r="P43">
        <v>0</v>
      </c>
      <c r="Q43">
        <v>0</v>
      </c>
    </row>
    <row r="44" spans="1:17" x14ac:dyDescent="0.25">
      <c r="A44">
        <v>31</v>
      </c>
      <c r="B44" t="s">
        <v>99</v>
      </c>
      <c r="C44">
        <v>11.94</v>
      </c>
      <c r="D44">
        <v>12.057</v>
      </c>
      <c r="E44">
        <v>-0.11700000000000001</v>
      </c>
      <c r="F44">
        <v>0.16800000000000001</v>
      </c>
      <c r="G44">
        <v>1</v>
      </c>
      <c r="H44">
        <v>0</v>
      </c>
      <c r="J44">
        <v>31</v>
      </c>
      <c r="K44" t="s">
        <v>99</v>
      </c>
      <c r="L44">
        <v>11.94</v>
      </c>
      <c r="M44">
        <v>12.164999999999999</v>
      </c>
      <c r="N44">
        <v>-0.22500000000000001</v>
      </c>
      <c r="O44">
        <v>0.13200000000000001</v>
      </c>
      <c r="P44">
        <v>0</v>
      </c>
      <c r="Q44">
        <v>0</v>
      </c>
    </row>
    <row r="45" spans="1:17" x14ac:dyDescent="0.25">
      <c r="A45">
        <v>32</v>
      </c>
      <c r="B45" t="s">
        <v>100</v>
      </c>
      <c r="C45">
        <v>10.37</v>
      </c>
      <c r="D45">
        <v>10.991</v>
      </c>
      <c r="E45">
        <v>-0.621</v>
      </c>
      <c r="F45">
        <v>-0.33600000000000002</v>
      </c>
      <c r="G45">
        <v>1.2589999999999999</v>
      </c>
      <c r="H45">
        <v>0</v>
      </c>
      <c r="J45">
        <v>32</v>
      </c>
      <c r="K45" t="s">
        <v>100</v>
      </c>
      <c r="L45">
        <v>10.37</v>
      </c>
      <c r="M45">
        <v>10.827</v>
      </c>
      <c r="N45">
        <v>-0.45700000000000002</v>
      </c>
      <c r="O45">
        <v>-0.1</v>
      </c>
      <c r="P45">
        <v>0</v>
      </c>
      <c r="Q45">
        <v>0</v>
      </c>
    </row>
    <row r="46" spans="1:17" x14ac:dyDescent="0.25">
      <c r="A46">
        <v>33</v>
      </c>
      <c r="B46" t="s">
        <v>101</v>
      </c>
      <c r="C46">
        <v>10.38</v>
      </c>
      <c r="D46">
        <v>10.561999999999999</v>
      </c>
      <c r="E46">
        <v>-0.182</v>
      </c>
      <c r="F46">
        <v>0.10299999999999999</v>
      </c>
      <c r="G46">
        <v>1.2350000000000001</v>
      </c>
      <c r="H46">
        <v>0</v>
      </c>
      <c r="J46">
        <v>33</v>
      </c>
      <c r="K46" t="s">
        <v>101</v>
      </c>
      <c r="L46">
        <v>10.38</v>
      </c>
      <c r="M46">
        <v>10.776</v>
      </c>
      <c r="N46">
        <v>-0.39600000000000002</v>
      </c>
      <c r="O46">
        <v>-3.9E-2</v>
      </c>
      <c r="P46">
        <v>0</v>
      </c>
      <c r="Q46">
        <v>0</v>
      </c>
    </row>
    <row r="47" spans="1:17" x14ac:dyDescent="0.25">
      <c r="A47">
        <v>34</v>
      </c>
      <c r="B47" t="s">
        <v>102</v>
      </c>
      <c r="C47">
        <v>9.8800000000000008</v>
      </c>
      <c r="D47">
        <v>10.541</v>
      </c>
      <c r="E47">
        <v>-0.66100000000000003</v>
      </c>
      <c r="F47">
        <v>-0.377</v>
      </c>
      <c r="G47">
        <v>1.75</v>
      </c>
      <c r="H47">
        <v>0</v>
      </c>
      <c r="J47">
        <v>34</v>
      </c>
      <c r="K47" t="s">
        <v>102</v>
      </c>
      <c r="L47">
        <v>9.8800000000000008</v>
      </c>
      <c r="M47">
        <v>10.545</v>
      </c>
      <c r="N47">
        <v>-0.66500000000000004</v>
      </c>
      <c r="O47">
        <v>-0.308</v>
      </c>
      <c r="P47">
        <v>0</v>
      </c>
      <c r="Q47">
        <v>0</v>
      </c>
    </row>
    <row r="48" spans="1:17" x14ac:dyDescent="0.25">
      <c r="A48">
        <v>35</v>
      </c>
      <c r="B48" t="s">
        <v>103</v>
      </c>
      <c r="C48">
        <v>12.08</v>
      </c>
      <c r="D48">
        <v>11.932</v>
      </c>
      <c r="E48">
        <v>0.14799999999999999</v>
      </c>
      <c r="F48">
        <v>0.433</v>
      </c>
      <c r="G48">
        <v>1.6379999999999999</v>
      </c>
      <c r="H48">
        <v>0</v>
      </c>
      <c r="J48">
        <v>35</v>
      </c>
      <c r="K48" t="s">
        <v>103</v>
      </c>
      <c r="L48">
        <v>12.08</v>
      </c>
      <c r="M48">
        <v>12.316000000000001</v>
      </c>
      <c r="N48">
        <v>-0.23599999999999999</v>
      </c>
      <c r="O48">
        <v>0.12</v>
      </c>
      <c r="P48">
        <v>0</v>
      </c>
      <c r="Q48">
        <v>0</v>
      </c>
    </row>
    <row r="49" spans="1:17" x14ac:dyDescent="0.25">
      <c r="A49">
        <v>36</v>
      </c>
      <c r="B49" t="s">
        <v>104</v>
      </c>
      <c r="C49">
        <v>9.08</v>
      </c>
      <c r="D49">
        <v>9.2230000000000008</v>
      </c>
      <c r="E49">
        <v>-0.14299999999999999</v>
      </c>
      <c r="F49">
        <v>0.14199999999999999</v>
      </c>
      <c r="G49">
        <v>2.5870000000000002</v>
      </c>
      <c r="H49">
        <v>0</v>
      </c>
      <c r="J49">
        <v>36</v>
      </c>
      <c r="K49" t="s">
        <v>104</v>
      </c>
      <c r="L49">
        <v>9.08</v>
      </c>
      <c r="M49">
        <v>9.4019999999999992</v>
      </c>
      <c r="N49">
        <v>-0.32200000000000001</v>
      </c>
      <c r="O49">
        <v>3.5000000000000003E-2</v>
      </c>
      <c r="P49">
        <v>0</v>
      </c>
      <c r="Q49">
        <v>0</v>
      </c>
    </row>
    <row r="50" spans="1:17" x14ac:dyDescent="0.25">
      <c r="A50">
        <v>37</v>
      </c>
      <c r="B50" t="s">
        <v>105</v>
      </c>
      <c r="C50">
        <v>10.8</v>
      </c>
      <c r="D50">
        <v>11.077</v>
      </c>
      <c r="E50">
        <v>-0.27700000000000002</v>
      </c>
      <c r="F50">
        <v>8.0000000000000002E-3</v>
      </c>
      <c r="G50">
        <v>1.573</v>
      </c>
      <c r="H50">
        <v>0</v>
      </c>
      <c r="J50">
        <v>37</v>
      </c>
      <c r="K50" t="s">
        <v>105</v>
      </c>
      <c r="L50">
        <v>10.8</v>
      </c>
      <c r="M50">
        <v>11.262</v>
      </c>
      <c r="N50">
        <v>-0.46200000000000002</v>
      </c>
      <c r="O50">
        <v>-0.105</v>
      </c>
      <c r="P50">
        <v>0</v>
      </c>
      <c r="Q50">
        <v>0</v>
      </c>
    </row>
    <row r="51" spans="1:17" x14ac:dyDescent="0.25">
      <c r="A51">
        <v>38</v>
      </c>
      <c r="B51" t="s">
        <v>106</v>
      </c>
      <c r="C51">
        <v>9.36</v>
      </c>
      <c r="D51">
        <v>10.391999999999999</v>
      </c>
      <c r="E51">
        <v>-1.032</v>
      </c>
      <c r="F51">
        <v>-0.747</v>
      </c>
      <c r="G51">
        <v>1.5840000000000001</v>
      </c>
      <c r="H51">
        <v>0</v>
      </c>
      <c r="J51">
        <v>38</v>
      </c>
      <c r="K51" t="s">
        <v>106</v>
      </c>
      <c r="L51">
        <v>9.36</v>
      </c>
      <c r="M51">
        <v>9.6010000000000009</v>
      </c>
      <c r="N51">
        <v>-0.24099999999999999</v>
      </c>
      <c r="O51">
        <v>0.11600000000000001</v>
      </c>
      <c r="P51">
        <v>0</v>
      </c>
      <c r="Q51">
        <v>0</v>
      </c>
    </row>
    <row r="52" spans="1:17" x14ac:dyDescent="0.25">
      <c r="A52">
        <v>39</v>
      </c>
      <c r="B52" t="s">
        <v>107</v>
      </c>
      <c r="C52">
        <v>12.45</v>
      </c>
      <c r="D52">
        <v>12.321</v>
      </c>
      <c r="E52">
        <v>0.129</v>
      </c>
      <c r="F52">
        <v>0.41399999999999998</v>
      </c>
      <c r="G52">
        <v>1.6160000000000001</v>
      </c>
      <c r="H52">
        <v>0</v>
      </c>
      <c r="J52">
        <v>39</v>
      </c>
      <c r="K52" t="s">
        <v>107</v>
      </c>
      <c r="L52">
        <v>12.45</v>
      </c>
      <c r="M52">
        <v>12.662000000000001</v>
      </c>
      <c r="N52">
        <v>-0.21199999999999999</v>
      </c>
      <c r="O52">
        <v>0.14499999999999999</v>
      </c>
      <c r="P52">
        <v>0</v>
      </c>
      <c r="Q52">
        <v>0</v>
      </c>
    </row>
    <row r="53" spans="1:17" x14ac:dyDescent="0.25">
      <c r="A53">
        <v>40</v>
      </c>
      <c r="B53" t="s">
        <v>108</v>
      </c>
      <c r="C53">
        <v>10.92</v>
      </c>
      <c r="D53">
        <v>11.413</v>
      </c>
      <c r="E53">
        <v>-0.49299999999999999</v>
      </c>
      <c r="F53">
        <v>-0.20799999999999999</v>
      </c>
      <c r="G53">
        <v>1.284</v>
      </c>
      <c r="H53">
        <v>0</v>
      </c>
      <c r="J53">
        <v>40</v>
      </c>
      <c r="K53" t="s">
        <v>108</v>
      </c>
      <c r="L53">
        <v>10.92</v>
      </c>
      <c r="M53">
        <v>11.420999999999999</v>
      </c>
      <c r="N53">
        <v>-0.501</v>
      </c>
      <c r="O53">
        <v>-0.14399999999999999</v>
      </c>
      <c r="P53">
        <v>0</v>
      </c>
      <c r="Q53">
        <v>0</v>
      </c>
    </row>
    <row r="54" spans="1:17" x14ac:dyDescent="0.25">
      <c r="A54">
        <v>41</v>
      </c>
      <c r="B54" t="s">
        <v>109</v>
      </c>
      <c r="C54">
        <v>10.95</v>
      </c>
      <c r="D54">
        <v>11.228</v>
      </c>
      <c r="E54">
        <v>-0.27800000000000002</v>
      </c>
      <c r="F54">
        <v>6.0000000000000001E-3</v>
      </c>
      <c r="G54">
        <v>0.98799999999999999</v>
      </c>
      <c r="H54">
        <v>0</v>
      </c>
      <c r="J54">
        <v>41</v>
      </c>
      <c r="K54" t="s">
        <v>109</v>
      </c>
      <c r="L54">
        <v>10.95</v>
      </c>
      <c r="M54">
        <v>10.775</v>
      </c>
      <c r="N54">
        <v>0.17499999999999999</v>
      </c>
      <c r="O54">
        <v>0.53200000000000003</v>
      </c>
      <c r="P54">
        <v>0</v>
      </c>
      <c r="Q54">
        <v>0</v>
      </c>
    </row>
    <row r="55" spans="1:17" x14ac:dyDescent="0.25">
      <c r="A55">
        <v>42</v>
      </c>
      <c r="B55" t="s">
        <v>110</v>
      </c>
      <c r="C55">
        <v>10.99</v>
      </c>
      <c r="D55">
        <v>11.488</v>
      </c>
      <c r="E55">
        <v>-0.498</v>
      </c>
      <c r="F55">
        <v>-0.21299999999999999</v>
      </c>
      <c r="G55">
        <v>0.56499999999999995</v>
      </c>
      <c r="H55">
        <v>0</v>
      </c>
      <c r="J55">
        <v>42</v>
      </c>
      <c r="K55" t="s">
        <v>110</v>
      </c>
      <c r="L55">
        <v>10.99</v>
      </c>
      <c r="M55">
        <v>11.254</v>
      </c>
      <c r="N55">
        <v>-0.26400000000000001</v>
      </c>
      <c r="O55">
        <v>9.2999999999999999E-2</v>
      </c>
      <c r="P55">
        <v>0</v>
      </c>
      <c r="Q55">
        <v>0</v>
      </c>
    </row>
    <row r="56" spans="1:17" x14ac:dyDescent="0.25">
      <c r="A56">
        <v>43</v>
      </c>
      <c r="B56" t="s">
        <v>111</v>
      </c>
      <c r="C56">
        <v>11</v>
      </c>
      <c r="D56">
        <v>11.262</v>
      </c>
      <c r="E56">
        <v>-0.26200000000000001</v>
      </c>
      <c r="F56">
        <v>2.3E-2</v>
      </c>
      <c r="G56">
        <v>0.9</v>
      </c>
      <c r="H56">
        <v>0</v>
      </c>
      <c r="J56">
        <v>43</v>
      </c>
      <c r="K56" t="s">
        <v>111</v>
      </c>
      <c r="L56">
        <v>11</v>
      </c>
      <c r="M56">
        <v>11.657999999999999</v>
      </c>
      <c r="N56">
        <v>-0.65800000000000003</v>
      </c>
      <c r="O56">
        <v>-0.30099999999999999</v>
      </c>
      <c r="P56">
        <v>0</v>
      </c>
      <c r="Q56">
        <v>0</v>
      </c>
    </row>
    <row r="57" spans="1:17" x14ac:dyDescent="0.25">
      <c r="A57">
        <v>44</v>
      </c>
      <c r="B57" t="s">
        <v>112</v>
      </c>
      <c r="C57">
        <v>9.9700000000000006</v>
      </c>
      <c r="D57">
        <v>10.465999999999999</v>
      </c>
      <c r="E57">
        <v>-0.496</v>
      </c>
      <c r="F57">
        <v>-0.21099999999999999</v>
      </c>
      <c r="G57">
        <v>1.657</v>
      </c>
      <c r="H57">
        <v>0</v>
      </c>
      <c r="J57">
        <v>44</v>
      </c>
      <c r="K57" t="s">
        <v>112</v>
      </c>
      <c r="L57">
        <v>9.9700000000000006</v>
      </c>
      <c r="M57">
        <v>10.073</v>
      </c>
      <c r="N57">
        <v>-0.10299999999999999</v>
      </c>
      <c r="O57">
        <v>0.254</v>
      </c>
      <c r="P57">
        <v>0</v>
      </c>
      <c r="Q57">
        <v>0</v>
      </c>
    </row>
    <row r="58" spans="1:17" x14ac:dyDescent="0.25">
      <c r="A58">
        <v>45</v>
      </c>
      <c r="B58" t="s">
        <v>113</v>
      </c>
      <c r="C58">
        <v>12.9</v>
      </c>
      <c r="D58">
        <v>12.548999999999999</v>
      </c>
      <c r="E58">
        <v>0.35099999999999998</v>
      </c>
      <c r="F58">
        <v>0.63600000000000001</v>
      </c>
      <c r="G58">
        <v>1.466</v>
      </c>
      <c r="H58">
        <v>0</v>
      </c>
      <c r="J58">
        <v>45</v>
      </c>
      <c r="K58" t="s">
        <v>113</v>
      </c>
      <c r="L58">
        <v>12.9</v>
      </c>
      <c r="M58">
        <v>12.823</v>
      </c>
      <c r="N58">
        <v>7.6999999999999999E-2</v>
      </c>
      <c r="O58">
        <v>0.434</v>
      </c>
      <c r="P58">
        <v>0</v>
      </c>
      <c r="Q58">
        <v>0</v>
      </c>
    </row>
    <row r="59" spans="1:17" x14ac:dyDescent="0.25">
      <c r="A59">
        <v>46</v>
      </c>
      <c r="B59" t="s">
        <v>114</v>
      </c>
      <c r="C59">
        <v>10.53</v>
      </c>
      <c r="D59">
        <v>10.74</v>
      </c>
      <c r="E59">
        <v>-0.21</v>
      </c>
      <c r="F59">
        <v>7.4999999999999997E-2</v>
      </c>
      <c r="G59">
        <v>0.74299999999999999</v>
      </c>
      <c r="H59">
        <v>0</v>
      </c>
      <c r="J59">
        <v>46</v>
      </c>
      <c r="K59" t="s">
        <v>114</v>
      </c>
      <c r="L59">
        <v>10.53</v>
      </c>
      <c r="M59">
        <v>11.226000000000001</v>
      </c>
      <c r="N59">
        <v>-0.69599999999999995</v>
      </c>
      <c r="O59">
        <v>-0.34</v>
      </c>
      <c r="P59">
        <v>0</v>
      </c>
      <c r="Q59">
        <v>0</v>
      </c>
    </row>
    <row r="60" spans="1:17" x14ac:dyDescent="0.25">
      <c r="A60">
        <v>47</v>
      </c>
      <c r="B60" t="s">
        <v>115</v>
      </c>
      <c r="C60">
        <v>11.06</v>
      </c>
      <c r="D60">
        <v>11.436999999999999</v>
      </c>
      <c r="E60">
        <v>-0.377</v>
      </c>
      <c r="F60">
        <v>-9.1999999999999998E-2</v>
      </c>
      <c r="G60">
        <v>1.2629999999999999</v>
      </c>
      <c r="H60">
        <v>0</v>
      </c>
      <c r="J60">
        <v>47</v>
      </c>
      <c r="K60" t="s">
        <v>115</v>
      </c>
      <c r="L60">
        <v>11.06</v>
      </c>
      <c r="M60">
        <v>11.622999999999999</v>
      </c>
      <c r="N60">
        <v>-0.56299999999999994</v>
      </c>
      <c r="O60">
        <v>-0.20699999999999999</v>
      </c>
      <c r="P60">
        <v>0</v>
      </c>
      <c r="Q60">
        <v>0</v>
      </c>
    </row>
    <row r="61" spans="1:17" x14ac:dyDescent="0.25">
      <c r="A61">
        <v>48</v>
      </c>
      <c r="B61" t="s">
        <v>116</v>
      </c>
      <c r="C61">
        <v>9.1</v>
      </c>
      <c r="D61">
        <v>10.103</v>
      </c>
      <c r="E61">
        <v>-1.0029999999999999</v>
      </c>
      <c r="F61">
        <v>-0.71899999999999997</v>
      </c>
      <c r="G61">
        <v>1.8640000000000001</v>
      </c>
      <c r="H61">
        <v>0</v>
      </c>
      <c r="J61">
        <v>48</v>
      </c>
      <c r="K61" t="s">
        <v>116</v>
      </c>
      <c r="L61">
        <v>9.1</v>
      </c>
      <c r="M61">
        <v>9.1890000000000001</v>
      </c>
      <c r="N61">
        <v>-8.8999999999999996E-2</v>
      </c>
      <c r="O61">
        <v>0.26800000000000002</v>
      </c>
      <c r="P61">
        <v>0</v>
      </c>
      <c r="Q61">
        <v>0</v>
      </c>
    </row>
    <row r="62" spans="1:17" x14ac:dyDescent="0.25">
      <c r="A62">
        <v>49</v>
      </c>
      <c r="B62" t="s">
        <v>117</v>
      </c>
      <c r="C62">
        <v>8.9700000000000006</v>
      </c>
      <c r="D62">
        <v>10.013999999999999</v>
      </c>
      <c r="E62">
        <v>-1.044</v>
      </c>
      <c r="F62">
        <v>-0.75900000000000001</v>
      </c>
      <c r="G62">
        <v>1.33</v>
      </c>
      <c r="H62">
        <v>0</v>
      </c>
      <c r="J62">
        <v>49</v>
      </c>
      <c r="K62" t="s">
        <v>117</v>
      </c>
      <c r="L62">
        <v>8.9700000000000006</v>
      </c>
      <c r="M62">
        <v>9.8000000000000007</v>
      </c>
      <c r="N62">
        <v>-0.83</v>
      </c>
      <c r="O62">
        <v>-0.47299999999999998</v>
      </c>
      <c r="P62">
        <v>0</v>
      </c>
      <c r="Q62">
        <v>0</v>
      </c>
    </row>
    <row r="63" spans="1:17" x14ac:dyDescent="0.25">
      <c r="A63">
        <v>50</v>
      </c>
      <c r="B63" t="s">
        <v>118</v>
      </c>
      <c r="C63">
        <v>11.12</v>
      </c>
      <c r="D63">
        <v>11.73</v>
      </c>
      <c r="E63">
        <v>-0.61</v>
      </c>
      <c r="F63">
        <v>-0.32500000000000001</v>
      </c>
      <c r="G63">
        <v>1.4910000000000001</v>
      </c>
      <c r="H63">
        <v>0</v>
      </c>
      <c r="J63">
        <v>50</v>
      </c>
      <c r="K63" t="s">
        <v>118</v>
      </c>
      <c r="L63">
        <v>11.12</v>
      </c>
      <c r="M63">
        <v>11.288</v>
      </c>
      <c r="N63">
        <v>-0.16800000000000001</v>
      </c>
      <c r="O63">
        <v>0.189</v>
      </c>
      <c r="P63">
        <v>0</v>
      </c>
      <c r="Q63">
        <v>0</v>
      </c>
    </row>
    <row r="64" spans="1:17" x14ac:dyDescent="0.25">
      <c r="A64">
        <v>51</v>
      </c>
      <c r="B64" t="s">
        <v>119</v>
      </c>
      <c r="C64">
        <v>9.23</v>
      </c>
      <c r="D64">
        <v>9.7609999999999992</v>
      </c>
      <c r="E64">
        <v>-0.53100000000000003</v>
      </c>
      <c r="F64">
        <v>-0.246</v>
      </c>
      <c r="G64">
        <v>2.0209999999999999</v>
      </c>
      <c r="H64">
        <v>0</v>
      </c>
      <c r="J64">
        <v>51</v>
      </c>
      <c r="K64" t="s">
        <v>119</v>
      </c>
      <c r="L64">
        <v>9.23</v>
      </c>
      <c r="M64">
        <v>10.33</v>
      </c>
      <c r="N64">
        <v>-1.1000000000000001</v>
      </c>
      <c r="O64">
        <v>-0.74299999999999999</v>
      </c>
      <c r="P64">
        <v>0</v>
      </c>
      <c r="Q64">
        <v>0</v>
      </c>
    </row>
    <row r="65" spans="1:17" x14ac:dyDescent="0.25">
      <c r="A65">
        <v>52</v>
      </c>
      <c r="B65" t="s">
        <v>120</v>
      </c>
      <c r="C65">
        <v>11.23</v>
      </c>
      <c r="D65">
        <v>11.792999999999999</v>
      </c>
      <c r="E65">
        <v>-0.56299999999999994</v>
      </c>
      <c r="F65">
        <v>-0.27800000000000002</v>
      </c>
      <c r="G65">
        <v>0.95099999999999996</v>
      </c>
      <c r="H65">
        <v>0</v>
      </c>
      <c r="J65">
        <v>52</v>
      </c>
      <c r="K65" t="s">
        <v>120</v>
      </c>
      <c r="L65">
        <v>11.23</v>
      </c>
      <c r="M65">
        <v>11.738</v>
      </c>
      <c r="N65">
        <v>-0.50800000000000001</v>
      </c>
      <c r="O65">
        <v>-0.151</v>
      </c>
      <c r="P65">
        <v>0</v>
      </c>
      <c r="Q65">
        <v>0</v>
      </c>
    </row>
    <row r="66" spans="1:17" x14ac:dyDescent="0.25">
      <c r="A66">
        <v>53</v>
      </c>
      <c r="B66" t="s">
        <v>121</v>
      </c>
      <c r="C66">
        <v>11.23</v>
      </c>
      <c r="D66">
        <v>11.625</v>
      </c>
      <c r="E66">
        <v>-0.39500000000000002</v>
      </c>
      <c r="F66">
        <v>-0.11</v>
      </c>
      <c r="G66">
        <v>1.849</v>
      </c>
      <c r="H66">
        <v>0</v>
      </c>
      <c r="J66">
        <v>53</v>
      </c>
      <c r="K66" t="s">
        <v>121</v>
      </c>
      <c r="L66">
        <v>11.23</v>
      </c>
      <c r="M66">
        <v>11.919</v>
      </c>
      <c r="N66">
        <v>-0.68899999999999995</v>
      </c>
      <c r="O66">
        <v>-0.33200000000000002</v>
      </c>
      <c r="P66">
        <v>0</v>
      </c>
      <c r="Q66">
        <v>0</v>
      </c>
    </row>
    <row r="67" spans="1:17" x14ac:dyDescent="0.25">
      <c r="A67">
        <v>54</v>
      </c>
      <c r="B67" t="s">
        <v>122</v>
      </c>
      <c r="C67">
        <v>11.24</v>
      </c>
      <c r="D67">
        <v>11.473000000000001</v>
      </c>
      <c r="E67">
        <v>-0.23300000000000001</v>
      </c>
      <c r="F67">
        <v>5.0999999999999997E-2</v>
      </c>
      <c r="G67">
        <v>2.0870000000000002</v>
      </c>
      <c r="H67">
        <v>0</v>
      </c>
      <c r="J67">
        <v>54</v>
      </c>
      <c r="K67" t="s">
        <v>122</v>
      </c>
      <c r="L67">
        <v>11.24</v>
      </c>
      <c r="M67">
        <v>12.026</v>
      </c>
      <c r="N67">
        <v>-0.78600000000000003</v>
      </c>
      <c r="O67">
        <v>-0.42899999999999999</v>
      </c>
      <c r="P67">
        <v>0</v>
      </c>
      <c r="Q67">
        <v>0</v>
      </c>
    </row>
    <row r="68" spans="1:17" x14ac:dyDescent="0.25">
      <c r="A68">
        <v>55</v>
      </c>
      <c r="B68" t="s">
        <v>123</v>
      </c>
      <c r="C68">
        <v>12.56</v>
      </c>
      <c r="D68">
        <v>12.317</v>
      </c>
      <c r="E68">
        <v>0.24299999999999999</v>
      </c>
      <c r="F68">
        <v>0.52700000000000002</v>
      </c>
      <c r="G68">
        <v>0.79200000000000004</v>
      </c>
      <c r="H68">
        <v>0</v>
      </c>
      <c r="J68">
        <v>55</v>
      </c>
      <c r="K68" t="s">
        <v>123</v>
      </c>
      <c r="L68">
        <v>12.56</v>
      </c>
      <c r="M68">
        <v>12.852</v>
      </c>
      <c r="N68">
        <v>-0.29199999999999998</v>
      </c>
      <c r="O68">
        <v>6.5000000000000002E-2</v>
      </c>
      <c r="P68">
        <v>0</v>
      </c>
      <c r="Q68">
        <v>0</v>
      </c>
    </row>
    <row r="69" spans="1:17" x14ac:dyDescent="0.25">
      <c r="A69">
        <v>56</v>
      </c>
      <c r="B69" t="s">
        <v>124</v>
      </c>
      <c r="C69">
        <v>10.07</v>
      </c>
      <c r="D69">
        <v>10.215999999999999</v>
      </c>
      <c r="E69">
        <v>-0.14599999999999999</v>
      </c>
      <c r="F69">
        <v>0.13800000000000001</v>
      </c>
      <c r="G69">
        <v>2.105</v>
      </c>
      <c r="H69">
        <v>0</v>
      </c>
      <c r="J69">
        <v>56</v>
      </c>
      <c r="K69" t="s">
        <v>124</v>
      </c>
      <c r="L69">
        <v>10.07</v>
      </c>
      <c r="M69">
        <v>10.298999999999999</v>
      </c>
      <c r="N69">
        <v>-0.22900000000000001</v>
      </c>
      <c r="O69">
        <v>0.127</v>
      </c>
      <c r="P69">
        <v>0</v>
      </c>
      <c r="Q69">
        <v>0</v>
      </c>
    </row>
    <row r="70" spans="1:17" x14ac:dyDescent="0.25">
      <c r="A70">
        <v>57</v>
      </c>
      <c r="B70" t="s">
        <v>125</v>
      </c>
      <c r="C70">
        <v>9.94</v>
      </c>
      <c r="D70">
        <v>10.353</v>
      </c>
      <c r="E70">
        <v>-0.41299999999999998</v>
      </c>
      <c r="F70">
        <v>-0.128</v>
      </c>
      <c r="G70">
        <v>2.8119999999999998</v>
      </c>
      <c r="H70">
        <v>0</v>
      </c>
      <c r="J70">
        <v>57</v>
      </c>
      <c r="K70" t="s">
        <v>125</v>
      </c>
      <c r="L70">
        <v>9.94</v>
      </c>
      <c r="M70">
        <v>9.8079999999999998</v>
      </c>
      <c r="N70">
        <v>0.13200000000000001</v>
      </c>
      <c r="O70">
        <v>0.48899999999999999</v>
      </c>
      <c r="P70">
        <v>0</v>
      </c>
      <c r="Q70">
        <v>0</v>
      </c>
    </row>
    <row r="71" spans="1:17" x14ac:dyDescent="0.25">
      <c r="A71">
        <v>58</v>
      </c>
      <c r="B71" t="s">
        <v>126</v>
      </c>
      <c r="C71">
        <v>10.24</v>
      </c>
      <c r="D71">
        <v>10.573</v>
      </c>
      <c r="E71">
        <v>-0.33300000000000002</v>
      </c>
      <c r="F71">
        <v>-4.9000000000000002E-2</v>
      </c>
      <c r="G71">
        <v>2.4750000000000001</v>
      </c>
      <c r="H71">
        <v>0</v>
      </c>
      <c r="J71">
        <v>58</v>
      </c>
      <c r="K71" t="s">
        <v>126</v>
      </c>
      <c r="L71">
        <v>10.24</v>
      </c>
      <c r="M71">
        <v>10.29</v>
      </c>
      <c r="N71">
        <v>-0.05</v>
      </c>
      <c r="O71">
        <v>0.307</v>
      </c>
      <c r="P71">
        <v>0</v>
      </c>
      <c r="Q71">
        <v>0</v>
      </c>
    </row>
    <row r="72" spans="1:17" x14ac:dyDescent="0.25">
      <c r="A72">
        <v>59</v>
      </c>
      <c r="B72" t="s">
        <v>127</v>
      </c>
      <c r="C72">
        <v>11.42</v>
      </c>
      <c r="D72">
        <v>11.76</v>
      </c>
      <c r="E72">
        <v>-0.34</v>
      </c>
      <c r="F72">
        <v>-5.5E-2</v>
      </c>
      <c r="G72">
        <v>0.95299999999999996</v>
      </c>
      <c r="H72">
        <v>0</v>
      </c>
      <c r="J72">
        <v>59</v>
      </c>
      <c r="K72" t="s">
        <v>127</v>
      </c>
      <c r="L72">
        <v>11.42</v>
      </c>
      <c r="M72">
        <v>12.266999999999999</v>
      </c>
      <c r="N72">
        <v>-0.84699999999999998</v>
      </c>
      <c r="O72">
        <v>-0.49</v>
      </c>
      <c r="P72">
        <v>0</v>
      </c>
      <c r="Q72">
        <v>0</v>
      </c>
    </row>
    <row r="73" spans="1:17" x14ac:dyDescent="0.25">
      <c r="A73">
        <v>60</v>
      </c>
      <c r="B73" t="s">
        <v>128</v>
      </c>
      <c r="C73">
        <v>10.5</v>
      </c>
      <c r="D73">
        <v>10.827</v>
      </c>
      <c r="E73">
        <v>-0.32700000000000001</v>
      </c>
      <c r="F73">
        <v>-4.2999999999999997E-2</v>
      </c>
      <c r="G73">
        <v>2.0339999999999998</v>
      </c>
      <c r="H73">
        <v>0</v>
      </c>
      <c r="J73">
        <v>60</v>
      </c>
      <c r="K73" t="s">
        <v>128</v>
      </c>
      <c r="L73">
        <v>10.5</v>
      </c>
      <c r="M73">
        <v>10.561</v>
      </c>
      <c r="N73">
        <v>-6.0999999999999999E-2</v>
      </c>
      <c r="O73">
        <v>0.29599999999999999</v>
      </c>
      <c r="P73">
        <v>0</v>
      </c>
      <c r="Q73">
        <v>0</v>
      </c>
    </row>
    <row r="74" spans="1:17" x14ac:dyDescent="0.25">
      <c r="A74">
        <v>61</v>
      </c>
      <c r="B74" t="s">
        <v>129</v>
      </c>
      <c r="C74">
        <v>13.14</v>
      </c>
      <c r="D74">
        <v>12.938000000000001</v>
      </c>
      <c r="E74">
        <v>0.20200000000000001</v>
      </c>
      <c r="F74">
        <v>0.48599999999999999</v>
      </c>
      <c r="G74">
        <v>1.6930000000000001</v>
      </c>
      <c r="H74">
        <v>0</v>
      </c>
      <c r="J74">
        <v>61</v>
      </c>
      <c r="K74" t="s">
        <v>129</v>
      </c>
      <c r="L74">
        <v>13.14</v>
      </c>
      <c r="M74">
        <v>12.79</v>
      </c>
      <c r="N74">
        <v>0.35</v>
      </c>
      <c r="O74">
        <v>0.70699999999999996</v>
      </c>
      <c r="P74">
        <v>0</v>
      </c>
      <c r="Q74">
        <v>0</v>
      </c>
    </row>
    <row r="75" spans="1:17" x14ac:dyDescent="0.25">
      <c r="A75">
        <v>62</v>
      </c>
      <c r="B75" t="s">
        <v>130</v>
      </c>
      <c r="C75">
        <v>11.7</v>
      </c>
      <c r="D75">
        <v>11.935</v>
      </c>
      <c r="E75">
        <v>-0.23499999999999999</v>
      </c>
      <c r="F75">
        <v>0.05</v>
      </c>
      <c r="G75">
        <v>1.609</v>
      </c>
      <c r="H75">
        <v>0</v>
      </c>
      <c r="J75">
        <v>62</v>
      </c>
      <c r="K75" t="s">
        <v>130</v>
      </c>
      <c r="L75">
        <v>11.7</v>
      </c>
      <c r="M75">
        <v>11.935</v>
      </c>
      <c r="N75">
        <v>-0.23499999999999999</v>
      </c>
      <c r="O75">
        <v>0.122</v>
      </c>
      <c r="P75">
        <v>0</v>
      </c>
      <c r="Q75">
        <v>0</v>
      </c>
    </row>
    <row r="76" spans="1:17" x14ac:dyDescent="0.25">
      <c r="A76">
        <v>63</v>
      </c>
      <c r="B76" t="s">
        <v>131</v>
      </c>
      <c r="C76">
        <v>10.38</v>
      </c>
      <c r="D76">
        <v>10.914999999999999</v>
      </c>
      <c r="E76">
        <v>-0.53500000000000003</v>
      </c>
      <c r="F76">
        <v>-0.25</v>
      </c>
      <c r="G76">
        <v>1.363</v>
      </c>
      <c r="H76">
        <v>0</v>
      </c>
      <c r="J76">
        <v>63</v>
      </c>
      <c r="K76" t="s">
        <v>131</v>
      </c>
      <c r="L76">
        <v>10.38</v>
      </c>
      <c r="M76">
        <v>10.846</v>
      </c>
      <c r="N76">
        <v>-0.46600000000000003</v>
      </c>
      <c r="O76">
        <v>-0.109</v>
      </c>
      <c r="P76">
        <v>0</v>
      </c>
      <c r="Q76">
        <v>0</v>
      </c>
    </row>
    <row r="77" spans="1:17" x14ac:dyDescent="0.25">
      <c r="A77">
        <v>64</v>
      </c>
      <c r="B77" t="s">
        <v>132</v>
      </c>
      <c r="C77">
        <v>13.35</v>
      </c>
      <c r="D77">
        <v>13.037000000000001</v>
      </c>
      <c r="E77">
        <v>0.313</v>
      </c>
      <c r="F77">
        <v>0.59699999999999998</v>
      </c>
      <c r="G77">
        <v>1.7589999999999999</v>
      </c>
      <c r="H77">
        <v>0</v>
      </c>
      <c r="J77">
        <v>64</v>
      </c>
      <c r="K77" t="s">
        <v>132</v>
      </c>
      <c r="L77">
        <v>13.35</v>
      </c>
      <c r="M77">
        <v>13.394</v>
      </c>
      <c r="N77">
        <v>-4.3999999999999997E-2</v>
      </c>
      <c r="O77">
        <v>0.312</v>
      </c>
      <c r="P77">
        <v>0</v>
      </c>
      <c r="Q77">
        <v>0</v>
      </c>
    </row>
    <row r="78" spans="1:17" x14ac:dyDescent="0.25">
      <c r="A78">
        <v>65</v>
      </c>
      <c r="B78" t="s">
        <v>133</v>
      </c>
      <c r="C78">
        <v>12.66</v>
      </c>
      <c r="D78">
        <v>12.79</v>
      </c>
      <c r="E78">
        <v>-0.13</v>
      </c>
      <c r="F78">
        <v>0.154</v>
      </c>
      <c r="G78">
        <v>1.4139999999999999</v>
      </c>
      <c r="H78">
        <v>0</v>
      </c>
      <c r="J78">
        <v>65</v>
      </c>
      <c r="K78" t="s">
        <v>133</v>
      </c>
      <c r="L78">
        <v>12.66</v>
      </c>
      <c r="M78">
        <v>12.5</v>
      </c>
      <c r="N78">
        <v>0.16</v>
      </c>
      <c r="O78">
        <v>0.51600000000000001</v>
      </c>
      <c r="P78">
        <v>0</v>
      </c>
      <c r="Q78">
        <v>0</v>
      </c>
    </row>
    <row r="79" spans="1:17" x14ac:dyDescent="0.25">
      <c r="A79">
        <v>66</v>
      </c>
      <c r="B79" t="s">
        <v>134</v>
      </c>
      <c r="C79">
        <v>11.99</v>
      </c>
      <c r="D79">
        <v>12.308999999999999</v>
      </c>
      <c r="E79">
        <v>-0.31900000000000001</v>
      </c>
      <c r="F79">
        <v>-3.5000000000000003E-2</v>
      </c>
      <c r="G79">
        <v>1.018</v>
      </c>
      <c r="H79">
        <v>0</v>
      </c>
      <c r="J79">
        <v>66</v>
      </c>
      <c r="K79" t="s">
        <v>134</v>
      </c>
      <c r="L79">
        <v>11.99</v>
      </c>
      <c r="M79">
        <v>12.561</v>
      </c>
      <c r="N79">
        <v>-0.57099999999999995</v>
      </c>
      <c r="O79">
        <v>-0.214</v>
      </c>
      <c r="P79">
        <v>0</v>
      </c>
      <c r="Q79">
        <v>0</v>
      </c>
    </row>
    <row r="80" spans="1:17" x14ac:dyDescent="0.25">
      <c r="A80">
        <v>67</v>
      </c>
      <c r="B80" t="s">
        <v>135</v>
      </c>
      <c r="C80">
        <v>12</v>
      </c>
      <c r="D80">
        <v>11.994</v>
      </c>
      <c r="E80">
        <v>6.0000000000000001E-3</v>
      </c>
      <c r="F80">
        <v>0.29099999999999998</v>
      </c>
      <c r="G80">
        <v>1.1200000000000001</v>
      </c>
      <c r="H80">
        <v>0</v>
      </c>
      <c r="J80">
        <v>67</v>
      </c>
      <c r="K80" t="s">
        <v>135</v>
      </c>
      <c r="L80">
        <v>12</v>
      </c>
      <c r="M80">
        <v>12.324999999999999</v>
      </c>
      <c r="N80">
        <v>-0.32500000000000001</v>
      </c>
      <c r="O80">
        <v>3.2000000000000001E-2</v>
      </c>
      <c r="P80">
        <v>0</v>
      </c>
      <c r="Q80">
        <v>0</v>
      </c>
    </row>
    <row r="81" spans="1:17" x14ac:dyDescent="0.25">
      <c r="A81">
        <v>68</v>
      </c>
      <c r="B81" t="s">
        <v>136</v>
      </c>
      <c r="C81">
        <v>12</v>
      </c>
      <c r="D81">
        <v>12.292999999999999</v>
      </c>
      <c r="E81">
        <v>-0.29299999999999998</v>
      </c>
      <c r="F81">
        <v>-8.0000000000000002E-3</v>
      </c>
      <c r="G81">
        <v>1.677</v>
      </c>
      <c r="H81">
        <v>0</v>
      </c>
      <c r="J81">
        <v>68</v>
      </c>
      <c r="K81" t="s">
        <v>136</v>
      </c>
      <c r="L81">
        <v>12</v>
      </c>
      <c r="M81">
        <v>12.651999999999999</v>
      </c>
      <c r="N81">
        <v>-0.65200000000000002</v>
      </c>
      <c r="O81">
        <v>-0.29499999999999998</v>
      </c>
      <c r="P81">
        <v>0</v>
      </c>
      <c r="Q81">
        <v>0</v>
      </c>
    </row>
    <row r="82" spans="1:17" x14ac:dyDescent="0.25">
      <c r="A82">
        <v>69</v>
      </c>
      <c r="B82" t="s">
        <v>137</v>
      </c>
      <c r="C82">
        <v>13.16</v>
      </c>
      <c r="D82">
        <v>13.262</v>
      </c>
      <c r="E82">
        <v>-0.10199999999999999</v>
      </c>
      <c r="F82">
        <v>0.183</v>
      </c>
      <c r="G82">
        <v>1.6619999999999999</v>
      </c>
      <c r="H82">
        <v>0</v>
      </c>
      <c r="J82">
        <v>69</v>
      </c>
      <c r="K82" t="s">
        <v>137</v>
      </c>
      <c r="L82">
        <v>13.16</v>
      </c>
      <c r="M82">
        <v>13.016</v>
      </c>
      <c r="N82">
        <v>0.14399999999999999</v>
      </c>
      <c r="O82">
        <v>0.501</v>
      </c>
      <c r="P82">
        <v>0</v>
      </c>
      <c r="Q82">
        <v>0</v>
      </c>
    </row>
    <row r="83" spans="1:17" x14ac:dyDescent="0.25">
      <c r="A83">
        <v>70</v>
      </c>
      <c r="B83" t="s">
        <v>138</v>
      </c>
      <c r="C83">
        <v>12.17</v>
      </c>
      <c r="D83">
        <v>12.055999999999999</v>
      </c>
      <c r="E83">
        <v>0.114</v>
      </c>
      <c r="F83">
        <v>0.39800000000000002</v>
      </c>
      <c r="G83">
        <v>2.04</v>
      </c>
      <c r="H83">
        <v>0</v>
      </c>
      <c r="J83">
        <v>70</v>
      </c>
      <c r="K83" t="s">
        <v>138</v>
      </c>
      <c r="L83">
        <v>12.17</v>
      </c>
      <c r="M83">
        <v>13.036</v>
      </c>
      <c r="N83">
        <v>-0.86599999999999999</v>
      </c>
      <c r="O83">
        <v>-0.50900000000000001</v>
      </c>
      <c r="P83">
        <v>0</v>
      </c>
      <c r="Q83">
        <v>0</v>
      </c>
    </row>
    <row r="84" spans="1:17" x14ac:dyDescent="0.25">
      <c r="A84">
        <v>71</v>
      </c>
      <c r="B84" t="s">
        <v>139</v>
      </c>
      <c r="C84">
        <v>10.97</v>
      </c>
      <c r="D84">
        <v>10.89</v>
      </c>
      <c r="E84">
        <v>0.08</v>
      </c>
      <c r="F84">
        <v>0.36499999999999999</v>
      </c>
      <c r="G84">
        <v>0.84299999999999997</v>
      </c>
      <c r="H84">
        <v>0</v>
      </c>
      <c r="J84">
        <v>71</v>
      </c>
      <c r="K84" t="s">
        <v>139</v>
      </c>
      <c r="L84">
        <v>10.97</v>
      </c>
      <c r="M84">
        <v>11.371</v>
      </c>
      <c r="N84">
        <v>-0.40100000000000002</v>
      </c>
      <c r="O84">
        <v>-4.3999999999999997E-2</v>
      </c>
      <c r="P84">
        <v>0</v>
      </c>
      <c r="Q84">
        <v>0</v>
      </c>
    </row>
    <row r="85" spans="1:17" x14ac:dyDescent="0.25">
      <c r="A85">
        <v>72</v>
      </c>
      <c r="B85" t="s">
        <v>140</v>
      </c>
      <c r="C85">
        <v>12.26</v>
      </c>
      <c r="D85">
        <v>12.446999999999999</v>
      </c>
      <c r="E85">
        <v>-0.187</v>
      </c>
      <c r="F85">
        <v>9.7000000000000003E-2</v>
      </c>
      <c r="G85">
        <v>1.3140000000000001</v>
      </c>
      <c r="H85">
        <v>0</v>
      </c>
      <c r="J85">
        <v>72</v>
      </c>
      <c r="K85" t="s">
        <v>140</v>
      </c>
      <c r="L85">
        <v>12.26</v>
      </c>
      <c r="M85">
        <v>12.612</v>
      </c>
      <c r="N85">
        <v>-0.35199999999999998</v>
      </c>
      <c r="O85">
        <v>5.0000000000000001E-3</v>
      </c>
      <c r="P85">
        <v>0</v>
      </c>
      <c r="Q85">
        <v>0</v>
      </c>
    </row>
    <row r="86" spans="1:17" x14ac:dyDescent="0.25">
      <c r="A86">
        <v>73</v>
      </c>
      <c r="B86" t="s">
        <v>141</v>
      </c>
      <c r="C86">
        <v>13.03</v>
      </c>
      <c r="D86">
        <v>12.917999999999999</v>
      </c>
      <c r="E86">
        <v>0.112</v>
      </c>
      <c r="F86">
        <v>0.39600000000000002</v>
      </c>
      <c r="G86">
        <v>1.9550000000000001</v>
      </c>
      <c r="H86">
        <v>0</v>
      </c>
      <c r="J86">
        <v>73</v>
      </c>
      <c r="K86" t="s">
        <v>141</v>
      </c>
      <c r="L86">
        <v>13.03</v>
      </c>
      <c r="M86">
        <v>13.335000000000001</v>
      </c>
      <c r="N86">
        <v>-0.30499999999999999</v>
      </c>
      <c r="O86">
        <v>5.1999999999999998E-2</v>
      </c>
      <c r="P86">
        <v>0</v>
      </c>
      <c r="Q86">
        <v>0</v>
      </c>
    </row>
    <row r="87" spans="1:17" x14ac:dyDescent="0.25">
      <c r="A87">
        <v>74</v>
      </c>
      <c r="B87" t="s">
        <v>142</v>
      </c>
      <c r="C87">
        <v>12.36</v>
      </c>
      <c r="D87">
        <v>12.7</v>
      </c>
      <c r="E87">
        <v>-0.34</v>
      </c>
      <c r="F87">
        <v>-5.5E-2</v>
      </c>
      <c r="G87">
        <v>0.83199999999999996</v>
      </c>
      <c r="H87">
        <v>0</v>
      </c>
      <c r="J87">
        <v>74</v>
      </c>
      <c r="K87" t="s">
        <v>142</v>
      </c>
      <c r="L87">
        <v>12.36</v>
      </c>
      <c r="M87">
        <v>13.125</v>
      </c>
      <c r="N87">
        <v>-0.76500000000000001</v>
      </c>
      <c r="O87">
        <v>-0.40799999999999997</v>
      </c>
      <c r="P87">
        <v>0</v>
      </c>
      <c r="Q87">
        <v>0</v>
      </c>
    </row>
    <row r="88" spans="1:17" x14ac:dyDescent="0.25">
      <c r="A88">
        <v>75</v>
      </c>
      <c r="B88" t="s">
        <v>143</v>
      </c>
      <c r="C88">
        <v>12.4</v>
      </c>
      <c r="D88">
        <v>12.504</v>
      </c>
      <c r="E88">
        <v>-0.104</v>
      </c>
      <c r="F88">
        <v>0.18099999999999999</v>
      </c>
      <c r="G88">
        <v>1.0740000000000001</v>
      </c>
      <c r="H88">
        <v>0</v>
      </c>
      <c r="J88">
        <v>75</v>
      </c>
      <c r="K88" t="s">
        <v>143</v>
      </c>
      <c r="L88">
        <v>12.4</v>
      </c>
      <c r="M88">
        <v>12.858000000000001</v>
      </c>
      <c r="N88">
        <v>-0.45800000000000002</v>
      </c>
      <c r="O88">
        <v>-0.10100000000000001</v>
      </c>
      <c r="P88">
        <v>0</v>
      </c>
      <c r="Q88">
        <v>0</v>
      </c>
    </row>
    <row r="89" spans="1:17" x14ac:dyDescent="0.25">
      <c r="A89">
        <v>76</v>
      </c>
      <c r="B89" t="s">
        <v>144</v>
      </c>
      <c r="C89">
        <v>12.5</v>
      </c>
      <c r="D89">
        <v>12.643000000000001</v>
      </c>
      <c r="E89">
        <v>-0.14299999999999999</v>
      </c>
      <c r="F89">
        <v>0.14099999999999999</v>
      </c>
      <c r="G89">
        <v>1.728</v>
      </c>
      <c r="H89">
        <v>0</v>
      </c>
      <c r="J89">
        <v>76</v>
      </c>
      <c r="K89" t="s">
        <v>144</v>
      </c>
      <c r="L89">
        <v>12.5</v>
      </c>
      <c r="M89">
        <v>12.827999999999999</v>
      </c>
      <c r="N89">
        <v>-0.32800000000000001</v>
      </c>
      <c r="O89">
        <v>2.9000000000000001E-2</v>
      </c>
      <c r="P89">
        <v>0</v>
      </c>
      <c r="Q89">
        <v>0</v>
      </c>
    </row>
    <row r="90" spans="1:17" x14ac:dyDescent="0.25">
      <c r="A90">
        <v>77</v>
      </c>
      <c r="B90" t="s">
        <v>145</v>
      </c>
      <c r="C90">
        <v>12.6</v>
      </c>
      <c r="D90">
        <v>12.781000000000001</v>
      </c>
      <c r="E90">
        <v>-0.18099999999999999</v>
      </c>
      <c r="F90">
        <v>0.104</v>
      </c>
      <c r="G90">
        <v>1.339</v>
      </c>
      <c r="H90">
        <v>0</v>
      </c>
      <c r="J90">
        <v>77</v>
      </c>
      <c r="K90" t="s">
        <v>145</v>
      </c>
      <c r="L90">
        <v>12.6</v>
      </c>
      <c r="M90">
        <v>13.209</v>
      </c>
      <c r="N90">
        <v>-0.60899999999999999</v>
      </c>
      <c r="O90">
        <v>-0.253</v>
      </c>
      <c r="P90">
        <v>0</v>
      </c>
      <c r="Q90">
        <v>0</v>
      </c>
    </row>
    <row r="91" spans="1:17" x14ac:dyDescent="0.25">
      <c r="A91">
        <v>78</v>
      </c>
      <c r="B91" t="s">
        <v>146</v>
      </c>
      <c r="C91">
        <v>12.67</v>
      </c>
      <c r="D91">
        <v>12.975</v>
      </c>
      <c r="E91">
        <v>-0.30499999999999999</v>
      </c>
      <c r="F91">
        <v>-2.1000000000000001E-2</v>
      </c>
      <c r="G91">
        <v>1.0980000000000001</v>
      </c>
      <c r="H91">
        <v>0</v>
      </c>
      <c r="J91">
        <v>78</v>
      </c>
      <c r="K91" t="s">
        <v>146</v>
      </c>
      <c r="L91">
        <v>12.67</v>
      </c>
      <c r="M91">
        <v>12.548</v>
      </c>
      <c r="N91">
        <v>0.122</v>
      </c>
      <c r="O91">
        <v>0.47899999999999998</v>
      </c>
      <c r="P91">
        <v>0</v>
      </c>
      <c r="Q91">
        <v>0</v>
      </c>
    </row>
    <row r="92" spans="1:17" x14ac:dyDescent="0.25">
      <c r="A92">
        <v>79</v>
      </c>
      <c r="B92" t="s">
        <v>147</v>
      </c>
      <c r="C92">
        <v>12.7</v>
      </c>
      <c r="D92">
        <v>12.911</v>
      </c>
      <c r="E92">
        <v>-0.21099999999999999</v>
      </c>
      <c r="F92">
        <v>7.3999999999999996E-2</v>
      </c>
      <c r="G92">
        <v>1.399</v>
      </c>
      <c r="H92">
        <v>0</v>
      </c>
      <c r="J92">
        <v>79</v>
      </c>
      <c r="K92" t="s">
        <v>147</v>
      </c>
      <c r="L92">
        <v>12.7</v>
      </c>
      <c r="M92">
        <v>12.685</v>
      </c>
      <c r="N92">
        <v>1.4999999999999999E-2</v>
      </c>
      <c r="O92">
        <v>0.372</v>
      </c>
      <c r="P92">
        <v>0</v>
      </c>
      <c r="Q92">
        <v>0</v>
      </c>
    </row>
    <row r="93" spans="1:17" x14ac:dyDescent="0.25">
      <c r="A93">
        <v>80</v>
      </c>
      <c r="B93" t="s">
        <v>148</v>
      </c>
      <c r="C93">
        <v>14.43</v>
      </c>
      <c r="D93">
        <v>14.247</v>
      </c>
      <c r="E93">
        <v>0.183</v>
      </c>
      <c r="F93">
        <v>0.46700000000000003</v>
      </c>
      <c r="G93">
        <v>1.6359999999999999</v>
      </c>
      <c r="H93">
        <v>0</v>
      </c>
      <c r="J93">
        <v>80</v>
      </c>
      <c r="K93" t="s">
        <v>148</v>
      </c>
      <c r="L93">
        <v>14.43</v>
      </c>
      <c r="M93">
        <v>14.459</v>
      </c>
      <c r="N93">
        <v>-2.9000000000000001E-2</v>
      </c>
      <c r="O93">
        <v>0.32800000000000001</v>
      </c>
      <c r="P93">
        <v>0</v>
      </c>
      <c r="Q93">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D26E0-289A-4BD6-8911-F5D4AD2A6516}">
  <sheetPr>
    <pageSetUpPr fitToPage="1"/>
  </sheetPr>
  <dimension ref="B1:AB142"/>
  <sheetViews>
    <sheetView zoomScale="80" zoomScaleNormal="80" workbookViewId="0">
      <selection activeCell="K6" sqref="K6"/>
    </sheetView>
  </sheetViews>
  <sheetFormatPr defaultColWidth="8.88671875" defaultRowHeight="13.2" x14ac:dyDescent="0.25"/>
  <cols>
    <col min="1" max="1" width="3.109375" style="2" customWidth="1"/>
    <col min="2" max="2" width="9.44140625" style="2" customWidth="1"/>
    <col min="3" max="3" width="20.88671875" style="2" customWidth="1"/>
    <col min="4" max="4" width="15.44140625" style="61" customWidth="1"/>
    <col min="5" max="5" width="10.88671875" style="61" customWidth="1"/>
    <col min="6" max="6" width="13.5546875" style="61" customWidth="1"/>
    <col min="7" max="7" width="10.33203125" style="2" customWidth="1"/>
    <col min="8" max="8" width="13.33203125" style="2" customWidth="1"/>
    <col min="9" max="9" width="10.5546875" style="2" customWidth="1"/>
    <col min="10" max="10" width="15" style="2" customWidth="1"/>
    <col min="11" max="11" width="12.109375" style="3" customWidth="1"/>
    <col min="12" max="12" width="9.109375" style="3" customWidth="1"/>
    <col min="13" max="13" width="7.6640625" style="2" customWidth="1"/>
    <col min="14" max="14" width="7" style="2" customWidth="1"/>
    <col min="15" max="15" width="11.109375" style="2" customWidth="1"/>
    <col min="16" max="16" width="10.109375" style="2" customWidth="1"/>
    <col min="17" max="17" width="6.33203125" style="2" customWidth="1"/>
    <col min="18" max="20" width="8.88671875" style="2"/>
    <col min="21" max="21" width="9.33203125" style="2" customWidth="1"/>
    <col min="22" max="23" width="8.88671875" style="2"/>
    <col min="24" max="24" width="9.109375" style="2" customWidth="1"/>
    <col min="25" max="16384" width="8.88671875" style="2"/>
  </cols>
  <sheetData>
    <row r="1" spans="2:28" ht="15.6" customHeight="1" x14ac:dyDescent="0.25">
      <c r="B1" s="1"/>
      <c r="C1" s="1"/>
      <c r="D1" s="2"/>
      <c r="E1" s="1"/>
      <c r="F1" s="2"/>
      <c r="M1" s="3"/>
      <c r="N1" s="3"/>
      <c r="O1" s="3"/>
      <c r="P1" s="3"/>
      <c r="Q1" s="3"/>
      <c r="R1" s="3"/>
      <c r="S1" s="3"/>
      <c r="T1" s="3"/>
      <c r="U1" s="3"/>
      <c r="V1" s="3"/>
      <c r="W1" s="1" t="s">
        <v>53</v>
      </c>
    </row>
    <row r="2" spans="2:28" ht="6.6" customHeight="1" x14ac:dyDescent="0.3">
      <c r="D2" s="4"/>
      <c r="E2" s="4"/>
      <c r="F2" s="4"/>
      <c r="G2" s="5"/>
      <c r="H2" s="4"/>
      <c r="I2" s="4"/>
      <c r="J2" s="4"/>
      <c r="K2" s="6"/>
      <c r="L2" s="6"/>
      <c r="M2" s="6"/>
      <c r="N2" s="6"/>
      <c r="O2" s="6"/>
      <c r="P2" s="6"/>
      <c r="Q2" s="6"/>
      <c r="R2" s="6"/>
      <c r="S2" s="6"/>
      <c r="T2" s="6"/>
      <c r="U2" s="6"/>
      <c r="V2" s="6"/>
      <c r="W2" s="3"/>
    </row>
    <row r="3" spans="2:28" ht="20.399999999999999" x14ac:dyDescent="0.35">
      <c r="C3" s="98" t="s">
        <v>229</v>
      </c>
      <c r="D3" s="98"/>
      <c r="E3" s="98"/>
      <c r="F3" s="98"/>
      <c r="G3" s="98"/>
      <c r="H3" s="98"/>
      <c r="I3" s="98"/>
      <c r="J3" s="98"/>
      <c r="K3" s="98"/>
      <c r="L3" s="6"/>
      <c r="M3" s="6"/>
      <c r="N3" s="6"/>
      <c r="O3" s="6"/>
      <c r="P3" s="6"/>
      <c r="Q3" s="6"/>
      <c r="R3" s="6"/>
      <c r="S3" s="6"/>
      <c r="T3" s="6"/>
      <c r="U3" s="6"/>
      <c r="V3" s="6"/>
      <c r="W3" s="3"/>
    </row>
    <row r="4" spans="2:28" ht="7.2" customHeight="1" x14ac:dyDescent="0.25">
      <c r="D4" s="4"/>
      <c r="E4" s="4"/>
      <c r="F4" s="4"/>
      <c r="G4" s="4"/>
      <c r="H4" s="4"/>
      <c r="I4" s="4"/>
      <c r="J4" s="4"/>
      <c r="K4" s="6"/>
      <c r="L4" s="6"/>
      <c r="M4" s="6"/>
      <c r="N4" s="6"/>
      <c r="O4" s="6"/>
      <c r="P4" s="6"/>
      <c r="Q4" s="6"/>
      <c r="R4" s="6"/>
      <c r="S4" s="6"/>
      <c r="T4" s="6"/>
      <c r="U4" s="6"/>
      <c r="V4" s="6"/>
      <c r="W4" s="36"/>
      <c r="X4" s="30"/>
      <c r="Y4" s="30"/>
      <c r="Z4" s="30"/>
      <c r="AA4" s="30"/>
      <c r="AB4" s="30"/>
    </row>
    <row r="5" spans="2:28" ht="7.95" customHeight="1" thickBot="1" x14ac:dyDescent="0.3">
      <c r="D5" s="4"/>
      <c r="E5" s="4"/>
      <c r="F5" s="4"/>
      <c r="G5" s="4"/>
      <c r="H5" s="4"/>
      <c r="I5" s="4"/>
      <c r="J5" s="4"/>
      <c r="K5" s="6"/>
      <c r="L5" s="6"/>
      <c r="M5" s="6"/>
      <c r="N5" s="6"/>
      <c r="O5" s="6"/>
      <c r="P5" s="6"/>
      <c r="Q5" s="6"/>
      <c r="R5" s="6"/>
      <c r="S5" s="6"/>
      <c r="T5" s="6"/>
      <c r="U5" s="6"/>
      <c r="V5" s="6"/>
      <c r="W5" s="36"/>
      <c r="X5" s="30"/>
      <c r="Y5" s="30"/>
      <c r="Z5" s="30"/>
      <c r="AA5" s="30"/>
      <c r="AB5" s="30"/>
    </row>
    <row r="6" spans="2:28" ht="17.399999999999999" x14ac:dyDescent="0.3">
      <c r="B6" s="47"/>
      <c r="C6" s="48" t="str">
        <f>CONCATENATE(D62," = f (",F62," )")</f>
        <v>REF = f (mark w )</v>
      </c>
      <c r="D6" s="49"/>
      <c r="E6" s="48"/>
      <c r="F6" s="48"/>
      <c r="G6" s="8"/>
      <c r="H6" s="65" t="s">
        <v>38</v>
      </c>
      <c r="I6" s="7"/>
      <c r="J6" s="8"/>
      <c r="M6" s="3"/>
      <c r="N6" s="3"/>
      <c r="O6" s="3"/>
      <c r="P6" s="3"/>
      <c r="Q6" s="3"/>
      <c r="R6" s="3"/>
      <c r="S6" s="3"/>
      <c r="T6" s="3"/>
      <c r="U6" s="3"/>
      <c r="V6" s="3"/>
      <c r="W6" s="36"/>
      <c r="X6" s="30"/>
      <c r="Y6" s="30"/>
      <c r="Z6" s="30"/>
      <c r="AA6" s="30"/>
      <c r="AB6" s="30"/>
    </row>
    <row r="7" spans="2:28" ht="17.399999999999999" x14ac:dyDescent="0.3">
      <c r="B7" s="50"/>
      <c r="C7" s="36"/>
      <c r="D7" s="45" t="str">
        <f>D62</f>
        <v>REF</v>
      </c>
      <c r="E7" s="45"/>
      <c r="F7" s="45" t="str">
        <f>F62</f>
        <v>mark w</v>
      </c>
      <c r="G7" s="10"/>
      <c r="H7" s="66" t="s">
        <v>22</v>
      </c>
      <c r="I7" s="9">
        <v>500</v>
      </c>
      <c r="J7" s="10"/>
      <c r="M7" s="3"/>
      <c r="N7" s="3"/>
      <c r="O7" s="3"/>
      <c r="P7" s="3"/>
      <c r="Q7" s="3"/>
      <c r="R7" s="3"/>
      <c r="S7" s="3"/>
      <c r="T7" s="3"/>
      <c r="U7" s="3"/>
      <c r="V7" s="3"/>
      <c r="W7" s="36"/>
      <c r="X7" s="30" t="s">
        <v>30</v>
      </c>
      <c r="Y7" s="30"/>
      <c r="Z7" s="30"/>
      <c r="AA7" s="30"/>
      <c r="AB7" s="30"/>
    </row>
    <row r="8" spans="2:28" ht="17.399999999999999" x14ac:dyDescent="0.3">
      <c r="B8" s="50"/>
      <c r="C8" s="51" t="s">
        <v>22</v>
      </c>
      <c r="D8" s="23"/>
      <c r="E8" s="45">
        <f>COUNT(Table2234210234567891112[REF])</f>
        <v>80</v>
      </c>
      <c r="F8" s="23"/>
      <c r="G8" s="10"/>
      <c r="H8" s="66" t="s">
        <v>39</v>
      </c>
      <c r="I8" s="9">
        <v>1.2</v>
      </c>
      <c r="J8" s="10"/>
      <c r="M8" s="3"/>
      <c r="N8" s="3"/>
      <c r="O8" s="3"/>
      <c r="P8" s="3"/>
      <c r="Q8" s="3"/>
      <c r="R8" s="3"/>
      <c r="S8" s="3"/>
      <c r="T8" s="3"/>
      <c r="U8" s="3"/>
      <c r="V8" s="3"/>
      <c r="W8" s="36"/>
      <c r="X8" s="37">
        <f>62+E8</f>
        <v>142</v>
      </c>
      <c r="Y8" s="30"/>
      <c r="Z8" s="38"/>
      <c r="AA8" s="30"/>
      <c r="AB8" s="30"/>
    </row>
    <row r="9" spans="2:28" ht="16.2" thickBot="1" x14ac:dyDescent="0.35">
      <c r="B9" s="50"/>
      <c r="C9" s="51" t="s">
        <v>6</v>
      </c>
      <c r="D9" s="24">
        <f>AVERAGE(Table2234210234567891112[REF])</f>
        <v>11.109499980000002</v>
      </c>
      <c r="E9" s="24"/>
      <c r="F9" s="24">
        <f>AVERAGE(Table2234210234567891112[mark w])</f>
        <v>11.466287499999995</v>
      </c>
      <c r="G9" s="69"/>
      <c r="H9" s="67" t="s">
        <v>43</v>
      </c>
      <c r="I9" s="13"/>
      <c r="J9" s="14">
        <v>12</v>
      </c>
      <c r="M9" s="3"/>
      <c r="N9" s="3"/>
      <c r="O9" s="3"/>
      <c r="P9" s="3"/>
      <c r="Q9" s="3"/>
      <c r="R9" s="3"/>
      <c r="S9" s="3"/>
      <c r="T9" s="3"/>
      <c r="U9" s="3"/>
      <c r="V9" s="3"/>
      <c r="W9" s="56"/>
      <c r="X9" s="30"/>
      <c r="Y9" s="30"/>
      <c r="Z9" s="30"/>
      <c r="AA9" s="30"/>
      <c r="AB9" s="30"/>
    </row>
    <row r="10" spans="2:28" ht="16.2" thickBot="1" x14ac:dyDescent="0.35">
      <c r="B10" s="50"/>
      <c r="C10" s="51" t="s">
        <v>7</v>
      </c>
      <c r="D10" s="24">
        <f>MIN(Table2234210234567891112[REF])</f>
        <v>8.9700003000000006</v>
      </c>
      <c r="E10" s="24">
        <f>ROUNDDOWN(MIN(D10,F10),0)</f>
        <v>8</v>
      </c>
      <c r="F10" s="24">
        <f>MIN(Table2234210234567891112[mark w])</f>
        <v>9.1890000000000001</v>
      </c>
      <c r="G10" s="70"/>
      <c r="H10" s="68" t="s">
        <v>40</v>
      </c>
      <c r="I10" s="15">
        <v>0.05</v>
      </c>
      <c r="J10" s="16"/>
      <c r="M10" s="3"/>
      <c r="N10" s="3"/>
      <c r="O10" s="3"/>
      <c r="P10" s="3"/>
      <c r="Q10" s="3"/>
      <c r="R10" s="3"/>
      <c r="S10" s="3"/>
      <c r="T10" s="3"/>
      <c r="U10" s="3"/>
      <c r="V10" s="3"/>
      <c r="W10" s="56">
        <f>E10+E20</f>
        <v>8.3567875199999921</v>
      </c>
      <c r="X10" s="30"/>
      <c r="Y10" s="30"/>
      <c r="Z10" s="30"/>
      <c r="AA10" s="30"/>
      <c r="AB10" s="30"/>
    </row>
    <row r="11" spans="2:28" ht="15.6" x14ac:dyDescent="0.3">
      <c r="B11" s="50"/>
      <c r="C11" s="51" t="s">
        <v>8</v>
      </c>
      <c r="D11" s="24">
        <f>MAX(Table2234210234567891112[REF])</f>
        <v>14.4300003</v>
      </c>
      <c r="E11" s="24">
        <f>ROUNDUP(MAX(D11,F11),0)+1</f>
        <v>16</v>
      </c>
      <c r="F11" s="24">
        <f>MAX(Table2234210234567891112[mark w])</f>
        <v>14.459</v>
      </c>
      <c r="G11" s="70"/>
      <c r="H11" s="28" t="s">
        <v>41</v>
      </c>
      <c r="I11" s="29">
        <f>TINV(I10,E8)</f>
        <v>1.9900634212544475</v>
      </c>
      <c r="J11" s="29"/>
      <c r="K11" s="36"/>
      <c r="M11" s="3"/>
      <c r="N11" s="3"/>
      <c r="O11" s="3"/>
      <c r="P11" s="3"/>
      <c r="Q11" s="3"/>
      <c r="R11" s="3"/>
      <c r="S11" s="3"/>
      <c r="T11" s="3"/>
      <c r="U11" s="3"/>
      <c r="V11" s="3"/>
      <c r="W11" s="56">
        <f>E11+E20</f>
        <v>16.35678751999999</v>
      </c>
      <c r="X11" s="30"/>
      <c r="Y11" s="30"/>
      <c r="Z11" s="30"/>
      <c r="AA11" s="30"/>
      <c r="AB11" s="30"/>
    </row>
    <row r="12" spans="2:28" ht="15.6" x14ac:dyDescent="0.3">
      <c r="B12" s="50"/>
      <c r="C12" s="51" t="s">
        <v>9</v>
      </c>
      <c r="D12" s="25">
        <f>STDEV(Table2234210234567891112[REF])</f>
        <v>1.1729049824811564</v>
      </c>
      <c r="E12" s="25"/>
      <c r="F12" s="24">
        <f>STDEV(Table2234210234567891112[mark w])</f>
        <v>1.1015534507708027</v>
      </c>
      <c r="G12" s="69"/>
      <c r="H12" s="28" t="s">
        <v>42</v>
      </c>
      <c r="I12" s="29">
        <f>FINV(I10,E8-1,I7-1-J9)</f>
        <v>1.305795130911809</v>
      </c>
      <c r="J12" s="30"/>
      <c r="K12" s="36"/>
      <c r="M12" s="3"/>
      <c r="N12" s="3"/>
      <c r="O12" s="3"/>
      <c r="P12" s="3"/>
      <c r="Q12" s="3"/>
      <c r="R12" s="3"/>
      <c r="S12" s="3"/>
      <c r="T12" s="3"/>
      <c r="U12" s="3"/>
      <c r="V12" s="3"/>
      <c r="W12" s="36"/>
      <c r="X12" s="30"/>
      <c r="Y12" s="30"/>
      <c r="Z12" s="30"/>
      <c r="AA12" s="30"/>
      <c r="AB12" s="30"/>
    </row>
    <row r="13" spans="2:28" ht="15.6" x14ac:dyDescent="0.3">
      <c r="B13" s="50"/>
      <c r="C13" s="51" t="s">
        <v>56</v>
      </c>
      <c r="D13" s="24">
        <f>MEDIAN(Table2234210234567891112[REF])</f>
        <v>11.010000250000001</v>
      </c>
      <c r="E13" s="25"/>
      <c r="F13" s="24">
        <f>MEDIAN(Table2234210234567891112[mark w])</f>
        <v>11.317</v>
      </c>
      <c r="G13" s="69"/>
      <c r="H13" s="28"/>
      <c r="I13" s="29"/>
      <c r="J13" s="30"/>
      <c r="K13" s="36"/>
      <c r="M13" s="3"/>
      <c r="N13" s="3"/>
      <c r="O13" s="3"/>
      <c r="P13" s="3"/>
      <c r="Q13" s="3"/>
      <c r="R13" s="3"/>
      <c r="S13" s="3"/>
      <c r="T13" s="3"/>
      <c r="U13" s="3"/>
      <c r="V13" s="3"/>
      <c r="W13" s="36"/>
      <c r="X13" s="30"/>
      <c r="Y13" s="30"/>
      <c r="Z13" s="30"/>
      <c r="AA13" s="30"/>
      <c r="AB13" s="30"/>
    </row>
    <row r="14" spans="2:28" ht="15.6" x14ac:dyDescent="0.3">
      <c r="B14" s="50"/>
      <c r="C14" s="51" t="s">
        <v>57</v>
      </c>
      <c r="D14" s="25">
        <f>1.4826*(MEDIAN(Table2234210234567891112[abs(lab)]))</f>
        <v>1.4677736293499986</v>
      </c>
      <c r="E14" s="25"/>
      <c r="F14" s="24">
        <f>1.4826*MEDIAN(Table2234210234567891112[abs(anl)])</f>
        <v>1.2705881999999988</v>
      </c>
      <c r="G14" s="75"/>
      <c r="H14" s="28"/>
      <c r="I14" s="29"/>
      <c r="J14" s="30"/>
      <c r="K14" s="36"/>
      <c r="M14" s="3"/>
      <c r="N14" s="3"/>
      <c r="O14" s="3"/>
      <c r="P14" s="3"/>
      <c r="Q14" s="3"/>
      <c r="R14" s="3"/>
      <c r="S14" s="3"/>
      <c r="T14" s="3"/>
      <c r="U14" s="3"/>
      <c r="V14" s="3"/>
      <c r="W14" s="36"/>
      <c r="X14" s="30"/>
      <c r="Y14" s="30"/>
      <c r="Z14" s="30"/>
      <c r="AA14" s="30"/>
      <c r="AB14" s="30"/>
    </row>
    <row r="15" spans="2:28" ht="15.6" x14ac:dyDescent="0.3">
      <c r="B15" s="50"/>
      <c r="C15" s="51"/>
      <c r="D15" s="25"/>
      <c r="E15" s="25"/>
      <c r="F15" s="24" t="s">
        <v>63</v>
      </c>
      <c r="G15" s="69"/>
      <c r="H15" s="28"/>
      <c r="I15" s="29"/>
      <c r="J15" s="30"/>
      <c r="K15" s="36"/>
      <c r="M15" s="3"/>
      <c r="N15" s="3"/>
      <c r="O15" s="3"/>
      <c r="P15" s="3"/>
      <c r="Q15" s="3"/>
      <c r="R15" s="3"/>
      <c r="S15" s="3"/>
      <c r="T15" s="3"/>
      <c r="U15" s="3"/>
      <c r="V15" s="3"/>
      <c r="W15" s="36"/>
      <c r="X15" s="30"/>
      <c r="Y15" s="30"/>
      <c r="Z15" s="30"/>
      <c r="AA15" s="30"/>
      <c r="AB15" s="30"/>
    </row>
    <row r="16" spans="2:28" ht="17.399999999999999" x14ac:dyDescent="0.3">
      <c r="B16" s="50"/>
      <c r="C16" s="51" t="s">
        <v>10</v>
      </c>
      <c r="D16" s="25"/>
      <c r="E16" s="26">
        <f>SQRT(AVERAGE(Table2234210234567891112[dif^2]))</f>
        <v>0.47674474067635819</v>
      </c>
      <c r="F16" s="72">
        <f>SQRT(F18^2+E20^2)</f>
        <v>0.49047270193321846</v>
      </c>
      <c r="G16" s="10"/>
      <c r="H16" s="31"/>
      <c r="I16" s="30"/>
      <c r="J16" s="31"/>
      <c r="K16" s="44"/>
      <c r="M16" s="3"/>
      <c r="N16" s="3"/>
      <c r="O16" s="3"/>
      <c r="P16" s="3"/>
      <c r="Q16" s="3"/>
      <c r="R16" s="3"/>
      <c r="S16" s="3"/>
      <c r="T16" s="3"/>
      <c r="U16" s="3"/>
      <c r="V16" s="3"/>
      <c r="W16" s="36"/>
      <c r="X16" s="30"/>
      <c r="Y16" s="30"/>
      <c r="Z16" s="30"/>
      <c r="AA16" s="30"/>
      <c r="AB16" s="30"/>
    </row>
    <row r="17" spans="2:28" ht="21" x14ac:dyDescent="0.4">
      <c r="B17" s="50"/>
      <c r="C17" s="51" t="s">
        <v>55</v>
      </c>
      <c r="D17" s="3"/>
      <c r="E17" s="26"/>
      <c r="F17" s="26">
        <f>MEDIAN(Table2234210234567891112[abs_errors])</f>
        <v>0.2270000999999997</v>
      </c>
      <c r="G17" s="10"/>
      <c r="H17" s="32"/>
      <c r="I17" s="33"/>
      <c r="J17" s="34"/>
      <c r="K17" s="54"/>
      <c r="M17" s="3"/>
      <c r="N17" s="3"/>
      <c r="O17" s="3"/>
      <c r="P17" s="3"/>
      <c r="Q17" s="3"/>
      <c r="R17" s="3"/>
      <c r="S17" s="3"/>
      <c r="T17" s="3"/>
      <c r="U17" s="3"/>
      <c r="V17" s="3"/>
      <c r="W17" s="36"/>
      <c r="X17" s="30"/>
      <c r="Y17" s="30"/>
      <c r="Z17" s="30"/>
      <c r="AA17" s="30"/>
      <c r="AB17" s="30"/>
    </row>
    <row r="18" spans="2:28" ht="21" x14ac:dyDescent="0.4">
      <c r="B18" s="50"/>
      <c r="C18" s="51" t="s">
        <v>11</v>
      </c>
      <c r="D18" s="25"/>
      <c r="E18" s="26">
        <f>STDEV(Table2234210234567891112[X-Y])</f>
        <v>0.31820415918295958</v>
      </c>
      <c r="F18" s="26">
        <f>1.4826*MEDIAN(Table2234210234567891112[abs_errors])</f>
        <v>0.33655034825999952</v>
      </c>
      <c r="G18" s="10"/>
      <c r="H18" s="32" t="s">
        <v>44</v>
      </c>
      <c r="I18" s="33">
        <f>I8*I12</f>
        <v>1.5669541570941707</v>
      </c>
      <c r="J18" s="34" t="str">
        <f>IF(E18&gt;I18,"S"," ns ")</f>
        <v xml:space="preserve"> ns </v>
      </c>
      <c r="K18" s="36"/>
      <c r="M18" s="3"/>
      <c r="N18" s="3"/>
      <c r="O18" s="3"/>
      <c r="P18" s="3"/>
      <c r="Q18" s="3"/>
      <c r="R18" s="3"/>
      <c r="S18" s="3"/>
      <c r="T18" s="3"/>
      <c r="U18" s="3"/>
      <c r="V18" s="3"/>
      <c r="W18" s="36"/>
      <c r="X18" s="30" t="s">
        <v>28</v>
      </c>
      <c r="Y18" s="30" t="s">
        <v>27</v>
      </c>
      <c r="Z18" s="30"/>
      <c r="AA18" s="30"/>
      <c r="AB18" s="30"/>
    </row>
    <row r="19" spans="2:28" ht="17.399999999999999" x14ac:dyDescent="0.3">
      <c r="B19" s="50"/>
      <c r="C19" s="51" t="s">
        <v>12</v>
      </c>
      <c r="D19" s="25"/>
      <c r="E19" s="26">
        <f>STEYX(Table2234210234567891112[REF],Table2234210234567891112[mark w])</f>
        <v>0.31902151982935006</v>
      </c>
      <c r="F19" s="26">
        <f>1.4826*MEDIAN(Table2234210234567891112[Abs_erroryx])</f>
        <v>0.3619588743910831</v>
      </c>
      <c r="G19" s="10"/>
      <c r="H19" s="32"/>
      <c r="I19" s="33"/>
      <c r="J19" s="30"/>
      <c r="K19" s="36"/>
      <c r="M19" s="3"/>
      <c r="N19" s="3"/>
      <c r="O19" s="3"/>
      <c r="P19" s="3"/>
      <c r="Q19" s="3"/>
      <c r="R19" s="3"/>
      <c r="S19" s="3"/>
      <c r="T19" s="3"/>
      <c r="U19" s="3"/>
      <c r="V19" s="3"/>
      <c r="W19" s="36" t="s">
        <v>24</v>
      </c>
      <c r="X19" s="35">
        <f>E$26+E$25*E10</f>
        <v>7.4186887201221836</v>
      </c>
      <c r="Y19" s="30">
        <f>E10</f>
        <v>8</v>
      </c>
      <c r="Z19" s="30"/>
      <c r="AA19" s="30"/>
      <c r="AB19" s="30"/>
    </row>
    <row r="20" spans="2:28" ht="21" x14ac:dyDescent="0.4">
      <c r="B20" s="50"/>
      <c r="C20" s="51" t="s">
        <v>16</v>
      </c>
      <c r="D20" s="25"/>
      <c r="E20" s="72">
        <f>F9-D9</f>
        <v>0.35678751999999214</v>
      </c>
      <c r="F20" s="26">
        <f>F13-D13</f>
        <v>0.30699974999999924</v>
      </c>
      <c r="G20" s="10"/>
      <c r="H20" s="32" t="s">
        <v>46</v>
      </c>
      <c r="I20" s="33">
        <f>ABS(E20/(SQRT(SUM(Table2234210234567891112[dif^2])/(E8*(E8-1)))))</f>
        <v>6.6517710062890769</v>
      </c>
      <c r="J20" s="34" t="str">
        <f>IF(I20&gt;I11,"S","ns")</f>
        <v>S</v>
      </c>
      <c r="K20" s="36"/>
      <c r="M20" s="3"/>
      <c r="N20" s="3"/>
      <c r="O20" s="3"/>
      <c r="P20" s="3"/>
      <c r="Q20" s="3"/>
      <c r="R20" s="3"/>
      <c r="S20" s="3"/>
      <c r="T20" s="3"/>
      <c r="U20" s="3"/>
      <c r="V20" s="3"/>
      <c r="W20" s="36" t="s">
        <v>25</v>
      </c>
      <c r="X20" s="35">
        <f>E$26+E$25*E11</f>
        <v>15.936877150545971</v>
      </c>
      <c r="Y20" s="30">
        <f>E11</f>
        <v>16</v>
      </c>
      <c r="Z20" s="30"/>
      <c r="AA20" s="30"/>
      <c r="AB20" s="30"/>
    </row>
    <row r="21" spans="2:28" ht="21" x14ac:dyDescent="0.4">
      <c r="B21" s="50"/>
      <c r="C21" s="51" t="s">
        <v>13</v>
      </c>
      <c r="D21" s="25"/>
      <c r="E21" s="26">
        <f>SLOPE(Table2234210234567891112[REF],Table2234210234567891112[mark w])</f>
        <v>1.0251488379357812</v>
      </c>
      <c r="F21" s="26"/>
      <c r="G21" s="10"/>
      <c r="H21" s="32" t="s">
        <v>45</v>
      </c>
      <c r="I21" s="33">
        <f>ABS(E21-1)*SQRT((E8-1)*F12^2/E19^2)</f>
        <v>0.77182183992260678</v>
      </c>
      <c r="J21" s="34" t="str">
        <f>IF(I21&gt;I11,"S"," ns  ")</f>
        <v xml:space="preserve"> ns  </v>
      </c>
      <c r="K21" s="55"/>
      <c r="M21" s="3"/>
      <c r="N21" s="3"/>
      <c r="O21" s="3"/>
      <c r="P21" s="3"/>
      <c r="Q21" s="3"/>
      <c r="R21" s="3"/>
      <c r="S21" s="3"/>
      <c r="T21" s="3"/>
      <c r="U21" s="3"/>
      <c r="V21" s="3"/>
      <c r="W21" s="36" t="s">
        <v>26</v>
      </c>
      <c r="X21" s="30">
        <f>E$26+E$25*F9</f>
        <v>11.109499980000002</v>
      </c>
      <c r="Y21" s="29">
        <f>F9</f>
        <v>11.466287499999995</v>
      </c>
      <c r="Z21" s="30"/>
      <c r="AA21" s="30"/>
      <c r="AB21" s="30"/>
    </row>
    <row r="22" spans="2:28" ht="17.399999999999999" x14ac:dyDescent="0.3">
      <c r="B22" s="50"/>
      <c r="C22" s="51" t="s">
        <v>14</v>
      </c>
      <c r="D22" s="25"/>
      <c r="E22" s="26">
        <f>INTERCEPT(Table2234210234567891112[REF],Table2234210234567891112[mark w])</f>
        <v>-0.64515132606256564</v>
      </c>
      <c r="F22" s="26"/>
      <c r="G22" s="10"/>
      <c r="H22" s="30"/>
      <c r="I22" s="30"/>
      <c r="J22" s="30"/>
      <c r="K22" s="36"/>
      <c r="M22" s="3"/>
      <c r="N22" s="3"/>
      <c r="O22" s="3"/>
      <c r="P22" s="3"/>
      <c r="Q22" s="3"/>
      <c r="R22" s="3"/>
      <c r="S22" s="3"/>
      <c r="T22" s="3"/>
      <c r="U22" s="3"/>
      <c r="V22" s="3"/>
      <c r="W22" s="36"/>
      <c r="X22" s="30"/>
      <c r="Y22" s="30"/>
      <c r="Z22" s="30"/>
      <c r="AA22" s="30"/>
      <c r="AB22" s="30"/>
    </row>
    <row r="23" spans="2:28" ht="22.8" x14ac:dyDescent="0.4">
      <c r="B23" s="50"/>
      <c r="C23" s="51" t="s">
        <v>15</v>
      </c>
      <c r="D23" s="25"/>
      <c r="E23" s="80">
        <f>RSQ(Table2234210234567891112[REF],Table2234210234567891112[mark w])</f>
        <v>0.92695646072767734</v>
      </c>
      <c r="F23" s="26">
        <f>(D12^2-F19^2)/D12^2</f>
        <v>0.90476583119920873</v>
      </c>
      <c r="G23" s="10"/>
      <c r="H23" s="32"/>
      <c r="I23" s="33"/>
      <c r="J23" s="30"/>
      <c r="K23" s="36"/>
      <c r="M23" s="3"/>
      <c r="N23" s="3"/>
      <c r="O23" s="3"/>
      <c r="P23" s="3"/>
      <c r="Q23" s="3"/>
      <c r="R23" s="3"/>
      <c r="S23" s="3"/>
      <c r="T23" s="3"/>
      <c r="U23" s="3"/>
      <c r="V23" s="3"/>
      <c r="W23" s="36"/>
      <c r="X23" s="30"/>
      <c r="Y23" s="30"/>
      <c r="Z23" s="30"/>
      <c r="AA23" s="30"/>
      <c r="AB23" s="30"/>
    </row>
    <row r="24" spans="2:28" ht="17.399999999999999" x14ac:dyDescent="0.3">
      <c r="B24" s="50"/>
      <c r="C24" s="51" t="s">
        <v>29</v>
      </c>
      <c r="D24" s="23"/>
      <c r="E24" s="26">
        <f>1/SQRT(1-E23)</f>
        <v>3.7000628042185526</v>
      </c>
      <c r="F24" s="26">
        <f>1/SQRT(1-F23)</f>
        <v>3.2404371476022331</v>
      </c>
      <c r="G24" s="10"/>
      <c r="H24" s="76" t="s">
        <v>64</v>
      </c>
      <c r="I24" s="77">
        <f>D12/E19</f>
        <v>3.6765701044511445</v>
      </c>
      <c r="J24" s="30"/>
      <c r="K24" s="36"/>
      <c r="M24" s="3"/>
      <c r="N24" s="3"/>
      <c r="O24" s="3"/>
      <c r="P24" s="3"/>
      <c r="Q24" s="3"/>
      <c r="R24" s="3"/>
      <c r="S24" s="3"/>
      <c r="T24" s="3"/>
      <c r="U24" s="3"/>
      <c r="V24" s="3"/>
      <c r="W24" s="36"/>
      <c r="X24" s="30"/>
      <c r="Y24" s="30"/>
      <c r="Z24" s="30"/>
      <c r="AA24" s="30"/>
      <c r="AB24" s="30"/>
    </row>
    <row r="25" spans="2:28" ht="17.399999999999999" x14ac:dyDescent="0.3">
      <c r="B25" s="50"/>
      <c r="C25" s="51" t="s">
        <v>17</v>
      </c>
      <c r="D25" s="23"/>
      <c r="E25" s="26">
        <f>(D12/F12)</f>
        <v>1.0647735538029734</v>
      </c>
      <c r="F25" s="45"/>
      <c r="G25" s="10"/>
      <c r="H25" s="32" t="s">
        <v>47</v>
      </c>
      <c r="I25" s="62">
        <f>QUARTILE(Table2234210234567891112[abs_errors],3)</f>
        <v>0.38989383499999697</v>
      </c>
      <c r="J25" s="30"/>
      <c r="K25" s="36"/>
      <c r="M25" s="3"/>
      <c r="N25" s="3"/>
      <c r="O25" s="3"/>
      <c r="P25" s="3"/>
      <c r="Q25" s="3"/>
      <c r="R25" s="3"/>
      <c r="S25" s="3"/>
      <c r="T25" s="3"/>
      <c r="U25" s="3"/>
      <c r="V25" s="3"/>
      <c r="W25" s="36" t="s">
        <v>19</v>
      </c>
      <c r="X25" s="30">
        <f>COVAR(Table2234210234567891112[REF],Table2234210234567891112[mark w])</f>
        <v>1.2283869066069999</v>
      </c>
      <c r="Y25" s="30"/>
      <c r="Z25" s="30"/>
      <c r="AA25" s="30"/>
      <c r="AB25" s="30"/>
    </row>
    <row r="26" spans="2:28" ht="17.399999999999999" x14ac:dyDescent="0.3">
      <c r="B26" s="50"/>
      <c r="C26" s="51" t="s">
        <v>18</v>
      </c>
      <c r="D26" s="23"/>
      <c r="E26" s="26">
        <f>D9-E25*F9</f>
        <v>-1.099499710301604</v>
      </c>
      <c r="F26" s="45"/>
      <c r="G26" s="10"/>
      <c r="M26" s="3"/>
      <c r="N26" s="3"/>
      <c r="O26" s="3"/>
      <c r="P26" s="3"/>
      <c r="Q26" s="3"/>
      <c r="R26" s="3"/>
      <c r="S26" s="3"/>
      <c r="T26" s="3"/>
      <c r="U26" s="3"/>
      <c r="V26" s="3"/>
      <c r="W26" s="36" t="s">
        <v>20</v>
      </c>
      <c r="X26" s="30">
        <f>SIGN(X25)</f>
        <v>1</v>
      </c>
      <c r="Y26" s="30"/>
      <c r="Z26" s="30"/>
      <c r="AA26" s="30"/>
      <c r="AB26" s="30"/>
    </row>
    <row r="27" spans="2:28" ht="18" thickBot="1" x14ac:dyDescent="0.35">
      <c r="B27" s="52"/>
      <c r="C27" s="53" t="s">
        <v>21</v>
      </c>
      <c r="D27" s="27"/>
      <c r="E27" s="73">
        <f>SQRT(AVERAGE(Table2234210234567891112[dif_rec^2]))</f>
        <v>0.31798075322906261</v>
      </c>
      <c r="F27" s="74"/>
      <c r="G27" s="71"/>
      <c r="M27" s="3"/>
      <c r="N27" s="3"/>
      <c r="O27" s="3"/>
      <c r="P27" s="3"/>
      <c r="Q27" s="3"/>
      <c r="R27" s="3"/>
      <c r="S27" s="3"/>
      <c r="T27" s="3"/>
      <c r="U27" s="3"/>
      <c r="V27" s="3"/>
      <c r="W27" s="36"/>
      <c r="X27" s="30"/>
      <c r="Y27" s="30"/>
      <c r="Z27" s="30"/>
      <c r="AA27" s="30"/>
      <c r="AB27" s="30"/>
    </row>
    <row r="28" spans="2:28" ht="15.6" x14ac:dyDescent="0.3">
      <c r="B28" s="3"/>
      <c r="C28" s="11"/>
      <c r="D28" s="12"/>
      <c r="E28" s="18"/>
      <c r="F28" s="12"/>
      <c r="M28" s="3"/>
      <c r="N28" s="3"/>
      <c r="O28" s="3"/>
      <c r="P28" s="3"/>
      <c r="Q28" s="3"/>
      <c r="R28" s="3"/>
      <c r="S28" s="3"/>
      <c r="T28" s="3"/>
      <c r="U28" s="3"/>
      <c r="V28" s="3"/>
      <c r="W28" s="36"/>
      <c r="X28" s="30"/>
      <c r="Y28" s="30"/>
      <c r="Z28" s="30"/>
      <c r="AA28" s="30"/>
      <c r="AB28" s="30"/>
    </row>
    <row r="29" spans="2:28" ht="17.399999999999999" x14ac:dyDescent="0.3">
      <c r="C29" s="19"/>
      <c r="D29" s="3"/>
      <c r="E29" s="17"/>
      <c r="F29" s="3"/>
      <c r="M29" s="3"/>
      <c r="N29" s="3"/>
      <c r="O29" s="3"/>
      <c r="P29" s="3"/>
      <c r="Q29" s="3"/>
      <c r="R29" s="3"/>
      <c r="S29" s="3"/>
      <c r="T29" s="3"/>
      <c r="U29" s="3"/>
      <c r="V29" s="3"/>
      <c r="W29" s="44" t="s">
        <v>54</v>
      </c>
      <c r="X29" s="37">
        <f>MIN(Table2234210234567891112[X-Y])</f>
        <v>-0.35000030000000137</v>
      </c>
      <c r="Y29" s="30">
        <f>X29</f>
        <v>-0.35000030000000137</v>
      </c>
      <c r="Z29" s="30"/>
      <c r="AA29" s="30"/>
      <c r="AB29" s="30"/>
    </row>
    <row r="30" spans="2:28" ht="17.399999999999999" x14ac:dyDescent="0.3">
      <c r="C30" s="19"/>
      <c r="D30" s="3"/>
      <c r="E30" s="17"/>
      <c r="F30" s="3"/>
      <c r="M30" s="3"/>
      <c r="N30" s="3"/>
      <c r="O30" s="3"/>
      <c r="P30" s="3"/>
      <c r="Q30" s="3"/>
      <c r="R30" s="3"/>
      <c r="S30" s="3"/>
      <c r="T30" s="3"/>
      <c r="U30" s="3"/>
      <c r="V30" s="3"/>
      <c r="W30" s="39" t="s">
        <v>37</v>
      </c>
      <c r="X30" s="63">
        <f>MAX(Table2234210234567891112[X-Y])</f>
        <v>1.1000005000000002</v>
      </c>
      <c r="Y30" s="30">
        <f>X30</f>
        <v>1.1000005000000002</v>
      </c>
      <c r="Z30" s="30"/>
      <c r="AA30" s="30"/>
      <c r="AB30" s="30"/>
    </row>
    <row r="31" spans="2:28" ht="15.6" x14ac:dyDescent="0.3">
      <c r="C31" s="19"/>
      <c r="D31" s="3"/>
      <c r="E31" s="17"/>
      <c r="F31" s="3"/>
      <c r="M31" s="3"/>
      <c r="N31" s="3"/>
      <c r="O31" s="3"/>
      <c r="P31" s="3"/>
      <c r="Q31" s="3"/>
      <c r="R31" s="3"/>
      <c r="S31" s="3"/>
      <c r="T31" s="3"/>
      <c r="U31" s="3"/>
      <c r="V31" s="3"/>
      <c r="W31" s="36"/>
      <c r="X31" s="30"/>
      <c r="Y31" s="30"/>
      <c r="Z31" s="40"/>
      <c r="AA31" s="30"/>
      <c r="AB31" s="30"/>
    </row>
    <row r="32" spans="2:28" x14ac:dyDescent="0.25">
      <c r="C32" s="19"/>
      <c r="D32" s="3"/>
      <c r="E32" s="17"/>
      <c r="F32" s="3"/>
      <c r="M32" s="3"/>
      <c r="N32" s="3"/>
      <c r="O32" s="3"/>
      <c r="P32" s="3"/>
      <c r="Q32" s="3"/>
      <c r="R32" s="3"/>
      <c r="S32" s="3"/>
      <c r="T32" s="3"/>
      <c r="U32" s="3"/>
      <c r="V32" s="3"/>
      <c r="W32" s="36"/>
      <c r="X32" s="30"/>
      <c r="Y32" s="30"/>
      <c r="Z32" s="30"/>
      <c r="AA32" s="30"/>
      <c r="AB32" s="30"/>
    </row>
    <row r="33" spans="3:28" x14ac:dyDescent="0.25">
      <c r="C33" s="19"/>
      <c r="D33" s="3"/>
      <c r="E33" s="17"/>
      <c r="F33" s="3"/>
      <c r="M33" s="3"/>
      <c r="N33" s="3"/>
      <c r="O33" s="3"/>
      <c r="P33" s="3"/>
      <c r="Q33" s="3"/>
      <c r="R33" s="3"/>
      <c r="S33" s="3"/>
      <c r="T33" s="3"/>
      <c r="U33" s="3"/>
      <c r="V33" s="3"/>
      <c r="W33" s="36"/>
      <c r="X33" s="30"/>
      <c r="Y33" s="30"/>
      <c r="Z33" s="30"/>
      <c r="AA33" s="30"/>
      <c r="AB33" s="30"/>
    </row>
    <row r="34" spans="3:28" x14ac:dyDescent="0.25">
      <c r="C34" s="19"/>
      <c r="D34" s="3"/>
      <c r="E34" s="17"/>
      <c r="F34" s="3"/>
      <c r="M34" s="3"/>
      <c r="N34" s="3"/>
      <c r="O34" s="3"/>
      <c r="P34" s="3"/>
      <c r="Q34" s="3"/>
      <c r="R34" s="3"/>
      <c r="S34" s="3"/>
      <c r="T34" s="3"/>
      <c r="U34" s="3"/>
      <c r="V34" s="3"/>
      <c r="W34" s="36"/>
      <c r="X34" s="30"/>
      <c r="Y34" s="30"/>
      <c r="Z34" s="30"/>
      <c r="AA34" s="30"/>
      <c r="AB34" s="30"/>
    </row>
    <row r="35" spans="3:28" x14ac:dyDescent="0.25">
      <c r="C35" s="19"/>
      <c r="D35" s="3"/>
      <c r="E35" s="17"/>
      <c r="F35" s="3"/>
      <c r="M35" s="3"/>
      <c r="N35" s="3"/>
      <c r="O35" s="3"/>
      <c r="P35" s="3"/>
      <c r="Q35" s="3"/>
      <c r="R35" s="3"/>
      <c r="S35" s="3"/>
      <c r="T35" s="3"/>
      <c r="U35" s="3"/>
      <c r="V35" s="3"/>
      <c r="W35" s="36"/>
      <c r="X35" s="30"/>
      <c r="Y35" s="30"/>
      <c r="Z35" s="30"/>
      <c r="AA35" s="30"/>
      <c r="AB35" s="30"/>
    </row>
    <row r="36" spans="3:28" x14ac:dyDescent="0.25">
      <c r="C36" s="19"/>
      <c r="D36" s="3"/>
      <c r="E36" s="17"/>
      <c r="F36" s="3"/>
      <c r="M36" s="3"/>
      <c r="N36" s="3"/>
      <c r="O36" s="3"/>
      <c r="P36" s="3"/>
      <c r="Q36" s="3"/>
      <c r="R36" s="3"/>
      <c r="S36" s="3"/>
      <c r="T36" s="3"/>
      <c r="U36" s="3"/>
      <c r="V36" s="3"/>
      <c r="W36" s="36"/>
      <c r="X36" s="30"/>
      <c r="Y36" s="30"/>
      <c r="Z36" s="30"/>
      <c r="AA36" s="30"/>
      <c r="AB36" s="30"/>
    </row>
    <row r="37" spans="3:28" x14ac:dyDescent="0.25">
      <c r="C37" s="19"/>
      <c r="D37" s="3"/>
      <c r="E37" s="17"/>
      <c r="F37" s="3"/>
      <c r="M37" s="3"/>
      <c r="N37" s="3"/>
      <c r="O37" s="3"/>
      <c r="P37" s="3"/>
      <c r="Q37" s="3"/>
      <c r="R37" s="3"/>
      <c r="S37" s="3"/>
      <c r="T37" s="3"/>
      <c r="U37" s="3"/>
      <c r="V37" s="3"/>
      <c r="W37" s="36"/>
      <c r="X37" s="30"/>
      <c r="Y37" s="30"/>
      <c r="Z37" s="30"/>
      <c r="AA37" s="30"/>
      <c r="AB37" s="30"/>
    </row>
    <row r="38" spans="3:28" x14ac:dyDescent="0.25">
      <c r="C38" s="19"/>
      <c r="D38" s="3"/>
      <c r="E38" s="17"/>
      <c r="F38" s="3"/>
      <c r="M38" s="3"/>
      <c r="N38" s="3"/>
      <c r="O38" s="3"/>
      <c r="P38" s="3"/>
      <c r="Q38" s="3"/>
      <c r="R38" s="3"/>
      <c r="S38" s="3"/>
      <c r="T38" s="3"/>
      <c r="U38" s="3"/>
      <c r="V38" s="3"/>
      <c r="W38" s="36"/>
      <c r="X38" s="30" t="s">
        <v>30</v>
      </c>
      <c r="Y38" s="30"/>
      <c r="Z38" s="30"/>
      <c r="AA38" s="30"/>
      <c r="AB38" s="30"/>
    </row>
    <row r="39" spans="3:28" ht="17.399999999999999" x14ac:dyDescent="0.3">
      <c r="C39" s="19"/>
      <c r="D39" s="3"/>
      <c r="E39" s="17"/>
      <c r="F39" s="3"/>
      <c r="M39" s="3"/>
      <c r="N39" s="3"/>
      <c r="O39" s="3"/>
      <c r="P39" s="3"/>
      <c r="Q39" s="3"/>
      <c r="R39" s="3"/>
      <c r="S39" s="3"/>
      <c r="T39" s="3"/>
      <c r="U39" s="3"/>
      <c r="V39" s="3"/>
      <c r="W39" s="36"/>
      <c r="X39" s="37">
        <f>X8</f>
        <v>142</v>
      </c>
      <c r="Y39" s="41" t="s">
        <v>34</v>
      </c>
      <c r="Z39" s="30"/>
      <c r="AA39" s="30"/>
      <c r="AB39" s="30"/>
    </row>
    <row r="40" spans="3:28" x14ac:dyDescent="0.25">
      <c r="C40" s="19"/>
      <c r="D40" s="3"/>
      <c r="E40" s="17"/>
      <c r="F40" s="3"/>
      <c r="M40" s="3"/>
      <c r="N40" s="3"/>
      <c r="O40" s="3"/>
      <c r="P40" s="3"/>
      <c r="Q40" s="3"/>
      <c r="R40" s="3"/>
      <c r="S40" s="3"/>
      <c r="T40" s="3"/>
      <c r="U40" s="3"/>
      <c r="V40" s="3"/>
      <c r="W40" s="36"/>
      <c r="X40" s="30"/>
      <c r="Y40" s="30" t="s">
        <v>35</v>
      </c>
      <c r="Z40" s="30"/>
      <c r="AA40" s="30"/>
      <c r="AB40" s="30"/>
    </row>
    <row r="41" spans="3:28" x14ac:dyDescent="0.25">
      <c r="C41" s="19"/>
      <c r="D41" s="3"/>
      <c r="E41" s="17"/>
      <c r="F41" s="3"/>
      <c r="M41" s="3"/>
      <c r="N41" s="3"/>
      <c r="O41" s="3"/>
      <c r="P41" s="3"/>
      <c r="Q41" s="3"/>
      <c r="R41" s="3"/>
      <c r="S41" s="3"/>
      <c r="T41" s="3"/>
      <c r="U41" s="3"/>
      <c r="V41" s="3"/>
      <c r="W41" s="36"/>
      <c r="X41" s="30"/>
      <c r="Y41" s="30" t="s">
        <v>36</v>
      </c>
      <c r="Z41" s="30"/>
      <c r="AA41" s="30"/>
      <c r="AB41" s="30"/>
    </row>
    <row r="42" spans="3:28" x14ac:dyDescent="0.25">
      <c r="C42" s="19"/>
      <c r="D42" s="3"/>
      <c r="E42" s="17"/>
      <c r="F42" s="3"/>
      <c r="M42" s="3"/>
      <c r="N42" s="3"/>
      <c r="O42" s="3"/>
      <c r="P42" s="3"/>
      <c r="Q42" s="3"/>
      <c r="R42" s="3"/>
      <c r="S42" s="3"/>
      <c r="T42" s="3"/>
      <c r="U42" s="3"/>
      <c r="V42" s="3"/>
      <c r="W42" s="36"/>
      <c r="X42" s="30"/>
      <c r="Y42" s="30"/>
      <c r="Z42" s="30"/>
      <c r="AA42" s="30"/>
      <c r="AB42" s="30"/>
    </row>
    <row r="43" spans="3:28" x14ac:dyDescent="0.25">
      <c r="C43" s="19"/>
      <c r="D43" s="3"/>
      <c r="E43" s="17"/>
      <c r="F43" s="3"/>
      <c r="M43" s="3"/>
      <c r="N43" s="3"/>
      <c r="O43" s="3"/>
      <c r="P43" s="3"/>
      <c r="Q43" s="3"/>
      <c r="R43" s="3"/>
      <c r="S43" s="3"/>
      <c r="T43" s="3"/>
      <c r="U43" s="3"/>
      <c r="V43" s="3"/>
      <c r="W43" s="36"/>
      <c r="X43" s="30"/>
      <c r="Y43" s="30"/>
      <c r="Z43" s="30"/>
      <c r="AA43" s="30"/>
      <c r="AB43" s="30"/>
    </row>
    <row r="44" spans="3:28" x14ac:dyDescent="0.25">
      <c r="C44" s="19"/>
      <c r="D44" s="3"/>
      <c r="E44" s="17"/>
      <c r="F44" s="3"/>
      <c r="M44" s="3"/>
      <c r="N44" s="3"/>
      <c r="O44" s="3"/>
      <c r="P44" s="3"/>
      <c r="Q44" s="3"/>
      <c r="R44" s="3"/>
      <c r="S44" s="3"/>
      <c r="T44" s="3"/>
      <c r="U44" s="3"/>
      <c r="V44" s="3"/>
      <c r="W44" s="36"/>
      <c r="X44" s="30"/>
      <c r="Y44" s="30"/>
      <c r="Z44" s="30"/>
      <c r="AA44" s="30"/>
      <c r="AB44" s="30"/>
    </row>
    <row r="45" spans="3:28" ht="15" x14ac:dyDescent="0.25">
      <c r="C45" s="19"/>
      <c r="D45" s="3"/>
      <c r="E45" s="17"/>
      <c r="F45" s="3"/>
      <c r="M45" s="3"/>
      <c r="N45" s="3"/>
      <c r="O45" s="3"/>
      <c r="P45" s="3"/>
      <c r="Q45" s="3"/>
      <c r="R45" s="3"/>
      <c r="S45" s="3"/>
      <c r="T45" s="3"/>
      <c r="U45" s="3"/>
      <c r="V45" s="3"/>
      <c r="W45" s="36"/>
      <c r="X45" s="58"/>
      <c r="Y45" s="30"/>
      <c r="Z45" s="30"/>
      <c r="AA45" s="30"/>
      <c r="AB45" s="30"/>
    </row>
    <row r="46" spans="3:28" x14ac:dyDescent="0.25">
      <c r="C46" s="19"/>
      <c r="D46" s="3"/>
      <c r="E46" s="17"/>
      <c r="F46" s="3"/>
      <c r="M46" s="3"/>
      <c r="N46" s="3"/>
      <c r="O46" s="3"/>
      <c r="P46" s="3"/>
      <c r="Q46" s="3"/>
      <c r="R46" s="3"/>
      <c r="S46" s="3"/>
      <c r="T46" s="3"/>
      <c r="U46" s="3"/>
      <c r="V46" s="3"/>
      <c r="W46" s="36"/>
      <c r="X46" s="30"/>
      <c r="Y46" s="30"/>
      <c r="Z46" s="30"/>
      <c r="AA46" s="30"/>
      <c r="AB46" s="30"/>
    </row>
    <row r="47" spans="3:28" x14ac:dyDescent="0.25">
      <c r="C47" s="19"/>
      <c r="D47" s="3"/>
      <c r="E47" s="17"/>
      <c r="F47" s="3"/>
      <c r="M47" s="3"/>
      <c r="N47" s="3"/>
      <c r="O47" s="3"/>
      <c r="P47" s="3"/>
      <c r="Q47" s="3"/>
      <c r="R47" s="3"/>
      <c r="S47" s="3"/>
      <c r="T47" s="3"/>
      <c r="U47" s="3"/>
      <c r="V47" s="3"/>
      <c r="W47" s="36"/>
      <c r="X47" s="30"/>
      <c r="Y47" s="30"/>
      <c r="Z47" s="30"/>
      <c r="AA47" s="30"/>
      <c r="AB47" s="30"/>
    </row>
    <row r="48" spans="3:28" x14ac:dyDescent="0.25">
      <c r="C48" s="19"/>
      <c r="D48" s="3"/>
      <c r="E48" s="17"/>
      <c r="F48" s="3"/>
      <c r="M48" s="3"/>
      <c r="N48" s="3"/>
      <c r="O48" s="3"/>
      <c r="P48" s="3"/>
      <c r="Q48" s="3"/>
      <c r="R48" s="3"/>
      <c r="S48" s="3"/>
      <c r="T48" s="3"/>
      <c r="U48" s="3"/>
      <c r="V48" s="3"/>
      <c r="W48" s="36"/>
      <c r="X48" s="30"/>
      <c r="Y48" s="30"/>
      <c r="Z48" s="30"/>
      <c r="AA48" s="30"/>
      <c r="AB48" s="30"/>
    </row>
    <row r="49" spans="2:28" x14ac:dyDescent="0.25">
      <c r="C49" s="19"/>
      <c r="D49" s="3"/>
      <c r="E49" s="17"/>
      <c r="F49" s="3"/>
      <c r="M49" s="3"/>
      <c r="N49" s="3"/>
      <c r="O49" s="3"/>
      <c r="P49" s="3"/>
      <c r="Q49" s="3"/>
      <c r="R49" s="3"/>
      <c r="S49" s="3"/>
      <c r="T49" s="3"/>
      <c r="U49" s="3"/>
      <c r="V49" s="3"/>
      <c r="W49" s="36"/>
      <c r="X49" s="30"/>
      <c r="Y49" s="30"/>
      <c r="Z49" s="30"/>
      <c r="AA49" s="30"/>
      <c r="AB49" s="30"/>
    </row>
    <row r="50" spans="2:28" x14ac:dyDescent="0.25">
      <c r="C50" s="19"/>
      <c r="D50" s="3"/>
      <c r="E50" s="17"/>
      <c r="F50" s="3"/>
      <c r="M50" s="3"/>
      <c r="N50" s="3"/>
      <c r="O50" s="3"/>
      <c r="P50" s="3"/>
      <c r="Q50" s="3"/>
      <c r="R50" s="3"/>
      <c r="S50" s="3"/>
      <c r="T50" s="3"/>
      <c r="U50" s="3"/>
      <c r="V50" s="3"/>
      <c r="W50" s="36"/>
      <c r="X50" s="30"/>
      <c r="Y50" s="30"/>
      <c r="Z50" s="30"/>
      <c r="AA50" s="30"/>
      <c r="AB50" s="30"/>
    </row>
    <row r="51" spans="2:28" x14ac:dyDescent="0.25">
      <c r="C51" s="19"/>
      <c r="D51" s="3"/>
      <c r="E51" s="17"/>
      <c r="F51" s="3"/>
      <c r="M51" s="3"/>
      <c r="N51" s="3"/>
      <c r="O51" s="3"/>
      <c r="P51" s="3"/>
      <c r="Q51" s="3"/>
      <c r="R51" s="3"/>
      <c r="S51" s="3"/>
      <c r="T51" s="3"/>
      <c r="U51" s="3"/>
      <c r="V51" s="3"/>
      <c r="W51" s="36"/>
      <c r="X51" s="30"/>
      <c r="Y51" s="30"/>
      <c r="Z51" s="30"/>
      <c r="AA51" s="30"/>
      <c r="AB51" s="30"/>
    </row>
    <row r="52" spans="2:28" x14ac:dyDescent="0.25">
      <c r="C52" s="19"/>
      <c r="D52" s="3"/>
      <c r="E52" s="17"/>
      <c r="F52" s="3"/>
      <c r="M52" s="3"/>
      <c r="N52" s="3"/>
      <c r="O52" s="3"/>
      <c r="P52" s="3"/>
      <c r="Q52" s="3"/>
      <c r="R52" s="3"/>
      <c r="S52" s="3"/>
      <c r="T52" s="3"/>
      <c r="U52" s="3"/>
      <c r="V52" s="3"/>
      <c r="W52" s="36"/>
      <c r="X52" s="30"/>
      <c r="Y52" s="30"/>
      <c r="Z52" s="30"/>
      <c r="AA52" s="30"/>
      <c r="AB52" s="30"/>
    </row>
    <row r="53" spans="2:28" x14ac:dyDescent="0.25">
      <c r="C53" s="19"/>
      <c r="D53" s="3"/>
      <c r="E53" s="17"/>
      <c r="F53" s="3"/>
      <c r="M53" s="3"/>
      <c r="N53" s="3"/>
      <c r="O53" s="3"/>
      <c r="P53" s="3"/>
      <c r="Q53" s="3"/>
      <c r="R53" s="3"/>
      <c r="S53" s="3"/>
      <c r="T53" s="3"/>
      <c r="U53" s="3"/>
      <c r="V53" s="3"/>
      <c r="W53" s="36"/>
      <c r="X53" s="30"/>
      <c r="Y53" s="30"/>
      <c r="Z53" s="30"/>
      <c r="AA53" s="30"/>
      <c r="AB53" s="30"/>
    </row>
    <row r="54" spans="2:28" x14ac:dyDescent="0.25">
      <c r="C54" s="19"/>
      <c r="D54" s="3"/>
      <c r="E54" s="17"/>
      <c r="F54" s="3"/>
      <c r="M54" s="3"/>
      <c r="N54" s="3"/>
      <c r="O54" s="3"/>
      <c r="P54" s="3"/>
      <c r="Q54" s="3"/>
      <c r="R54" s="3"/>
      <c r="S54" s="3"/>
      <c r="T54" s="3"/>
      <c r="U54" s="3"/>
      <c r="V54" s="3"/>
      <c r="W54" s="36"/>
      <c r="X54" s="30"/>
      <c r="Y54" s="30"/>
      <c r="Z54" s="30"/>
      <c r="AA54" s="30"/>
      <c r="AB54" s="30"/>
    </row>
    <row r="55" spans="2:28" ht="15.75" customHeight="1" x14ac:dyDescent="0.3">
      <c r="C55" s="19"/>
      <c r="D55" s="3"/>
      <c r="E55" s="17"/>
      <c r="F55" s="3"/>
      <c r="M55" s="3"/>
      <c r="N55" s="3"/>
      <c r="O55" s="3"/>
      <c r="P55" s="3"/>
      <c r="Q55" s="3"/>
      <c r="R55" s="3"/>
      <c r="S55" s="3"/>
      <c r="T55" s="3"/>
      <c r="U55" s="3"/>
      <c r="V55" s="3"/>
      <c r="W55" s="36"/>
      <c r="X55" s="30"/>
      <c r="Y55" s="30"/>
      <c r="Z55" s="40"/>
      <c r="AA55" s="30"/>
      <c r="AB55" s="30"/>
    </row>
    <row r="56" spans="2:28" ht="15.75" customHeight="1" x14ac:dyDescent="0.3">
      <c r="C56" s="19"/>
      <c r="D56" s="3"/>
      <c r="E56" s="17"/>
      <c r="F56" s="3"/>
      <c r="M56" s="3"/>
      <c r="N56" s="3"/>
      <c r="O56" s="3"/>
      <c r="P56" s="3"/>
      <c r="Q56" s="3"/>
      <c r="R56" s="3"/>
      <c r="S56" s="3"/>
      <c r="T56" s="3"/>
      <c r="U56" s="3"/>
      <c r="V56" s="3"/>
      <c r="W56" s="36"/>
      <c r="X56" s="30"/>
      <c r="Y56" s="30"/>
      <c r="Z56" s="59"/>
      <c r="AA56" s="30"/>
      <c r="AB56" s="30"/>
    </row>
    <row r="57" spans="2:28" ht="15.75" customHeight="1" x14ac:dyDescent="0.3">
      <c r="C57" s="19"/>
      <c r="D57" s="3"/>
      <c r="E57" s="17"/>
      <c r="F57" s="3"/>
      <c r="M57" s="3"/>
      <c r="N57" s="3"/>
      <c r="O57" s="3"/>
      <c r="P57" s="3"/>
      <c r="Q57" s="3"/>
      <c r="R57" s="3"/>
      <c r="S57" s="3"/>
      <c r="T57" s="3"/>
      <c r="U57" s="3"/>
      <c r="V57" s="3"/>
      <c r="W57" s="36"/>
      <c r="X57" s="30"/>
      <c r="Y57" s="30"/>
      <c r="Z57" s="59"/>
      <c r="AA57" s="30"/>
      <c r="AB57" s="30"/>
    </row>
    <row r="58" spans="2:28" ht="15.75" customHeight="1" x14ac:dyDescent="0.3">
      <c r="C58" s="19"/>
      <c r="D58" s="3"/>
      <c r="E58" s="17"/>
      <c r="F58" s="3"/>
      <c r="M58" s="3"/>
      <c r="N58" s="3"/>
      <c r="O58" s="3"/>
      <c r="P58" s="3"/>
      <c r="Q58" s="3"/>
      <c r="R58" s="3"/>
      <c r="S58" s="3"/>
      <c r="T58" s="3"/>
      <c r="U58" s="3"/>
      <c r="V58" s="3"/>
      <c r="W58" s="36"/>
      <c r="X58" s="30" t="s">
        <v>30</v>
      </c>
      <c r="Y58" s="30"/>
      <c r="Z58" s="60"/>
      <c r="AA58" s="30"/>
      <c r="AB58" s="30"/>
    </row>
    <row r="59" spans="2:28" ht="17.399999999999999" x14ac:dyDescent="0.3">
      <c r="C59" s="19"/>
      <c r="D59" s="3"/>
      <c r="E59" s="17"/>
      <c r="F59" s="3"/>
      <c r="M59" s="3"/>
      <c r="N59" s="3"/>
      <c r="O59" s="3"/>
      <c r="P59" s="3"/>
      <c r="Q59" s="3"/>
      <c r="R59" s="3"/>
      <c r="S59" s="3"/>
      <c r="T59" s="3"/>
      <c r="U59" s="3"/>
      <c r="V59" s="3"/>
      <c r="W59" s="36">
        <f>W60*E8</f>
        <v>64.599216500000068</v>
      </c>
      <c r="X59" s="37">
        <f>X39</f>
        <v>142</v>
      </c>
      <c r="Y59" s="30"/>
      <c r="Z59" s="30"/>
      <c r="AA59" s="30"/>
      <c r="AB59" s="30"/>
    </row>
    <row r="60" spans="2:28" ht="17.399999999999999" x14ac:dyDescent="0.3">
      <c r="C60" s="19"/>
      <c r="D60" s="3"/>
      <c r="E60" s="17"/>
      <c r="F60" s="3"/>
      <c r="M60" s="3"/>
      <c r="N60" s="42"/>
      <c r="O60" s="3"/>
      <c r="P60" s="3"/>
      <c r="Q60" s="3"/>
      <c r="R60" s="3"/>
      <c r="S60" s="3"/>
      <c r="T60" s="3">
        <f>MEDIAN(Table2234210234567891112[abs(lab)])</f>
        <v>0.98999974999999907</v>
      </c>
      <c r="U60" s="3"/>
      <c r="V60" s="3">
        <f>MEDIAN(Table2234210234567891112[abs(anl)])</f>
        <v>0.85699999999999932</v>
      </c>
      <c r="W60" s="2">
        <f>MEDIAN(Table2234210234567891112[Produits Lab x Anl])</f>
        <v>0.8074902062500009</v>
      </c>
      <c r="X60" s="37"/>
      <c r="Z60" s="60"/>
      <c r="AA60" s="30"/>
      <c r="AB60" s="30"/>
    </row>
    <row r="61" spans="2:28" ht="13.8" x14ac:dyDescent="0.25">
      <c r="D61" s="43" t="s">
        <v>1</v>
      </c>
      <c r="E61" s="1"/>
      <c r="F61" s="43" t="s">
        <v>2</v>
      </c>
      <c r="G61" s="4"/>
      <c r="M61" s="3"/>
      <c r="W61" s="22"/>
      <c r="Y61" s="22"/>
    </row>
    <row r="62" spans="2:28" s="22" customFormat="1" ht="42.75" customHeight="1" x14ac:dyDescent="0.25">
      <c r="B62" s="20" t="s">
        <v>0</v>
      </c>
      <c r="C62" t="s">
        <v>67</v>
      </c>
      <c r="D62" t="s">
        <v>65</v>
      </c>
      <c r="E62" t="s">
        <v>66</v>
      </c>
      <c r="F62" s="82" t="s">
        <v>228</v>
      </c>
      <c r="G62" s="20" t="s">
        <v>48</v>
      </c>
      <c r="H62" s="20" t="s">
        <v>3</v>
      </c>
      <c r="I62" s="20" t="s">
        <v>23</v>
      </c>
      <c r="J62" s="20" t="s">
        <v>4</v>
      </c>
      <c r="K62" s="20" t="s">
        <v>51</v>
      </c>
      <c r="L62" s="20" t="s">
        <v>52</v>
      </c>
      <c r="M62" s="21" t="s">
        <v>5</v>
      </c>
      <c r="N62" s="21" t="s">
        <v>32</v>
      </c>
      <c r="O62" s="21" t="s">
        <v>31</v>
      </c>
      <c r="P62" s="21" t="s">
        <v>33</v>
      </c>
      <c r="Q62" s="21" t="s">
        <v>50</v>
      </c>
      <c r="R62" s="21" t="s">
        <v>49</v>
      </c>
      <c r="S62" s="21" t="s">
        <v>58</v>
      </c>
      <c r="T62" s="21" t="s">
        <v>60</v>
      </c>
      <c r="U62" s="64" t="s">
        <v>59</v>
      </c>
      <c r="V62" s="64" t="s">
        <v>61</v>
      </c>
      <c r="W62" s="21" t="s">
        <v>62</v>
      </c>
      <c r="X62" s="22" t="str">
        <f>D62</f>
        <v>REF</v>
      </c>
      <c r="Z62" s="2"/>
      <c r="AA62" s="22" t="str">
        <f>F62</f>
        <v>mark w</v>
      </c>
      <c r="AB62" s="2"/>
    </row>
    <row r="63" spans="2:28" x14ac:dyDescent="0.25">
      <c r="B63" s="46">
        <f ca="1">VALUE((Table2234210234567891112[[#This Row],[Column3]]-62))</f>
        <v>1</v>
      </c>
      <c r="C63" t="s">
        <v>69</v>
      </c>
      <c r="D63">
        <v>9.9399996000000002</v>
      </c>
      <c r="E63"/>
      <c r="F63">
        <v>9.8580000000000005</v>
      </c>
      <c r="G63" s="29">
        <f>Table2234210234567891112[[#This Row],[mark w]]-Table2234210234567891112[[#This Row],[REF]]</f>
        <v>-8.1999599999999617E-2</v>
      </c>
      <c r="H63" s="29">
        <f>Table2234210234567891112[[#This Row],[X-Y]]-E$20</f>
        <v>-0.43878711999999176</v>
      </c>
      <c r="I63" s="29">
        <f>Table2234210234567891112[[#This Row],[mark w]]-E$20</f>
        <v>9.5012124800000084</v>
      </c>
      <c r="J63" s="29">
        <f>Table2234210234567891112[[#This Row],[mark w]]*E$21+E$22</f>
        <v>9.4607659183083648</v>
      </c>
      <c r="K63" s="56">
        <f>Table2234210234567891112[[#This Row],[Yest]]-Table2234210234567891112[[#This Row],[REF]]</f>
        <v>-0.47923368169163538</v>
      </c>
      <c r="L63" s="56">
        <f>ABS(Table2234210234567891112[[#This Row],[RESyx]])</f>
        <v>0.47923368169163538</v>
      </c>
      <c r="M63" s="29">
        <f>Table2234210234567891112[[#This Row],[mark w]]*E$25+E$26</f>
        <v>9.3970379830881097</v>
      </c>
      <c r="N63" s="29">
        <f>Table2234210234567891112[[#This Row],[X-Y]]^2</f>
        <v>6.7239344001599373E-3</v>
      </c>
      <c r="O63" s="57">
        <f>Table2234210234567891112[[#This Row],[yest_rect]]-Table2234210234567891112[[#This Row],[REF]]</f>
        <v>-0.54296161691189049</v>
      </c>
      <c r="P63" s="57">
        <f>Table2234210234567891112[[#This Row],[dif rec]]^2</f>
        <v>0.2948073174395745</v>
      </c>
      <c r="Q63" s="57">
        <f>ABS(Table2234210234567891112[[#This Row],[diff-bias]])</f>
        <v>0.43878711999999176</v>
      </c>
      <c r="R63" s="57">
        <f ca="1">CELL("row",Table2234210234567891112[[#This Row],[Position]])</f>
        <v>63</v>
      </c>
      <c r="S63" s="4">
        <f>Table2234210234567891112[[#This Row],[REF]]-D$13</f>
        <v>-1.0700006500000008</v>
      </c>
      <c r="T63" s="4">
        <f>ABS(Table2234210234567891112[[#This Row],[lab-med]])</f>
        <v>1.0700006500000008</v>
      </c>
      <c r="U63" s="4">
        <f>Table2234210234567891112[[#This Row],[mark w]]-F$13</f>
        <v>-1.4589999999999996</v>
      </c>
      <c r="V63" s="4">
        <f>ABS(Table2234210234567891112[[#This Row],[anl-med]])</f>
        <v>1.4589999999999996</v>
      </c>
      <c r="W63" s="4">
        <f>Table2234210234567891112[[#This Row],[lab-med]]*Table2234210234567891112[[#This Row],[anl-med]]</f>
        <v>1.5611309483500007</v>
      </c>
    </row>
    <row r="64" spans="2:28" x14ac:dyDescent="0.25">
      <c r="B64" s="46">
        <f ca="1">VALUE((Table2234210234567891112[[#This Row],[Column3]]-62))</f>
        <v>2</v>
      </c>
      <c r="C64" t="s">
        <v>70</v>
      </c>
      <c r="D64">
        <v>10.0200005</v>
      </c>
      <c r="E64"/>
      <c r="F64">
        <v>10.644</v>
      </c>
      <c r="G64" s="29">
        <f>Table2234210234567891112[[#This Row],[mark w]]-Table2234210234567891112[[#This Row],[REF]]</f>
        <v>0.62399950000000004</v>
      </c>
      <c r="H64" s="29">
        <f>Table2234210234567891112[[#This Row],[X-Y]]-E$20</f>
        <v>0.2672119800000079</v>
      </c>
      <c r="I64" s="29">
        <f>Table2234210234567891112[[#This Row],[mark w]]-E$20</f>
        <v>10.287212480000008</v>
      </c>
      <c r="J64" s="29">
        <f>Table2234210234567891112[[#This Row],[mark w]]*E$21+E$22</f>
        <v>10.266532904925889</v>
      </c>
      <c r="K64" s="56">
        <f>Table2234210234567891112[[#This Row],[Yest]]-Table2234210234567891112[[#This Row],[REF]]</f>
        <v>0.24653240492588857</v>
      </c>
      <c r="L64" s="56">
        <f>ABS(Table2234210234567891112[[#This Row],[RESyx]])</f>
        <v>0.24653240492588857</v>
      </c>
      <c r="M64" s="29">
        <f>Table2234210234567891112[[#This Row],[mark w]]*E$25+E$26</f>
        <v>10.233949996377245</v>
      </c>
      <c r="N64" s="29">
        <f>Table2234210234567891112[[#This Row],[X-Y]]^2</f>
        <v>0.38937537600025007</v>
      </c>
      <c r="O64" s="57">
        <f>Table2234210234567891112[[#This Row],[yest_rect]]-Table2234210234567891112[[#This Row],[REF]]</f>
        <v>0.21394949637724459</v>
      </c>
      <c r="P64" s="57">
        <f>Table2234210234567891112[[#This Row],[dif rec]]^2</f>
        <v>4.5774387000076591E-2</v>
      </c>
      <c r="Q64" s="57">
        <f>ABS(Table2234210234567891112[[#This Row],[diff-bias]])</f>
        <v>0.2672119800000079</v>
      </c>
      <c r="R64" s="57">
        <f ca="1">CELL("row",Table2234210234567891112[[#This Row],[Position]])</f>
        <v>64</v>
      </c>
      <c r="S64" s="4">
        <f>Table2234210234567891112[[#This Row],[REF]]-D$13</f>
        <v>-0.98999975000000084</v>
      </c>
      <c r="T64" s="4">
        <f>ABS(Table2234210234567891112[[#This Row],[lab-med]])</f>
        <v>0.98999975000000084</v>
      </c>
      <c r="U64" s="4">
        <f>Table2234210234567891112[[#This Row],[mark w]]-F$13</f>
        <v>-0.67300000000000004</v>
      </c>
      <c r="V64" s="4">
        <f>ABS(Table2234210234567891112[[#This Row],[anl-med]])</f>
        <v>0.67300000000000004</v>
      </c>
      <c r="W64" s="4">
        <f>Table2234210234567891112[[#This Row],[lab-med]]*Table2234210234567891112[[#This Row],[anl-med]]</f>
        <v>0.66626983175000065</v>
      </c>
    </row>
    <row r="65" spans="2:23" x14ac:dyDescent="0.25">
      <c r="B65" s="46">
        <f ca="1">VALUE((Table2234210234567891112[[#This Row],[Column3]]-62))</f>
        <v>3</v>
      </c>
      <c r="C65" t="s">
        <v>71</v>
      </c>
      <c r="D65">
        <v>10</v>
      </c>
      <c r="E65"/>
      <c r="F65">
        <v>10.348000000000001</v>
      </c>
      <c r="G65" s="29">
        <f>Table2234210234567891112[[#This Row],[mark w]]-Table2234210234567891112[[#This Row],[REF]]</f>
        <v>0.34800000000000075</v>
      </c>
      <c r="H65" s="29">
        <f>Table2234210234567891112[[#This Row],[X-Y]]-E$20</f>
        <v>-8.7875199999913889E-3</v>
      </c>
      <c r="I65" s="29">
        <f>Table2234210234567891112[[#This Row],[mark w]]-E$20</f>
        <v>9.9912124800000086</v>
      </c>
      <c r="J65" s="29">
        <f>Table2234210234567891112[[#This Row],[mark w]]*E$21+E$22</f>
        <v>9.9630888488968985</v>
      </c>
      <c r="K65" s="56">
        <f>Table2234210234567891112[[#This Row],[Yest]]-Table2234210234567891112[[#This Row],[REF]]</f>
        <v>-3.6911151103101503E-2</v>
      </c>
      <c r="L65" s="56">
        <f>ABS(Table2234210234567891112[[#This Row],[RESyx]])</f>
        <v>3.6911151103101503E-2</v>
      </c>
      <c r="M65" s="29">
        <f>Table2234210234567891112[[#This Row],[mark w]]*E$25+E$26</f>
        <v>9.9187770244515665</v>
      </c>
      <c r="N65" s="29">
        <f>Table2234210234567891112[[#This Row],[X-Y]]^2</f>
        <v>0.12110400000000053</v>
      </c>
      <c r="O65" s="57">
        <f>Table2234210234567891112[[#This Row],[yest_rect]]-Table2234210234567891112[[#This Row],[REF]]</f>
        <v>-8.1222975548433496E-2</v>
      </c>
      <c r="P65" s="57">
        <f>Table2234210234567891112[[#This Row],[dif rec]]^2</f>
        <v>6.597171756941426E-3</v>
      </c>
      <c r="Q65" s="57">
        <f>ABS(Table2234210234567891112[[#This Row],[diff-bias]])</f>
        <v>8.7875199999913889E-3</v>
      </c>
      <c r="R65" s="57">
        <f ca="1">CELL("row",Table2234210234567891112[[#This Row],[Position]])</f>
        <v>65</v>
      </c>
      <c r="S65" s="4">
        <f>Table2234210234567891112[[#This Row],[REF]]-D$13</f>
        <v>-1.0100002500000009</v>
      </c>
      <c r="T65" s="4">
        <f>ABS(Table2234210234567891112[[#This Row],[lab-med]])</f>
        <v>1.0100002500000009</v>
      </c>
      <c r="U65" s="4">
        <f>Table2234210234567891112[[#This Row],[mark w]]-F$13</f>
        <v>-0.96899999999999942</v>
      </c>
      <c r="V65" s="4">
        <f>ABS(Table2234210234567891112[[#This Row],[anl-med]])</f>
        <v>0.96899999999999942</v>
      </c>
      <c r="W65" s="4">
        <f>Table2234210234567891112[[#This Row],[lab-med]]*Table2234210234567891112[[#This Row],[anl-med]]</f>
        <v>0.97869024225000034</v>
      </c>
    </row>
    <row r="66" spans="2:23" x14ac:dyDescent="0.25">
      <c r="B66" s="46">
        <f ca="1">VALUE((Table2234210234567891112[[#This Row],[Column3]]-62))</f>
        <v>4</v>
      </c>
      <c r="C66" t="s">
        <v>72</v>
      </c>
      <c r="D66">
        <v>10.5</v>
      </c>
      <c r="E66"/>
      <c r="F66">
        <v>10.862</v>
      </c>
      <c r="G66" s="29">
        <f>Table2234210234567891112[[#This Row],[mark w]]-Table2234210234567891112[[#This Row],[REF]]</f>
        <v>0.3620000000000001</v>
      </c>
      <c r="H66" s="29">
        <f>Table2234210234567891112[[#This Row],[X-Y]]-E$20</f>
        <v>5.2124800000079574E-3</v>
      </c>
      <c r="I66" s="29">
        <f>Table2234210234567891112[[#This Row],[mark w]]-E$20</f>
        <v>10.505212480000008</v>
      </c>
      <c r="J66" s="29">
        <f>Table2234210234567891112[[#This Row],[mark w]]*E$21+E$22</f>
        <v>10.49001535159589</v>
      </c>
      <c r="K66" s="56">
        <f>Table2234210234567891112[[#This Row],[Yest]]-Table2234210234567891112[[#This Row],[REF]]</f>
        <v>-9.9846484041101746E-3</v>
      </c>
      <c r="L66" s="56">
        <f>ABS(Table2234210234567891112[[#This Row],[RESyx]])</f>
        <v>9.9846484041101746E-3</v>
      </c>
      <c r="M66" s="29">
        <f>Table2234210234567891112[[#This Row],[mark w]]*E$25+E$26</f>
        <v>10.466070631106295</v>
      </c>
      <c r="N66" s="29">
        <f>Table2234210234567891112[[#This Row],[X-Y]]^2</f>
        <v>0.13104400000000008</v>
      </c>
      <c r="O66" s="57">
        <f>Table2234210234567891112[[#This Row],[yest_rect]]-Table2234210234567891112[[#This Row],[REF]]</f>
        <v>-3.3929368893705458E-2</v>
      </c>
      <c r="P66" s="57">
        <f>Table2234210234567891112[[#This Row],[dif rec]]^2</f>
        <v>1.1512020735251476E-3</v>
      </c>
      <c r="Q66" s="57">
        <f>ABS(Table2234210234567891112[[#This Row],[diff-bias]])</f>
        <v>5.2124800000079574E-3</v>
      </c>
      <c r="R66" s="57">
        <f ca="1">CELL("row",Table2234210234567891112[[#This Row],[Position]])</f>
        <v>66</v>
      </c>
      <c r="S66" s="4">
        <f>Table2234210234567891112[[#This Row],[REF]]-D$13</f>
        <v>-0.51000025000000093</v>
      </c>
      <c r="T66" s="4">
        <f>ABS(Table2234210234567891112[[#This Row],[lab-med]])</f>
        <v>0.51000025000000093</v>
      </c>
      <c r="U66" s="4">
        <f>Table2234210234567891112[[#This Row],[mark w]]-F$13</f>
        <v>-0.45500000000000007</v>
      </c>
      <c r="V66" s="4">
        <f>ABS(Table2234210234567891112[[#This Row],[anl-med]])</f>
        <v>0.45500000000000007</v>
      </c>
      <c r="W66" s="4">
        <f>Table2234210234567891112[[#This Row],[lab-med]]*Table2234210234567891112[[#This Row],[anl-med]]</f>
        <v>0.23205011375000045</v>
      </c>
    </row>
    <row r="67" spans="2:23" x14ac:dyDescent="0.25">
      <c r="B67" s="46">
        <f ca="1">VALUE((Table2234210234567891112[[#This Row],[Column3]]-62))</f>
        <v>5</v>
      </c>
      <c r="C67" t="s">
        <v>73</v>
      </c>
      <c r="D67">
        <v>10.779999699999999</v>
      </c>
      <c r="E67"/>
      <c r="F67">
        <v>11.31</v>
      </c>
      <c r="G67" s="29">
        <f>Table2234210234567891112[[#This Row],[mark w]]-Table2234210234567891112[[#This Row],[REF]]</f>
        <v>0.53000030000000109</v>
      </c>
      <c r="H67" s="29">
        <f>Table2234210234567891112[[#This Row],[X-Y]]-E$20</f>
        <v>0.17321278000000895</v>
      </c>
      <c r="I67" s="29">
        <f>Table2234210234567891112[[#This Row],[mark w]]-E$20</f>
        <v>10.953212480000008</v>
      </c>
      <c r="J67" s="29">
        <f>Table2234210234567891112[[#This Row],[mark w]]*E$21+E$22</f>
        <v>10.949282030991119</v>
      </c>
      <c r="K67" s="56">
        <f>Table2234210234567891112[[#This Row],[Yest]]-Table2234210234567891112[[#This Row],[REF]]</f>
        <v>0.16928233099111978</v>
      </c>
      <c r="L67" s="56">
        <f>ABS(Table2234210234567891112[[#This Row],[RESyx]])</f>
        <v>0.16928233099111978</v>
      </c>
      <c r="M67" s="29">
        <f>Table2234210234567891112[[#This Row],[mark w]]*E$25+E$26</f>
        <v>10.943089183210025</v>
      </c>
      <c r="N67" s="29">
        <f>Table2234210234567891112[[#This Row],[X-Y]]^2</f>
        <v>0.28090031800009113</v>
      </c>
      <c r="O67" s="57">
        <f>Table2234210234567891112[[#This Row],[yest_rect]]-Table2234210234567891112[[#This Row],[REF]]</f>
        <v>0.16308948321002603</v>
      </c>
      <c r="P67" s="57">
        <f>Table2234210234567891112[[#This Row],[dif rec]]^2</f>
        <v>2.6598179533713361E-2</v>
      </c>
      <c r="Q67" s="57">
        <f>ABS(Table2234210234567891112[[#This Row],[diff-bias]])</f>
        <v>0.17321278000000895</v>
      </c>
      <c r="R67" s="57">
        <f ca="1">CELL("row",Table2234210234567891112[[#This Row],[Position]])</f>
        <v>67</v>
      </c>
      <c r="S67" s="4">
        <f>Table2234210234567891112[[#This Row],[REF]]-D$13</f>
        <v>-0.23000055000000152</v>
      </c>
      <c r="T67" s="4">
        <f>ABS(Table2234210234567891112[[#This Row],[lab-med]])</f>
        <v>0.23000055000000152</v>
      </c>
      <c r="U67" s="4">
        <f>Table2234210234567891112[[#This Row],[mark w]]-F$13</f>
        <v>-6.9999999999996732E-3</v>
      </c>
      <c r="V67" s="4">
        <f>ABS(Table2234210234567891112[[#This Row],[anl-med]])</f>
        <v>6.9999999999996732E-3</v>
      </c>
      <c r="W67" s="4">
        <f>Table2234210234567891112[[#This Row],[lab-med]]*Table2234210234567891112[[#This Row],[anl-med]]</f>
        <v>1.6100038499999355E-3</v>
      </c>
    </row>
    <row r="68" spans="2:23" x14ac:dyDescent="0.25">
      <c r="B68" s="46">
        <f ca="1">VALUE((Table2234210234567891112[[#This Row],[Column3]]-62))</f>
        <v>6</v>
      </c>
      <c r="C68" t="s">
        <v>74</v>
      </c>
      <c r="D68">
        <v>10.449999800000001</v>
      </c>
      <c r="E68"/>
      <c r="F68">
        <v>10.817</v>
      </c>
      <c r="G68" s="29">
        <f>Table2234210234567891112[[#This Row],[mark w]]-Table2234210234567891112[[#This Row],[REF]]</f>
        <v>0.36700019999999967</v>
      </c>
      <c r="H68" s="29">
        <f>Table2234210234567891112[[#This Row],[X-Y]]-E$20</f>
        <v>1.0212680000007524E-2</v>
      </c>
      <c r="I68" s="29">
        <f>Table2234210234567891112[[#This Row],[mark w]]-E$20</f>
        <v>10.460212480000008</v>
      </c>
      <c r="J68" s="29">
        <f>Table2234210234567891112[[#This Row],[mark w]]*E$21+E$22</f>
        <v>10.443883653888779</v>
      </c>
      <c r="K68" s="56">
        <f>Table2234210234567891112[[#This Row],[Yest]]-Table2234210234567891112[[#This Row],[REF]]</f>
        <v>-6.1161461112213544E-3</v>
      </c>
      <c r="L68" s="56">
        <f>ABS(Table2234210234567891112[[#This Row],[RESyx]])</f>
        <v>6.1161461112213544E-3</v>
      </c>
      <c r="M68" s="29">
        <f>Table2234210234567891112[[#This Row],[mark w]]*E$25+E$26</f>
        <v>10.418155821185159</v>
      </c>
      <c r="N68" s="29">
        <f>Table2234210234567891112[[#This Row],[X-Y]]^2</f>
        <v>0.13468914680003977</v>
      </c>
      <c r="O68" s="57">
        <f>Table2234210234567891112[[#This Row],[yest_rect]]-Table2234210234567891112[[#This Row],[REF]]</f>
        <v>-3.1843978814841023E-2</v>
      </c>
      <c r="P68" s="57">
        <f>Table2234210234567891112[[#This Row],[dif rec]]^2</f>
        <v>1.0140389867600438E-3</v>
      </c>
      <c r="Q68" s="57">
        <f>ABS(Table2234210234567891112[[#This Row],[diff-bias]])</f>
        <v>1.0212680000007524E-2</v>
      </c>
      <c r="R68" s="57">
        <f ca="1">CELL("row",Table2234210234567891112[[#This Row],[Position]])</f>
        <v>68</v>
      </c>
      <c r="S68" s="4">
        <f>Table2234210234567891112[[#This Row],[REF]]-D$13</f>
        <v>-0.56000045000000043</v>
      </c>
      <c r="T68" s="4">
        <f>ABS(Table2234210234567891112[[#This Row],[lab-med]])</f>
        <v>0.56000045000000043</v>
      </c>
      <c r="U68" s="4">
        <f>Table2234210234567891112[[#This Row],[mark w]]-F$13</f>
        <v>-0.5</v>
      </c>
      <c r="V68" s="4">
        <f>ABS(Table2234210234567891112[[#This Row],[anl-med]])</f>
        <v>0.5</v>
      </c>
      <c r="W68" s="4">
        <f>Table2234210234567891112[[#This Row],[lab-med]]*Table2234210234567891112[[#This Row],[anl-med]]</f>
        <v>0.28000022500000021</v>
      </c>
    </row>
    <row r="69" spans="2:23" x14ac:dyDescent="0.25">
      <c r="B69" s="46">
        <f ca="1">VALUE((Table2234210234567891112[[#This Row],[Column3]]-62))</f>
        <v>7</v>
      </c>
      <c r="C69" t="s">
        <v>75</v>
      </c>
      <c r="D69">
        <v>11.0200005</v>
      </c>
      <c r="E69"/>
      <c r="F69">
        <v>11.191000000000001</v>
      </c>
      <c r="G69" s="29">
        <f>Table2234210234567891112[[#This Row],[mark w]]-Table2234210234567891112[[#This Row],[REF]]</f>
        <v>0.17099950000000064</v>
      </c>
      <c r="H69" s="29">
        <f>Table2234210234567891112[[#This Row],[X-Y]]-E$20</f>
        <v>-0.1857880199999915</v>
      </c>
      <c r="I69" s="29">
        <f>Table2234210234567891112[[#This Row],[mark w]]-E$20</f>
        <v>10.834212480000009</v>
      </c>
      <c r="J69" s="29">
        <f>Table2234210234567891112[[#This Row],[mark w]]*E$21+E$22</f>
        <v>10.827289319276762</v>
      </c>
      <c r="K69" s="56">
        <f>Table2234210234567891112[[#This Row],[Yest]]-Table2234210234567891112[[#This Row],[REF]]</f>
        <v>-0.19271118072323823</v>
      </c>
      <c r="L69" s="56">
        <f>ABS(Table2234210234567891112[[#This Row],[RESyx]])</f>
        <v>0.19271118072323823</v>
      </c>
      <c r="M69" s="29">
        <f>Table2234210234567891112[[#This Row],[mark w]]*E$25+E$26</f>
        <v>10.816381130307473</v>
      </c>
      <c r="N69" s="29">
        <f>Table2234210234567891112[[#This Row],[X-Y]]^2</f>
        <v>2.9240829000250219E-2</v>
      </c>
      <c r="O69" s="57">
        <f>Table2234210234567891112[[#This Row],[yest_rect]]-Table2234210234567891112[[#This Row],[REF]]</f>
        <v>-0.20361936969252703</v>
      </c>
      <c r="P69" s="57">
        <f>Table2234210234567891112[[#This Row],[dif rec]]^2</f>
        <v>4.1460847713981994E-2</v>
      </c>
      <c r="Q69" s="57">
        <f>ABS(Table2234210234567891112[[#This Row],[diff-bias]])</f>
        <v>0.1857880199999915</v>
      </c>
      <c r="R69" s="57">
        <f ca="1">CELL("row",Table2234210234567891112[[#This Row],[Position]])</f>
        <v>69</v>
      </c>
      <c r="S69" s="4">
        <f>Table2234210234567891112[[#This Row],[REF]]-D$13</f>
        <v>1.0000249999999156E-2</v>
      </c>
      <c r="T69" s="4">
        <f>ABS(Table2234210234567891112[[#This Row],[lab-med]])</f>
        <v>1.0000249999999156E-2</v>
      </c>
      <c r="U69" s="4">
        <f>Table2234210234567891112[[#This Row],[mark w]]-F$13</f>
        <v>-0.12599999999999945</v>
      </c>
      <c r="V69" s="4">
        <f>ABS(Table2234210234567891112[[#This Row],[anl-med]])</f>
        <v>0.12599999999999945</v>
      </c>
      <c r="W69" s="4">
        <f>Table2234210234567891112[[#This Row],[lab-med]]*Table2234210234567891112[[#This Row],[anl-med]]</f>
        <v>-1.2600314999998881E-3</v>
      </c>
    </row>
    <row r="70" spans="2:23" x14ac:dyDescent="0.25">
      <c r="B70" s="46">
        <f ca="1">VALUE((Table2234210234567891112[[#This Row],[Column3]]-62))</f>
        <v>8</v>
      </c>
      <c r="C70" t="s">
        <v>76</v>
      </c>
      <c r="D70">
        <v>10.800000199999999</v>
      </c>
      <c r="E70"/>
      <c r="F70">
        <v>11.204000000000001</v>
      </c>
      <c r="G70" s="29">
        <f>Table2234210234567891112[[#This Row],[mark w]]-Table2234210234567891112[[#This Row],[REF]]</f>
        <v>0.40399980000000113</v>
      </c>
      <c r="H70" s="29">
        <f>Table2234210234567891112[[#This Row],[X-Y]]-E$20</f>
        <v>4.7212280000008988E-2</v>
      </c>
      <c r="I70" s="29">
        <f>Table2234210234567891112[[#This Row],[mark w]]-E$20</f>
        <v>10.847212480000008</v>
      </c>
      <c r="J70" s="29">
        <f>Table2234210234567891112[[#This Row],[mark w]]*E$21+E$22</f>
        <v>10.840616254169927</v>
      </c>
      <c r="K70" s="56">
        <f>Table2234210234567891112[[#This Row],[Yest]]-Table2234210234567891112[[#This Row],[REF]]</f>
        <v>4.0616054169927196E-2</v>
      </c>
      <c r="L70" s="56">
        <f>ABS(Table2234210234567891112[[#This Row],[RESyx]])</f>
        <v>4.0616054169927196E-2</v>
      </c>
      <c r="M70" s="29">
        <f>Table2234210234567891112[[#This Row],[mark w]]*E$25+E$26</f>
        <v>10.830223186506911</v>
      </c>
      <c r="N70" s="29">
        <f>Table2234210234567891112[[#This Row],[X-Y]]^2</f>
        <v>0.16321583840004092</v>
      </c>
      <c r="O70" s="57">
        <f>Table2234210234567891112[[#This Row],[yest_rect]]-Table2234210234567891112[[#This Row],[REF]]</f>
        <v>3.0222986506911909E-2</v>
      </c>
      <c r="P70" s="57">
        <f>Table2234210234567891112[[#This Row],[dif rec]]^2</f>
        <v>9.1342891339697924E-4</v>
      </c>
      <c r="Q70" s="57">
        <f>ABS(Table2234210234567891112[[#This Row],[diff-bias]])</f>
        <v>4.7212280000008988E-2</v>
      </c>
      <c r="R70" s="57">
        <f ca="1">CELL("row",Table2234210234567891112[[#This Row],[Position]])</f>
        <v>70</v>
      </c>
      <c r="S70" s="4">
        <f>Table2234210234567891112[[#This Row],[REF]]-D$13</f>
        <v>-0.21000005000000144</v>
      </c>
      <c r="T70" s="4">
        <f>ABS(Table2234210234567891112[[#This Row],[lab-med]])</f>
        <v>0.21000005000000144</v>
      </c>
      <c r="U70" s="4">
        <f>Table2234210234567891112[[#This Row],[mark w]]-F$13</f>
        <v>-0.11299999999999955</v>
      </c>
      <c r="V70" s="4">
        <f>ABS(Table2234210234567891112[[#This Row],[anl-med]])</f>
        <v>0.11299999999999955</v>
      </c>
      <c r="W70" s="4">
        <f>Table2234210234567891112[[#This Row],[lab-med]]*Table2234210234567891112[[#This Row],[anl-med]]</f>
        <v>2.3730005650000066E-2</v>
      </c>
    </row>
    <row r="71" spans="2:23" x14ac:dyDescent="0.25">
      <c r="B71" s="46">
        <f ca="1">VALUE((Table2234210234567891112[[#This Row],[Column3]]-62))</f>
        <v>9</v>
      </c>
      <c r="C71" t="s">
        <v>77</v>
      </c>
      <c r="D71">
        <v>10.8800001</v>
      </c>
      <c r="E71"/>
      <c r="F71">
        <v>11.263999999999999</v>
      </c>
      <c r="G71" s="29">
        <f>Table2234210234567891112[[#This Row],[mark w]]-Table2234210234567891112[[#This Row],[REF]]</f>
        <v>0.38399989999999917</v>
      </c>
      <c r="H71" s="29">
        <f>Table2234210234567891112[[#This Row],[X-Y]]-E$20</f>
        <v>2.721238000000703E-2</v>
      </c>
      <c r="I71" s="29">
        <f>Table2234210234567891112[[#This Row],[mark w]]-E$20</f>
        <v>10.907212480000007</v>
      </c>
      <c r="J71" s="29">
        <f>Table2234210234567891112[[#This Row],[mark w]]*E$21+E$22</f>
        <v>10.902125184446072</v>
      </c>
      <c r="K71" s="56">
        <f>Table2234210234567891112[[#This Row],[Yest]]-Table2234210234567891112[[#This Row],[REF]]</f>
        <v>2.2125084446072307E-2</v>
      </c>
      <c r="L71" s="56">
        <f>ABS(Table2234210234567891112[[#This Row],[RESyx]])</f>
        <v>2.2125084446072307E-2</v>
      </c>
      <c r="M71" s="29">
        <f>Table2234210234567891112[[#This Row],[mark w]]*E$25+E$26</f>
        <v>10.894109599735089</v>
      </c>
      <c r="N71" s="29">
        <f>Table2234210234567891112[[#This Row],[X-Y]]^2</f>
        <v>0.14745592320000936</v>
      </c>
      <c r="O71" s="57">
        <f>Table2234210234567891112[[#This Row],[yest_rect]]-Table2234210234567891112[[#This Row],[REF]]</f>
        <v>1.4109499735088349E-2</v>
      </c>
      <c r="P71" s="57">
        <f>Table2234210234567891112[[#This Row],[dif rec]]^2</f>
        <v>1.990779827744582E-4</v>
      </c>
      <c r="Q71" s="57">
        <f>ABS(Table2234210234567891112[[#This Row],[diff-bias]])</f>
        <v>2.721238000000703E-2</v>
      </c>
      <c r="R71" s="57">
        <f ca="1">CELL("row",Table2234210234567891112[[#This Row],[Position]])</f>
        <v>71</v>
      </c>
      <c r="S71" s="4">
        <f>Table2234210234567891112[[#This Row],[REF]]-D$13</f>
        <v>-0.13000015000000076</v>
      </c>
      <c r="T71" s="4">
        <f>ABS(Table2234210234567891112[[#This Row],[lab-med]])</f>
        <v>0.13000015000000076</v>
      </c>
      <c r="U71" s="4">
        <f>Table2234210234567891112[[#This Row],[mark w]]-F$13</f>
        <v>-5.3000000000000824E-2</v>
      </c>
      <c r="V71" s="4">
        <f>ABS(Table2234210234567891112[[#This Row],[anl-med]])</f>
        <v>5.3000000000000824E-2</v>
      </c>
      <c r="W71" s="4">
        <f>Table2234210234567891112[[#This Row],[lab-med]]*Table2234210234567891112[[#This Row],[anl-med]]</f>
        <v>6.8900079500001472E-3</v>
      </c>
    </row>
    <row r="72" spans="2:23" x14ac:dyDescent="0.25">
      <c r="B72" s="46">
        <f ca="1">VALUE((Table2234210234567891112[[#This Row],[Column3]]-62))</f>
        <v>10</v>
      </c>
      <c r="C72" t="s">
        <v>78</v>
      </c>
      <c r="D72">
        <v>11.0600004</v>
      </c>
      <c r="E72"/>
      <c r="F72">
        <v>11.099</v>
      </c>
      <c r="G72" s="29">
        <f>Table2234210234567891112[[#This Row],[mark w]]-Table2234210234567891112[[#This Row],[REF]]</f>
        <v>3.8999600000000356E-2</v>
      </c>
      <c r="H72" s="29">
        <f>Table2234210234567891112[[#This Row],[X-Y]]-E$20</f>
        <v>-0.31778791999999179</v>
      </c>
      <c r="I72" s="29">
        <f>Table2234210234567891112[[#This Row],[mark w]]-E$20</f>
        <v>10.742212480000008</v>
      </c>
      <c r="J72" s="29">
        <f>Table2234210234567891112[[#This Row],[mark w]]*E$21+E$22</f>
        <v>10.73297562618667</v>
      </c>
      <c r="K72" s="56">
        <f>Table2234210234567891112[[#This Row],[Yest]]-Table2234210234567891112[[#This Row],[REF]]</f>
        <v>-0.32702477381332962</v>
      </c>
      <c r="L72" s="56">
        <f>ABS(Table2234210234567891112[[#This Row],[RESyx]])</f>
        <v>0.32702477381332962</v>
      </c>
      <c r="M72" s="29">
        <f>Table2234210234567891112[[#This Row],[mark w]]*E$25+E$26</f>
        <v>10.718421963357599</v>
      </c>
      <c r="N72" s="29">
        <f>Table2234210234567891112[[#This Row],[X-Y]]^2</f>
        <v>1.5209688001600278E-3</v>
      </c>
      <c r="O72" s="57">
        <f>Table2234210234567891112[[#This Row],[yest_rect]]-Table2234210234567891112[[#This Row],[REF]]</f>
        <v>-0.34157843664240062</v>
      </c>
      <c r="P72" s="57">
        <f>Table2234210234567891112[[#This Row],[dif rec]]^2</f>
        <v>0.1166758283790665</v>
      </c>
      <c r="Q72" s="57">
        <f>ABS(Table2234210234567891112[[#This Row],[diff-bias]])</f>
        <v>0.31778791999999179</v>
      </c>
      <c r="R72" s="57">
        <f ca="1">CELL("row",Table2234210234567891112[[#This Row],[Position]])</f>
        <v>72</v>
      </c>
      <c r="S72" s="4">
        <f>Table2234210234567891112[[#This Row],[REF]]-D$13</f>
        <v>5.0000149999998911E-2</v>
      </c>
      <c r="T72" s="4">
        <f>ABS(Table2234210234567891112[[#This Row],[lab-med]])</f>
        <v>5.0000149999998911E-2</v>
      </c>
      <c r="U72" s="4">
        <f>Table2234210234567891112[[#This Row],[mark w]]-F$13</f>
        <v>-0.21799999999999997</v>
      </c>
      <c r="V72" s="4">
        <f>ABS(Table2234210234567891112[[#This Row],[anl-med]])</f>
        <v>0.21799999999999997</v>
      </c>
      <c r="W72" s="4">
        <f>Table2234210234567891112[[#This Row],[lab-med]]*Table2234210234567891112[[#This Row],[anl-med]]</f>
        <v>-1.0900032699999762E-2</v>
      </c>
    </row>
    <row r="73" spans="2:23" x14ac:dyDescent="0.25">
      <c r="B73" s="46">
        <f ca="1">VALUE((Table2234210234567891112[[#This Row],[Column3]]-62))</f>
        <v>11</v>
      </c>
      <c r="C73" t="s">
        <v>79</v>
      </c>
      <c r="D73">
        <v>11.0900002</v>
      </c>
      <c r="E73"/>
      <c r="F73">
        <v>11.324</v>
      </c>
      <c r="G73" s="29">
        <f>Table2234210234567891112[[#This Row],[mark w]]-Table2234210234567891112[[#This Row],[REF]]</f>
        <v>0.23399979999999942</v>
      </c>
      <c r="H73" s="29">
        <f>Table2234210234567891112[[#This Row],[X-Y]]-E$20</f>
        <v>-0.12278771999999272</v>
      </c>
      <c r="I73" s="29">
        <f>Table2234210234567891112[[#This Row],[mark w]]-E$20</f>
        <v>10.967212480000008</v>
      </c>
      <c r="J73" s="29">
        <f>Table2234210234567891112[[#This Row],[mark w]]*E$21+E$22</f>
        <v>10.96363411472222</v>
      </c>
      <c r="K73" s="56">
        <f>Table2234210234567891112[[#This Row],[Yest]]-Table2234210234567891112[[#This Row],[REF]]</f>
        <v>-0.12636608527778037</v>
      </c>
      <c r="L73" s="56">
        <f>ABS(Table2234210234567891112[[#This Row],[RESyx]])</f>
        <v>0.12636608527778037</v>
      </c>
      <c r="M73" s="29">
        <f>Table2234210234567891112[[#This Row],[mark w]]*E$25+E$26</f>
        <v>10.957996012963267</v>
      </c>
      <c r="N73" s="29">
        <f>Table2234210234567891112[[#This Row],[X-Y]]^2</f>
        <v>5.4755906400039731E-2</v>
      </c>
      <c r="O73" s="57">
        <f>Table2234210234567891112[[#This Row],[yest_rect]]-Table2234210234567891112[[#This Row],[REF]]</f>
        <v>-0.132004187036733</v>
      </c>
      <c r="P73" s="57">
        <f>Table2234210234567891112[[#This Row],[dif rec]]^2</f>
        <v>1.742510539522879E-2</v>
      </c>
      <c r="Q73" s="57">
        <f>ABS(Table2234210234567891112[[#This Row],[diff-bias]])</f>
        <v>0.12278771999999272</v>
      </c>
      <c r="R73" s="57">
        <f ca="1">CELL("row",Table2234210234567891112[[#This Row],[Position]])</f>
        <v>73</v>
      </c>
      <c r="S73" s="4">
        <f>Table2234210234567891112[[#This Row],[REF]]-D$13</f>
        <v>7.9999949999999487E-2</v>
      </c>
      <c r="T73" s="4">
        <f>ABS(Table2234210234567891112[[#This Row],[lab-med]])</f>
        <v>7.9999949999999487E-2</v>
      </c>
      <c r="U73" s="4">
        <f>Table2234210234567891112[[#This Row],[mark w]]-F$13</f>
        <v>6.9999999999996732E-3</v>
      </c>
      <c r="V73" s="4">
        <f>ABS(Table2234210234567891112[[#This Row],[anl-med]])</f>
        <v>6.9999999999996732E-3</v>
      </c>
      <c r="W73" s="4">
        <f>Table2234210234567891112[[#This Row],[lab-med]]*Table2234210234567891112[[#This Row],[anl-med]]</f>
        <v>5.5999964999997023E-4</v>
      </c>
    </row>
    <row r="74" spans="2:23" x14ac:dyDescent="0.25">
      <c r="B74" s="46">
        <f ca="1">VALUE((Table2234210234567891112[[#This Row],[Column3]]-62))</f>
        <v>12</v>
      </c>
      <c r="C74" t="s">
        <v>80</v>
      </c>
      <c r="D74">
        <v>11.6199999</v>
      </c>
      <c r="E74"/>
      <c r="F74">
        <v>11.506</v>
      </c>
      <c r="G74" s="29">
        <f>Table2234210234567891112[[#This Row],[mark w]]-Table2234210234567891112[[#This Row],[REF]]</f>
        <v>-0.1139998999999996</v>
      </c>
      <c r="H74" s="29">
        <f>Table2234210234567891112[[#This Row],[X-Y]]-E$20</f>
        <v>-0.47078741999999174</v>
      </c>
      <c r="I74" s="29">
        <f>Table2234210234567891112[[#This Row],[mark w]]-E$20</f>
        <v>11.149212480000008</v>
      </c>
      <c r="J74" s="29">
        <f>Table2234210234567891112[[#This Row],[mark w]]*E$21+E$22</f>
        <v>11.150211203226533</v>
      </c>
      <c r="K74" s="56">
        <f>Table2234210234567891112[[#This Row],[Yest]]-Table2234210234567891112[[#This Row],[REF]]</f>
        <v>-0.4697886967734668</v>
      </c>
      <c r="L74" s="56">
        <f>ABS(Table2234210234567891112[[#This Row],[RESyx]])</f>
        <v>0.4697886967734668</v>
      </c>
      <c r="M74" s="29">
        <f>Table2234210234567891112[[#This Row],[mark w]]*E$25+E$26</f>
        <v>11.15178479975541</v>
      </c>
      <c r="N74" s="29">
        <f>Table2234210234567891112[[#This Row],[X-Y]]^2</f>
        <v>1.2995977200009909E-2</v>
      </c>
      <c r="O74" s="57">
        <f>Table2234210234567891112[[#This Row],[yest_rect]]-Table2234210234567891112[[#This Row],[REF]]</f>
        <v>-0.46821510024459023</v>
      </c>
      <c r="P74" s="57">
        <f>Table2234210234567891112[[#This Row],[dif rec]]^2</f>
        <v>0.21922538009705167</v>
      </c>
      <c r="Q74" s="57">
        <f>ABS(Table2234210234567891112[[#This Row],[diff-bias]])</f>
        <v>0.47078741999999174</v>
      </c>
      <c r="R74" s="57">
        <f ca="1">CELL("row",Table2234210234567891112[[#This Row],[Position]])</f>
        <v>74</v>
      </c>
      <c r="S74" s="4">
        <f>Table2234210234567891112[[#This Row],[REF]]-D$13</f>
        <v>0.60999964999999889</v>
      </c>
      <c r="T74" s="4">
        <f>ABS(Table2234210234567891112[[#This Row],[lab-med]])</f>
        <v>0.60999964999999889</v>
      </c>
      <c r="U74" s="4">
        <f>Table2234210234567891112[[#This Row],[mark w]]-F$13</f>
        <v>0.18900000000000006</v>
      </c>
      <c r="V74" s="4">
        <f>ABS(Table2234210234567891112[[#This Row],[anl-med]])</f>
        <v>0.18900000000000006</v>
      </c>
      <c r="W74" s="4">
        <f>Table2234210234567891112[[#This Row],[lab-med]]*Table2234210234567891112[[#This Row],[anl-med]]</f>
        <v>0.11528993384999983</v>
      </c>
    </row>
    <row r="75" spans="2:23" x14ac:dyDescent="0.25">
      <c r="B75" s="46">
        <f ca="1">VALUE((Table2234210234567891112[[#This Row],[Column3]]-62))</f>
        <v>13</v>
      </c>
      <c r="C75" t="s">
        <v>81</v>
      </c>
      <c r="D75">
        <v>9.9600000000000009</v>
      </c>
      <c r="E75"/>
      <c r="F75">
        <v>10.398999999999999</v>
      </c>
      <c r="G75" s="29">
        <f>Table2234210234567891112[[#This Row],[mark w]]-Table2234210234567891112[[#This Row],[REF]]</f>
        <v>0.43899999999999828</v>
      </c>
      <c r="H75" s="29">
        <f>Table2234210234567891112[[#This Row],[X-Y]]-E$20</f>
        <v>8.2212480000006138E-2</v>
      </c>
      <c r="I75" s="29">
        <f>Table2234210234567891112[[#This Row],[mark w]]-E$20</f>
        <v>10.042212480000007</v>
      </c>
      <c r="J75" s="29">
        <f>Table2234210234567891112[[#This Row],[mark w]]*E$21+E$22</f>
        <v>10.015371439631622</v>
      </c>
      <c r="K75" s="56">
        <f>Table2234210234567891112[[#This Row],[Yest]]-Table2234210234567891112[[#This Row],[REF]]</f>
        <v>5.5371439631620945E-2</v>
      </c>
      <c r="L75" s="56">
        <f>ABS(Table2234210234567891112[[#This Row],[RESyx]])</f>
        <v>5.5371439631620945E-2</v>
      </c>
      <c r="M75" s="29">
        <f>Table2234210234567891112[[#This Row],[mark w]]*E$25+E$26</f>
        <v>9.9730804756955163</v>
      </c>
      <c r="N75" s="29">
        <f>Table2234210234567891112[[#This Row],[X-Y]]^2</f>
        <v>0.19272099999999848</v>
      </c>
      <c r="O75" s="57">
        <f>Table2234210234567891112[[#This Row],[yest_rect]]-Table2234210234567891112[[#This Row],[REF]]</f>
        <v>1.3080475695515403E-2</v>
      </c>
      <c r="P75" s="57">
        <f>Table2234210234567891112[[#This Row],[dif rec]]^2</f>
        <v>1.7109884442096916E-4</v>
      </c>
      <c r="Q75" s="57">
        <f>ABS(Table2234210234567891112[[#This Row],[diff-bias]])</f>
        <v>8.2212480000006138E-2</v>
      </c>
      <c r="R75" s="57">
        <f ca="1">CELL("row",Table2234210234567891112[[#This Row],[Position]])</f>
        <v>75</v>
      </c>
      <c r="S75" s="4">
        <f>Table2234210234567891112[[#This Row],[REF]]-D$13</f>
        <v>-1.0500002500000001</v>
      </c>
      <c r="T75" s="4">
        <f>ABS(Table2234210234567891112[[#This Row],[lab-med]])</f>
        <v>1.0500002500000001</v>
      </c>
      <c r="U75" s="4">
        <f>Table2234210234567891112[[#This Row],[mark w]]-F$13</f>
        <v>-0.91800000000000104</v>
      </c>
      <c r="V75" s="4">
        <f>ABS(Table2234210234567891112[[#This Row],[anl-med]])</f>
        <v>0.91800000000000104</v>
      </c>
      <c r="W75" s="4">
        <f>Table2234210234567891112[[#This Row],[lab-med]]*Table2234210234567891112[[#This Row],[anl-med]]</f>
        <v>0.9639002295000012</v>
      </c>
    </row>
    <row r="76" spans="2:23" x14ac:dyDescent="0.25">
      <c r="B76" s="46">
        <f ca="1">VALUE((Table2234210234567891112[[#This Row],[Column3]]-62))</f>
        <v>14</v>
      </c>
      <c r="C76" t="s">
        <v>82</v>
      </c>
      <c r="D76">
        <v>9.5</v>
      </c>
      <c r="E76"/>
      <c r="F76">
        <v>10.36</v>
      </c>
      <c r="G76" s="29">
        <f>Table2234210234567891112[[#This Row],[mark w]]-Table2234210234567891112[[#This Row],[REF]]</f>
        <v>0.85999999999999943</v>
      </c>
      <c r="H76" s="29">
        <f>Table2234210234567891112[[#This Row],[X-Y]]-E$20</f>
        <v>0.50321248000000729</v>
      </c>
      <c r="I76" s="29">
        <f>Table2234210234567891112[[#This Row],[mark w]]-E$20</f>
        <v>10.003212480000007</v>
      </c>
      <c r="J76" s="29">
        <f>Table2234210234567891112[[#This Row],[mark w]]*E$21+E$22</f>
        <v>9.9753906349521273</v>
      </c>
      <c r="K76" s="56">
        <f>Table2234210234567891112[[#This Row],[Yest]]-Table2234210234567891112[[#This Row],[REF]]</f>
        <v>0.4753906349521273</v>
      </c>
      <c r="L76" s="56">
        <f>ABS(Table2234210234567891112[[#This Row],[RESyx]])</f>
        <v>0.4753906349521273</v>
      </c>
      <c r="M76" s="29">
        <f>Table2234210234567891112[[#This Row],[mark w]]*E$25+E$26</f>
        <v>9.9315543070972012</v>
      </c>
      <c r="N76" s="29">
        <f>Table2234210234567891112[[#This Row],[X-Y]]^2</f>
        <v>0.73959999999999904</v>
      </c>
      <c r="O76" s="57">
        <f>Table2234210234567891112[[#This Row],[yest_rect]]-Table2234210234567891112[[#This Row],[REF]]</f>
        <v>0.43155430709720122</v>
      </c>
      <c r="P76" s="57">
        <f>Table2234210234567891112[[#This Row],[dif rec]]^2</f>
        <v>0.18623911997414547</v>
      </c>
      <c r="Q76" s="57">
        <f>ABS(Table2234210234567891112[[#This Row],[diff-bias]])</f>
        <v>0.50321248000000729</v>
      </c>
      <c r="R76" s="57">
        <f ca="1">CELL("row",Table2234210234567891112[[#This Row],[Position]])</f>
        <v>76</v>
      </c>
      <c r="S76" s="4">
        <f>Table2234210234567891112[[#This Row],[REF]]-D$13</f>
        <v>-1.5100002500000009</v>
      </c>
      <c r="T76" s="4">
        <f>ABS(Table2234210234567891112[[#This Row],[lab-med]])</f>
        <v>1.5100002500000009</v>
      </c>
      <c r="U76" s="4">
        <f>Table2234210234567891112[[#This Row],[mark w]]-F$13</f>
        <v>-0.95700000000000074</v>
      </c>
      <c r="V76" s="4">
        <f>ABS(Table2234210234567891112[[#This Row],[anl-med]])</f>
        <v>0.95700000000000074</v>
      </c>
      <c r="W76" s="4">
        <f>Table2234210234567891112[[#This Row],[lab-med]]*Table2234210234567891112[[#This Row],[anl-med]]</f>
        <v>1.4450702392500021</v>
      </c>
    </row>
    <row r="77" spans="2:23" x14ac:dyDescent="0.25">
      <c r="B77" s="46">
        <f ca="1">VALUE((Table2234210234567891112[[#This Row],[Column3]]-62))</f>
        <v>15</v>
      </c>
      <c r="C77" t="s">
        <v>83</v>
      </c>
      <c r="D77">
        <v>9.9899997999999997</v>
      </c>
      <c r="E77"/>
      <c r="F77">
        <v>11.009</v>
      </c>
      <c r="G77" s="29">
        <f>Table2234210234567891112[[#This Row],[mark w]]-Table2234210234567891112[[#This Row],[REF]]</f>
        <v>1.0190002000000007</v>
      </c>
      <c r="H77" s="29">
        <f>Table2234210234567891112[[#This Row],[X-Y]]-E$20</f>
        <v>0.66221268000000855</v>
      </c>
      <c r="I77" s="29">
        <f>Table2234210234567891112[[#This Row],[mark w]]-E$20</f>
        <v>10.652212480000008</v>
      </c>
      <c r="J77" s="29">
        <f>Table2234210234567891112[[#This Row],[mark w]]*E$21+E$22</f>
        <v>10.640712230772449</v>
      </c>
      <c r="K77" s="56">
        <f>Table2234210234567891112[[#This Row],[Yest]]-Table2234210234567891112[[#This Row],[REF]]</f>
        <v>0.65071243077244922</v>
      </c>
      <c r="L77" s="56">
        <f>ABS(Table2234210234567891112[[#This Row],[RESyx]])</f>
        <v>0.65071243077244922</v>
      </c>
      <c r="M77" s="29">
        <f>Table2234210234567891112[[#This Row],[mark w]]*E$25+E$26</f>
        <v>10.622592343515331</v>
      </c>
      <c r="N77" s="29">
        <f>Table2234210234567891112[[#This Row],[X-Y]]^2</f>
        <v>1.0383614076000414</v>
      </c>
      <c r="O77" s="57">
        <f>Table2234210234567891112[[#This Row],[yest_rect]]-Table2234210234567891112[[#This Row],[REF]]</f>
        <v>0.63259254351533123</v>
      </c>
      <c r="P77" s="57">
        <f>Table2234210234567891112[[#This Row],[dif rec]]^2</f>
        <v>0.40017332611119621</v>
      </c>
      <c r="Q77" s="57">
        <f>ABS(Table2234210234567891112[[#This Row],[diff-bias]])</f>
        <v>0.66221268000000855</v>
      </c>
      <c r="R77" s="57">
        <f ca="1">CELL("row",Table2234210234567891112[[#This Row],[Position]])</f>
        <v>77</v>
      </c>
      <c r="S77" s="4">
        <f>Table2234210234567891112[[#This Row],[REF]]-D$13</f>
        <v>-1.0200004500000013</v>
      </c>
      <c r="T77" s="4">
        <f>ABS(Table2234210234567891112[[#This Row],[lab-med]])</f>
        <v>1.0200004500000013</v>
      </c>
      <c r="U77" s="4">
        <f>Table2234210234567891112[[#This Row],[mark w]]-F$13</f>
        <v>-0.30799999999999983</v>
      </c>
      <c r="V77" s="4">
        <f>ABS(Table2234210234567891112[[#This Row],[anl-med]])</f>
        <v>0.30799999999999983</v>
      </c>
      <c r="W77" s="4">
        <f>Table2234210234567891112[[#This Row],[lab-med]]*Table2234210234567891112[[#This Row],[anl-med]]</f>
        <v>0.31416013860000019</v>
      </c>
    </row>
    <row r="78" spans="2:23" x14ac:dyDescent="0.25">
      <c r="B78" s="46">
        <f ca="1">VALUE((Table2234210234567891112[[#This Row],[Column3]]-62))</f>
        <v>16</v>
      </c>
      <c r="C78" t="s">
        <v>84</v>
      </c>
      <c r="D78">
        <v>10.0100002</v>
      </c>
      <c r="E78"/>
      <c r="F78">
        <v>10.917</v>
      </c>
      <c r="G78" s="29">
        <f>Table2234210234567891112[[#This Row],[mark w]]-Table2234210234567891112[[#This Row],[REF]]</f>
        <v>0.90699979999999947</v>
      </c>
      <c r="H78" s="29">
        <f>Table2234210234567891112[[#This Row],[X-Y]]-E$20</f>
        <v>0.55021228000000733</v>
      </c>
      <c r="I78" s="29">
        <f>Table2234210234567891112[[#This Row],[mark w]]-E$20</f>
        <v>10.560212480000008</v>
      </c>
      <c r="J78" s="29">
        <f>Table2234210234567891112[[#This Row],[mark w]]*E$21+E$22</f>
        <v>10.546398537682357</v>
      </c>
      <c r="K78" s="56">
        <f>Table2234210234567891112[[#This Row],[Yest]]-Table2234210234567891112[[#This Row],[REF]]</f>
        <v>0.5363983376823569</v>
      </c>
      <c r="L78" s="56">
        <f>ABS(Table2234210234567891112[[#This Row],[RESyx]])</f>
        <v>0.5363983376823569</v>
      </c>
      <c r="M78" s="29">
        <f>Table2234210234567891112[[#This Row],[mark w]]*E$25+E$26</f>
        <v>10.524633176565457</v>
      </c>
      <c r="N78" s="29">
        <f>Table2234210234567891112[[#This Row],[X-Y]]^2</f>
        <v>0.822648637200039</v>
      </c>
      <c r="O78" s="57">
        <f>Table2234210234567891112[[#This Row],[yest_rect]]-Table2234210234567891112[[#This Row],[REF]]</f>
        <v>0.5146329765654567</v>
      </c>
      <c r="P78" s="57">
        <f>Table2234210234567891112[[#This Row],[dif rec]]^2</f>
        <v>0.26484710056862193</v>
      </c>
      <c r="Q78" s="57">
        <f>ABS(Table2234210234567891112[[#This Row],[diff-bias]])</f>
        <v>0.55021228000000733</v>
      </c>
      <c r="R78" s="57">
        <f ca="1">CELL("row",Table2234210234567891112[[#This Row],[Position]])</f>
        <v>78</v>
      </c>
      <c r="S78" s="4">
        <f>Table2234210234567891112[[#This Row],[REF]]-D$13</f>
        <v>-1.0000000500000006</v>
      </c>
      <c r="T78" s="4">
        <f>ABS(Table2234210234567891112[[#This Row],[lab-med]])</f>
        <v>1.0000000500000006</v>
      </c>
      <c r="U78" s="4">
        <f>Table2234210234567891112[[#This Row],[mark w]]-F$13</f>
        <v>-0.40000000000000036</v>
      </c>
      <c r="V78" s="4">
        <f>ABS(Table2234210234567891112[[#This Row],[anl-med]])</f>
        <v>0.40000000000000036</v>
      </c>
      <c r="W78" s="4">
        <f>Table2234210234567891112[[#This Row],[lab-med]]*Table2234210234567891112[[#This Row],[anl-med]]</f>
        <v>0.40000002000000057</v>
      </c>
    </row>
    <row r="79" spans="2:23" x14ac:dyDescent="0.25">
      <c r="B79" s="46">
        <f ca="1">VALUE((Table2234210234567891112[[#This Row],[Column3]]-62))</f>
        <v>17</v>
      </c>
      <c r="C79" t="s">
        <v>85</v>
      </c>
      <c r="D79">
        <v>9.8299999000000007</v>
      </c>
      <c r="E79"/>
      <c r="F79">
        <v>10.561999999999999</v>
      </c>
      <c r="G79" s="29">
        <f>Table2234210234567891112[[#This Row],[mark w]]-Table2234210234567891112[[#This Row],[REF]]</f>
        <v>0.73200009999999871</v>
      </c>
      <c r="H79" s="29">
        <f>Table2234210234567891112[[#This Row],[X-Y]]-E$20</f>
        <v>0.37521258000000657</v>
      </c>
      <c r="I79" s="29">
        <f>Table2234210234567891112[[#This Row],[mark w]]-E$20</f>
        <v>10.205212480000007</v>
      </c>
      <c r="J79" s="29">
        <f>Table2234210234567891112[[#This Row],[mark w]]*E$21+E$22</f>
        <v>10.182470700215154</v>
      </c>
      <c r="K79" s="56">
        <f>Table2234210234567891112[[#This Row],[Yest]]-Table2234210234567891112[[#This Row],[REF]]</f>
        <v>0.35247080021515309</v>
      </c>
      <c r="L79" s="56">
        <f>ABS(Table2234210234567891112[[#This Row],[RESyx]])</f>
        <v>0.35247080021515309</v>
      </c>
      <c r="M79" s="29">
        <f>Table2234210234567891112[[#This Row],[mark w]]*E$25+E$26</f>
        <v>10.1466385649654</v>
      </c>
      <c r="N79" s="29">
        <f>Table2234210234567891112[[#This Row],[X-Y]]^2</f>
        <v>0.53582414640000808</v>
      </c>
      <c r="O79" s="57">
        <f>Table2234210234567891112[[#This Row],[yest_rect]]-Table2234210234567891112[[#This Row],[REF]]</f>
        <v>0.31663866496539939</v>
      </c>
      <c r="P79" s="57">
        <f>Table2234210234567891112[[#This Row],[dif rec]]^2</f>
        <v>0.10026004415107044</v>
      </c>
      <c r="Q79" s="57">
        <f>ABS(Table2234210234567891112[[#This Row],[diff-bias]])</f>
        <v>0.37521258000000657</v>
      </c>
      <c r="R79" s="57">
        <f ca="1">CELL("row",Table2234210234567891112[[#This Row],[Position]])</f>
        <v>79</v>
      </c>
      <c r="S79" s="4">
        <f>Table2234210234567891112[[#This Row],[REF]]-D$13</f>
        <v>-1.1800003500000003</v>
      </c>
      <c r="T79" s="4">
        <f>ABS(Table2234210234567891112[[#This Row],[lab-med]])</f>
        <v>1.1800003500000003</v>
      </c>
      <c r="U79" s="4">
        <f>Table2234210234567891112[[#This Row],[mark w]]-F$13</f>
        <v>-0.75500000000000078</v>
      </c>
      <c r="V79" s="4">
        <f>ABS(Table2234210234567891112[[#This Row],[anl-med]])</f>
        <v>0.75500000000000078</v>
      </c>
      <c r="W79" s="4">
        <f>Table2234210234567891112[[#This Row],[lab-med]]*Table2234210234567891112[[#This Row],[anl-med]]</f>
        <v>0.89090026425000113</v>
      </c>
    </row>
    <row r="80" spans="2:23" x14ac:dyDescent="0.25">
      <c r="B80" s="46">
        <f ca="1">VALUE((Table2234210234567891112[[#This Row],[Column3]]-62))</f>
        <v>18</v>
      </c>
      <c r="C80" t="s">
        <v>86</v>
      </c>
      <c r="D80">
        <v>9.5699997000000003</v>
      </c>
      <c r="E80"/>
      <c r="F80">
        <v>9.9499999999999993</v>
      </c>
      <c r="G80" s="29">
        <f>Table2234210234567891112[[#This Row],[mark w]]-Table2234210234567891112[[#This Row],[REF]]</f>
        <v>0.38000029999999896</v>
      </c>
      <c r="H80" s="29">
        <f>Table2234210234567891112[[#This Row],[X-Y]]-E$20</f>
        <v>2.3212780000006816E-2</v>
      </c>
      <c r="I80" s="29">
        <f>Table2234210234567891112[[#This Row],[mark w]]-E$20</f>
        <v>9.5932124800000071</v>
      </c>
      <c r="J80" s="29">
        <f>Table2234210234567891112[[#This Row],[mark w]]*E$21+E$22</f>
        <v>9.5550796113984564</v>
      </c>
      <c r="K80" s="56">
        <f>Table2234210234567891112[[#This Row],[Yest]]-Table2234210234567891112[[#This Row],[REF]]</f>
        <v>-1.4920088601543924E-2</v>
      </c>
      <c r="L80" s="56">
        <f>ABS(Table2234210234567891112[[#This Row],[RESyx]])</f>
        <v>1.4920088601543924E-2</v>
      </c>
      <c r="M80" s="29">
        <f>Table2234210234567891112[[#This Row],[mark w]]*E$25+E$26</f>
        <v>9.4949971500379817</v>
      </c>
      <c r="N80" s="29">
        <f>Table2234210234567891112[[#This Row],[X-Y]]^2</f>
        <v>0.1444002280000892</v>
      </c>
      <c r="O80" s="57">
        <f>Table2234210234567891112[[#This Row],[yest_rect]]-Table2234210234567891112[[#This Row],[REF]]</f>
        <v>-7.5002549962018605E-2</v>
      </c>
      <c r="P80" s="57">
        <f>Table2234210234567891112[[#This Row],[dif rec]]^2</f>
        <v>5.625382500805097E-3</v>
      </c>
      <c r="Q80" s="57">
        <f>ABS(Table2234210234567891112[[#This Row],[diff-bias]])</f>
        <v>2.3212780000006816E-2</v>
      </c>
      <c r="R80" s="57">
        <f ca="1">CELL("row",Table2234210234567891112[[#This Row],[Position]])</f>
        <v>80</v>
      </c>
      <c r="S80" s="4">
        <f>Table2234210234567891112[[#This Row],[REF]]-D$13</f>
        <v>-1.4400005500000006</v>
      </c>
      <c r="T80" s="4">
        <f>ABS(Table2234210234567891112[[#This Row],[lab-med]])</f>
        <v>1.4400005500000006</v>
      </c>
      <c r="U80" s="4">
        <f>Table2234210234567891112[[#This Row],[mark w]]-F$13</f>
        <v>-1.3670000000000009</v>
      </c>
      <c r="V80" s="4">
        <f>ABS(Table2234210234567891112[[#This Row],[anl-med]])</f>
        <v>1.3670000000000009</v>
      </c>
      <c r="W80" s="4">
        <f>Table2234210234567891112[[#This Row],[lab-med]]*Table2234210234567891112[[#This Row],[anl-med]]</f>
        <v>1.968480751850002</v>
      </c>
    </row>
    <row r="81" spans="2:23" x14ac:dyDescent="0.25">
      <c r="B81" s="46">
        <f ca="1">VALUE((Table2234210234567891112[[#This Row],[Column3]]-62))</f>
        <v>19</v>
      </c>
      <c r="C81" t="s">
        <v>87</v>
      </c>
      <c r="D81">
        <v>9.9200000999999993</v>
      </c>
      <c r="E81"/>
      <c r="F81">
        <v>10.692</v>
      </c>
      <c r="G81" s="29">
        <f>Table2234210234567891112[[#This Row],[mark w]]-Table2234210234567891112[[#This Row],[REF]]</f>
        <v>0.77199990000000085</v>
      </c>
      <c r="H81" s="29">
        <f>Table2234210234567891112[[#This Row],[X-Y]]-E$20</f>
        <v>0.41521238000000871</v>
      </c>
      <c r="I81" s="29">
        <f>Table2234210234567891112[[#This Row],[mark w]]-E$20</f>
        <v>10.335212480000008</v>
      </c>
      <c r="J81" s="29">
        <f>Table2234210234567891112[[#This Row],[mark w]]*E$21+E$22</f>
        <v>10.315740049146807</v>
      </c>
      <c r="K81" s="56">
        <f>Table2234210234567891112[[#This Row],[Yest]]-Table2234210234567891112[[#This Row],[REF]]</f>
        <v>0.3957399491468081</v>
      </c>
      <c r="L81" s="56">
        <f>ABS(Table2234210234567891112[[#This Row],[RESyx]])</f>
        <v>0.3957399491468081</v>
      </c>
      <c r="M81" s="29">
        <f>Table2234210234567891112[[#This Row],[mark w]]*E$25+E$26</f>
        <v>10.285059126959789</v>
      </c>
      <c r="N81" s="29">
        <f>Table2234210234567891112[[#This Row],[X-Y]]^2</f>
        <v>0.59598384560001127</v>
      </c>
      <c r="O81" s="57">
        <f>Table2234210234567891112[[#This Row],[yest_rect]]-Table2234210234567891112[[#This Row],[REF]]</f>
        <v>0.36505902695978953</v>
      </c>
      <c r="P81" s="57">
        <f>Table2234210234567891112[[#This Row],[dif rec]]^2</f>
        <v>0.13326809316482835</v>
      </c>
      <c r="Q81" s="57">
        <f>ABS(Table2234210234567891112[[#This Row],[diff-bias]])</f>
        <v>0.41521238000000871</v>
      </c>
      <c r="R81" s="57">
        <f ca="1">CELL("row",Table2234210234567891112[[#This Row],[Position]])</f>
        <v>81</v>
      </c>
      <c r="S81" s="4">
        <f>Table2234210234567891112[[#This Row],[REF]]-D$13</f>
        <v>-1.0900001500000016</v>
      </c>
      <c r="T81" s="4">
        <f>ABS(Table2234210234567891112[[#This Row],[lab-med]])</f>
        <v>1.0900001500000016</v>
      </c>
      <c r="U81" s="4">
        <f>Table2234210234567891112[[#This Row],[mark w]]-F$13</f>
        <v>-0.625</v>
      </c>
      <c r="V81" s="4">
        <f>ABS(Table2234210234567891112[[#This Row],[anl-med]])</f>
        <v>0.625</v>
      </c>
      <c r="W81" s="4">
        <f>Table2234210234567891112[[#This Row],[lab-med]]*Table2234210234567891112[[#This Row],[anl-med]]</f>
        <v>0.68125009375000101</v>
      </c>
    </row>
    <row r="82" spans="2:23" x14ac:dyDescent="0.25">
      <c r="B82" s="46">
        <f ca="1">VALUE((Table2234210234567891112[[#This Row],[Column3]]-62))</f>
        <v>20</v>
      </c>
      <c r="C82" t="s">
        <v>88</v>
      </c>
      <c r="D82">
        <v>11.670000099999999</v>
      </c>
      <c r="E82"/>
      <c r="F82">
        <v>11.878</v>
      </c>
      <c r="G82" s="29">
        <f>Table2234210234567891112[[#This Row],[mark w]]-Table2234210234567891112[[#This Row],[REF]]</f>
        <v>0.20799990000000079</v>
      </c>
      <c r="H82" s="29">
        <f>Table2234210234567891112[[#This Row],[X-Y]]-E$20</f>
        <v>-0.14878761999999135</v>
      </c>
      <c r="I82" s="29">
        <f>Table2234210234567891112[[#This Row],[mark w]]-E$20</f>
        <v>11.521212480000008</v>
      </c>
      <c r="J82" s="29">
        <f>Table2234210234567891112[[#This Row],[mark w]]*E$21+E$22</f>
        <v>11.531566570938644</v>
      </c>
      <c r="K82" s="56">
        <f>Table2234210234567891112[[#This Row],[Yest]]-Table2234210234567891112[[#This Row],[REF]]</f>
        <v>-0.13843352906135564</v>
      </c>
      <c r="L82" s="56">
        <f>ABS(Table2234210234567891112[[#This Row],[RESyx]])</f>
        <v>0.13843352906135564</v>
      </c>
      <c r="M82" s="29">
        <f>Table2234210234567891112[[#This Row],[mark w]]*E$25+E$26</f>
        <v>11.547880561770114</v>
      </c>
      <c r="N82" s="29">
        <f>Table2234210234567891112[[#This Row],[X-Y]]^2</f>
        <v>4.3263958400010329E-2</v>
      </c>
      <c r="O82" s="57">
        <f>Table2234210234567891112[[#This Row],[yest_rect]]-Table2234210234567891112[[#This Row],[REF]]</f>
        <v>-0.12211953822988519</v>
      </c>
      <c r="P82" s="57">
        <f>Table2234210234567891112[[#This Row],[dif rec]]^2</f>
        <v>1.4913181617480391E-2</v>
      </c>
      <c r="Q82" s="57">
        <f>ABS(Table2234210234567891112[[#This Row],[diff-bias]])</f>
        <v>0.14878761999999135</v>
      </c>
      <c r="R82" s="57">
        <f ca="1">CELL("row",Table2234210234567891112[[#This Row],[Position]])</f>
        <v>82</v>
      </c>
      <c r="S82" s="4">
        <f>Table2234210234567891112[[#This Row],[REF]]-D$13</f>
        <v>0.65999984999999839</v>
      </c>
      <c r="T82" s="4">
        <f>ABS(Table2234210234567891112[[#This Row],[lab-med]])</f>
        <v>0.65999984999999839</v>
      </c>
      <c r="U82" s="4">
        <f>Table2234210234567891112[[#This Row],[mark w]]-F$13</f>
        <v>0.56099999999999994</v>
      </c>
      <c r="V82" s="4">
        <f>ABS(Table2234210234567891112[[#This Row],[anl-med]])</f>
        <v>0.56099999999999994</v>
      </c>
      <c r="W82" s="4">
        <f>Table2234210234567891112[[#This Row],[lab-med]]*Table2234210234567891112[[#This Row],[anl-med]]</f>
        <v>0.37025991584999907</v>
      </c>
    </row>
    <row r="83" spans="2:23" x14ac:dyDescent="0.25">
      <c r="B83" s="46">
        <f ca="1">VALUE((Table2234210234567891112[[#This Row],[Column3]]-62))</f>
        <v>21</v>
      </c>
      <c r="C83" t="s">
        <v>89</v>
      </c>
      <c r="D83">
        <v>11.5</v>
      </c>
      <c r="E83"/>
      <c r="F83">
        <v>11.94</v>
      </c>
      <c r="G83" s="29">
        <f>Table2234210234567891112[[#This Row],[mark w]]-Table2234210234567891112[[#This Row],[REF]]</f>
        <v>0.4399999999999995</v>
      </c>
      <c r="H83" s="29">
        <f>Table2234210234567891112[[#This Row],[X-Y]]-E$20</f>
        <v>8.3212480000007361E-2</v>
      </c>
      <c r="I83" s="29">
        <f>Table2234210234567891112[[#This Row],[mark w]]-E$20</f>
        <v>11.583212480000007</v>
      </c>
      <c r="J83" s="29">
        <f>Table2234210234567891112[[#This Row],[mark w]]*E$21+E$22</f>
        <v>11.595125798890662</v>
      </c>
      <c r="K83" s="56">
        <f>Table2234210234567891112[[#This Row],[Yest]]-Table2234210234567891112[[#This Row],[REF]]</f>
        <v>9.5125798890661528E-2</v>
      </c>
      <c r="L83" s="56">
        <f>ABS(Table2234210234567891112[[#This Row],[RESyx]])</f>
        <v>9.5125798890661528E-2</v>
      </c>
      <c r="M83" s="29">
        <f>Table2234210234567891112[[#This Row],[mark w]]*E$25+E$26</f>
        <v>11.613896522105899</v>
      </c>
      <c r="N83" s="29">
        <f>Table2234210234567891112[[#This Row],[X-Y]]^2</f>
        <v>0.19359999999999955</v>
      </c>
      <c r="O83" s="57">
        <f>Table2234210234567891112[[#This Row],[yest_rect]]-Table2234210234567891112[[#This Row],[REF]]</f>
        <v>0.11389652210589851</v>
      </c>
      <c r="P83" s="57">
        <f>Table2234210234567891112[[#This Row],[dif rec]]^2</f>
        <v>1.2972417747819428E-2</v>
      </c>
      <c r="Q83" s="57">
        <f>ABS(Table2234210234567891112[[#This Row],[diff-bias]])</f>
        <v>8.3212480000007361E-2</v>
      </c>
      <c r="R83" s="57">
        <f ca="1">CELL("row",Table2234210234567891112[[#This Row],[Position]])</f>
        <v>83</v>
      </c>
      <c r="S83" s="4">
        <f>Table2234210234567891112[[#This Row],[REF]]-D$13</f>
        <v>0.48999974999999907</v>
      </c>
      <c r="T83" s="4">
        <f>ABS(Table2234210234567891112[[#This Row],[lab-med]])</f>
        <v>0.48999974999999907</v>
      </c>
      <c r="U83" s="4">
        <f>Table2234210234567891112[[#This Row],[mark w]]-F$13</f>
        <v>0.62299999999999933</v>
      </c>
      <c r="V83" s="4">
        <f>ABS(Table2234210234567891112[[#This Row],[anl-med]])</f>
        <v>0.62299999999999933</v>
      </c>
      <c r="W83" s="4">
        <f>Table2234210234567891112[[#This Row],[lab-med]]*Table2234210234567891112[[#This Row],[anl-med]]</f>
        <v>0.30526984424999909</v>
      </c>
    </row>
    <row r="84" spans="2:23" x14ac:dyDescent="0.25">
      <c r="B84" s="46">
        <f ca="1">VALUE((Table2234210234567891112[[#This Row],[Column3]]-62))</f>
        <v>22</v>
      </c>
      <c r="C84" t="s">
        <v>90</v>
      </c>
      <c r="D84">
        <v>11.3699999</v>
      </c>
      <c r="E84"/>
      <c r="F84">
        <v>11.715</v>
      </c>
      <c r="G84" s="29">
        <f>Table2234210234567891112[[#This Row],[mark w]]-Table2234210234567891112[[#This Row],[REF]]</f>
        <v>0.34500010000000003</v>
      </c>
      <c r="H84" s="29">
        <f>Table2234210234567891112[[#This Row],[X-Y]]-E$20</f>
        <v>-1.178741999999211E-2</v>
      </c>
      <c r="I84" s="29">
        <f>Table2234210234567891112[[#This Row],[mark w]]-E$20</f>
        <v>11.358212480000008</v>
      </c>
      <c r="J84" s="29">
        <f>Table2234210234567891112[[#This Row],[mark w]]*E$21+E$22</f>
        <v>11.36446731035511</v>
      </c>
      <c r="K84" s="56">
        <f>Table2234210234567891112[[#This Row],[Yest]]-Table2234210234567891112[[#This Row],[REF]]</f>
        <v>-5.5325896448898959E-3</v>
      </c>
      <c r="L84" s="56">
        <f>ABS(Table2234210234567891112[[#This Row],[RESyx]])</f>
        <v>5.5325896448898959E-3</v>
      </c>
      <c r="M84" s="29">
        <f>Table2234210234567891112[[#This Row],[mark w]]*E$25+E$26</f>
        <v>11.37432247250023</v>
      </c>
      <c r="N84" s="29">
        <f>Table2234210234567891112[[#This Row],[X-Y]]^2</f>
        <v>0.11902506900001002</v>
      </c>
      <c r="O84" s="57">
        <f>Table2234210234567891112[[#This Row],[yest_rect]]-Table2234210234567891112[[#This Row],[REF]]</f>
        <v>4.3225725002304927E-3</v>
      </c>
      <c r="P84" s="57">
        <f>Table2234210234567891112[[#This Row],[dif rec]]^2</f>
        <v>1.8684633019748893E-5</v>
      </c>
      <c r="Q84" s="57">
        <f>ABS(Table2234210234567891112[[#This Row],[diff-bias]])</f>
        <v>1.178741999999211E-2</v>
      </c>
      <c r="R84" s="57">
        <f ca="1">CELL("row",Table2234210234567891112[[#This Row],[Position]])</f>
        <v>84</v>
      </c>
      <c r="S84" s="4">
        <f>Table2234210234567891112[[#This Row],[REF]]-D$13</f>
        <v>0.35999964999999889</v>
      </c>
      <c r="T84" s="4">
        <f>ABS(Table2234210234567891112[[#This Row],[lab-med]])</f>
        <v>0.35999964999999889</v>
      </c>
      <c r="U84" s="4">
        <f>Table2234210234567891112[[#This Row],[mark w]]-F$13</f>
        <v>0.39799999999999969</v>
      </c>
      <c r="V84" s="4">
        <f>ABS(Table2234210234567891112[[#This Row],[anl-med]])</f>
        <v>0.39799999999999969</v>
      </c>
      <c r="W84" s="4">
        <f>Table2234210234567891112[[#This Row],[lab-med]]*Table2234210234567891112[[#This Row],[anl-med]]</f>
        <v>0.14327986069999946</v>
      </c>
    </row>
    <row r="85" spans="2:23" x14ac:dyDescent="0.25">
      <c r="B85" s="46">
        <f ca="1">VALUE((Table2234210234567891112[[#This Row],[Column3]]-62))</f>
        <v>23</v>
      </c>
      <c r="C85" t="s">
        <v>91</v>
      </c>
      <c r="D85">
        <v>11.5900002</v>
      </c>
      <c r="E85"/>
      <c r="F85">
        <v>11.677</v>
      </c>
      <c r="G85" s="29">
        <f>Table2234210234567891112[[#This Row],[mark w]]-Table2234210234567891112[[#This Row],[REF]]</f>
        <v>8.6999799999999183E-2</v>
      </c>
      <c r="H85" s="29">
        <f>Table2234210234567891112[[#This Row],[X-Y]]-E$20</f>
        <v>-0.26978771999999296</v>
      </c>
      <c r="I85" s="29">
        <f>Table2234210234567891112[[#This Row],[mark w]]-E$20</f>
        <v>11.320212480000007</v>
      </c>
      <c r="J85" s="29">
        <f>Table2234210234567891112[[#This Row],[mark w]]*E$21+E$22</f>
        <v>11.32551165451355</v>
      </c>
      <c r="K85" s="56">
        <f>Table2234210234567891112[[#This Row],[Yest]]-Table2234210234567891112[[#This Row],[REF]]</f>
        <v>-0.26448854548645073</v>
      </c>
      <c r="L85" s="56">
        <f>ABS(Table2234210234567891112[[#This Row],[RESyx]])</f>
        <v>0.26448854548645073</v>
      </c>
      <c r="M85" s="29">
        <f>Table2234210234567891112[[#This Row],[mark w]]*E$25+E$26</f>
        <v>11.333861077455717</v>
      </c>
      <c r="N85" s="29">
        <f>Table2234210234567891112[[#This Row],[X-Y]]^2</f>
        <v>7.5689652000398575E-3</v>
      </c>
      <c r="O85" s="57">
        <f>Table2234210234567891112[[#This Row],[yest_rect]]-Table2234210234567891112[[#This Row],[REF]]</f>
        <v>-0.25613912254428328</v>
      </c>
      <c r="P85" s="57">
        <f>Table2234210234567891112[[#This Row],[dif rec]]^2</f>
        <v>6.5607250097755365E-2</v>
      </c>
      <c r="Q85" s="57">
        <f>ABS(Table2234210234567891112[[#This Row],[diff-bias]])</f>
        <v>0.26978771999999296</v>
      </c>
      <c r="R85" s="57">
        <f ca="1">CELL("row",Table2234210234567891112[[#This Row],[Position]])</f>
        <v>85</v>
      </c>
      <c r="S85" s="4">
        <f>Table2234210234567891112[[#This Row],[REF]]-D$13</f>
        <v>0.57999994999999949</v>
      </c>
      <c r="T85" s="4">
        <f>ABS(Table2234210234567891112[[#This Row],[lab-med]])</f>
        <v>0.57999994999999949</v>
      </c>
      <c r="U85" s="4">
        <f>Table2234210234567891112[[#This Row],[mark w]]-F$13</f>
        <v>0.35999999999999943</v>
      </c>
      <c r="V85" s="4">
        <f>ABS(Table2234210234567891112[[#This Row],[anl-med]])</f>
        <v>0.35999999999999943</v>
      </c>
      <c r="W85" s="4">
        <f>Table2234210234567891112[[#This Row],[lab-med]]*Table2234210234567891112[[#This Row],[anl-med]]</f>
        <v>0.2087999819999995</v>
      </c>
    </row>
    <row r="86" spans="2:23" x14ac:dyDescent="0.25">
      <c r="B86" s="46">
        <f ca="1">VALUE((Table2234210234567891112[[#This Row],[Column3]]-62))</f>
        <v>24</v>
      </c>
      <c r="C86" t="s">
        <v>92</v>
      </c>
      <c r="D86">
        <v>9.8800001000000002</v>
      </c>
      <c r="E86"/>
      <c r="F86">
        <v>9.9309999999999992</v>
      </c>
      <c r="G86" s="29">
        <f>Table2234210234567891112[[#This Row],[mark w]]-Table2234210234567891112[[#This Row],[REF]]</f>
        <v>5.0999899999998988E-2</v>
      </c>
      <c r="H86" s="29">
        <f>Table2234210234567891112[[#This Row],[X-Y]]-E$20</f>
        <v>-0.30578761999999315</v>
      </c>
      <c r="I86" s="29">
        <f>Table2234210234567891112[[#This Row],[mark w]]-E$20</f>
        <v>9.574212480000007</v>
      </c>
      <c r="J86" s="29">
        <f>Table2234210234567891112[[#This Row],[mark w]]*E$21+E$22</f>
        <v>9.5356017834776754</v>
      </c>
      <c r="K86" s="56">
        <f>Table2234210234567891112[[#This Row],[Yest]]-Table2234210234567891112[[#This Row],[REF]]</f>
        <v>-0.34439831652232478</v>
      </c>
      <c r="L86" s="56">
        <f>ABS(Table2234210234567891112[[#This Row],[RESyx]])</f>
        <v>0.34439831652232478</v>
      </c>
      <c r="M86" s="29">
        <f>Table2234210234567891112[[#This Row],[mark w]]*E$25+E$26</f>
        <v>9.4747664525157251</v>
      </c>
      <c r="N86" s="29">
        <f>Table2234210234567891112[[#This Row],[X-Y]]^2</f>
        <v>2.6009898000098966E-3</v>
      </c>
      <c r="O86" s="57">
        <f>Table2234210234567891112[[#This Row],[yest_rect]]-Table2234210234567891112[[#This Row],[REF]]</f>
        <v>-0.40523364748427504</v>
      </c>
      <c r="P86" s="57">
        <f>Table2234210234567891112[[#This Row],[dif rec]]^2</f>
        <v>0.1642143090534097</v>
      </c>
      <c r="Q86" s="57">
        <f>ABS(Table2234210234567891112[[#This Row],[diff-bias]])</f>
        <v>0.30578761999999315</v>
      </c>
      <c r="R86" s="57">
        <f ca="1">CELL("row",Table2234210234567891112[[#This Row],[Position]])</f>
        <v>86</v>
      </c>
      <c r="S86" s="4">
        <f>Table2234210234567891112[[#This Row],[REF]]-D$13</f>
        <v>-1.1300001500000008</v>
      </c>
      <c r="T86" s="4">
        <f>ABS(Table2234210234567891112[[#This Row],[lab-med]])</f>
        <v>1.1300001500000008</v>
      </c>
      <c r="U86" s="4">
        <f>Table2234210234567891112[[#This Row],[mark w]]-F$13</f>
        <v>-1.386000000000001</v>
      </c>
      <c r="V86" s="4">
        <f>ABS(Table2234210234567891112[[#This Row],[anl-med]])</f>
        <v>1.386000000000001</v>
      </c>
      <c r="W86" s="4">
        <f>Table2234210234567891112[[#This Row],[lab-med]]*Table2234210234567891112[[#This Row],[anl-med]]</f>
        <v>1.5661802079000022</v>
      </c>
    </row>
    <row r="87" spans="2:23" x14ac:dyDescent="0.25">
      <c r="B87" s="46">
        <f ca="1">VALUE((Table2234210234567891112[[#This Row],[Column3]]-62))</f>
        <v>25</v>
      </c>
      <c r="C87" t="s">
        <v>93</v>
      </c>
      <c r="D87">
        <v>11.8400002</v>
      </c>
      <c r="E87"/>
      <c r="F87">
        <v>12.31</v>
      </c>
      <c r="G87" s="29">
        <f>Table2234210234567891112[[#This Row],[mark w]]-Table2234210234567891112[[#This Row],[REF]]</f>
        <v>0.46999980000000008</v>
      </c>
      <c r="H87" s="29">
        <f>Table2234210234567891112[[#This Row],[X-Y]]-E$20</f>
        <v>0.11321228000000794</v>
      </c>
      <c r="I87" s="29">
        <f>Table2234210234567891112[[#This Row],[mark w]]-E$20</f>
        <v>11.953212480000008</v>
      </c>
      <c r="J87" s="29">
        <f>Table2234210234567891112[[#This Row],[mark w]]*E$21+E$22</f>
        <v>11.9744308689269</v>
      </c>
      <c r="K87" s="56">
        <f>Table2234210234567891112[[#This Row],[Yest]]-Table2234210234567891112[[#This Row],[REF]]</f>
        <v>0.1344306689268997</v>
      </c>
      <c r="L87" s="56">
        <f>ABS(Table2234210234567891112[[#This Row],[RESyx]])</f>
        <v>0.1344306689268997</v>
      </c>
      <c r="M87" s="29">
        <f>Table2234210234567891112[[#This Row],[mark w]]*E$25+E$26</f>
        <v>12.007862737012999</v>
      </c>
      <c r="N87" s="29">
        <f>Table2234210234567891112[[#This Row],[X-Y]]^2</f>
        <v>0.22089981200004008</v>
      </c>
      <c r="O87" s="57">
        <f>Table2234210234567891112[[#This Row],[yest_rect]]-Table2234210234567891112[[#This Row],[REF]]</f>
        <v>0.16786253701299891</v>
      </c>
      <c r="P87" s="57">
        <f>Table2234210234567891112[[#This Row],[dif rec]]^2</f>
        <v>2.817783133244043E-2</v>
      </c>
      <c r="Q87" s="57">
        <f>ABS(Table2234210234567891112[[#This Row],[diff-bias]])</f>
        <v>0.11321228000000794</v>
      </c>
      <c r="R87" s="57">
        <f ca="1">CELL("row",Table2234210234567891112[[#This Row],[Position]])</f>
        <v>87</v>
      </c>
      <c r="S87" s="4">
        <f>Table2234210234567891112[[#This Row],[REF]]-D$13</f>
        <v>0.82999994999999949</v>
      </c>
      <c r="T87" s="4">
        <f>ABS(Table2234210234567891112[[#This Row],[lab-med]])</f>
        <v>0.82999994999999949</v>
      </c>
      <c r="U87" s="4">
        <f>Table2234210234567891112[[#This Row],[mark w]]-F$13</f>
        <v>0.99300000000000033</v>
      </c>
      <c r="V87" s="4">
        <f>ABS(Table2234210234567891112[[#This Row],[anl-med]])</f>
        <v>0.99300000000000033</v>
      </c>
      <c r="W87" s="4">
        <f>Table2234210234567891112[[#This Row],[lab-med]]*Table2234210234567891112[[#This Row],[anl-med]]</f>
        <v>0.82418995034999976</v>
      </c>
    </row>
    <row r="88" spans="2:23" x14ac:dyDescent="0.25">
      <c r="B88" s="46">
        <f ca="1">VALUE((Table2234210234567891112[[#This Row],[Column3]]-62))</f>
        <v>26</v>
      </c>
      <c r="C88" t="s">
        <v>94</v>
      </c>
      <c r="D88">
        <v>10</v>
      </c>
      <c r="E88"/>
      <c r="F88">
        <v>10.117000000000001</v>
      </c>
      <c r="G88" s="29">
        <f>Table2234210234567891112[[#This Row],[mark w]]-Table2234210234567891112[[#This Row],[REF]]</f>
        <v>0.11700000000000088</v>
      </c>
      <c r="H88" s="29">
        <f>Table2234210234567891112[[#This Row],[X-Y]]-E$20</f>
        <v>-0.23978751999999126</v>
      </c>
      <c r="I88" s="29">
        <f>Table2234210234567891112[[#This Row],[mark w]]-E$20</f>
        <v>9.7602124800000087</v>
      </c>
      <c r="J88" s="29">
        <f>Table2234210234567891112[[#This Row],[mark w]]*E$21+E$22</f>
        <v>9.7262794673337325</v>
      </c>
      <c r="K88" s="56">
        <f>Table2234210234567891112[[#This Row],[Yest]]-Table2234210234567891112[[#This Row],[REF]]</f>
        <v>-0.2737205326662675</v>
      </c>
      <c r="L88" s="56">
        <f>ABS(Table2234210234567891112[[#This Row],[RESyx]])</f>
        <v>0.2737205326662675</v>
      </c>
      <c r="M88" s="29">
        <f>Table2234210234567891112[[#This Row],[mark w]]*E$25+E$26</f>
        <v>9.6728143335230801</v>
      </c>
      <c r="N88" s="29">
        <f>Table2234210234567891112[[#This Row],[X-Y]]^2</f>
        <v>1.3689000000000206E-2</v>
      </c>
      <c r="O88" s="57">
        <f>Table2234210234567891112[[#This Row],[yest_rect]]-Table2234210234567891112[[#This Row],[REF]]</f>
        <v>-0.32718566647691993</v>
      </c>
      <c r="P88" s="57">
        <f>Table2234210234567891112[[#This Row],[dif rec]]^2</f>
        <v>0.10705046034794628</v>
      </c>
      <c r="Q88" s="57">
        <f>ABS(Table2234210234567891112[[#This Row],[diff-bias]])</f>
        <v>0.23978751999999126</v>
      </c>
      <c r="R88" s="57">
        <f ca="1">CELL("row",Table2234210234567891112[[#This Row],[Position]])</f>
        <v>88</v>
      </c>
      <c r="S88" s="4">
        <f>Table2234210234567891112[[#This Row],[REF]]-D$13</f>
        <v>-1.0100002500000009</v>
      </c>
      <c r="T88" s="4">
        <f>ABS(Table2234210234567891112[[#This Row],[lab-med]])</f>
        <v>1.0100002500000009</v>
      </c>
      <c r="U88" s="4">
        <f>Table2234210234567891112[[#This Row],[mark w]]-F$13</f>
        <v>-1.1999999999999993</v>
      </c>
      <c r="V88" s="4">
        <f>ABS(Table2234210234567891112[[#This Row],[anl-med]])</f>
        <v>1.1999999999999993</v>
      </c>
      <c r="W88" s="4">
        <f>Table2234210234567891112[[#This Row],[lab-med]]*Table2234210234567891112[[#This Row],[anl-med]]</f>
        <v>1.2120003000000004</v>
      </c>
    </row>
    <row r="89" spans="2:23" x14ac:dyDescent="0.25">
      <c r="B89" s="46">
        <f ca="1">VALUE((Table2234210234567891112[[#This Row],[Column3]]-62))</f>
        <v>27</v>
      </c>
      <c r="C89" t="s">
        <v>95</v>
      </c>
      <c r="D89">
        <v>10.100000400000001</v>
      </c>
      <c r="E89"/>
      <c r="F89">
        <v>11.13</v>
      </c>
      <c r="G89" s="29">
        <f>Table2234210234567891112[[#This Row],[mark w]]-Table2234210234567891112[[#This Row],[REF]]</f>
        <v>1.0299996</v>
      </c>
      <c r="H89" s="29">
        <f>Table2234210234567891112[[#This Row],[X-Y]]-E$20</f>
        <v>0.67321208000000787</v>
      </c>
      <c r="I89" s="29">
        <f>Table2234210234567891112[[#This Row],[mark w]]-E$20</f>
        <v>10.773212480000009</v>
      </c>
      <c r="J89" s="29">
        <f>Table2234210234567891112[[#This Row],[mark w]]*E$21+E$22</f>
        <v>10.76475524016268</v>
      </c>
      <c r="K89" s="56">
        <f>Table2234210234567891112[[#This Row],[Yest]]-Table2234210234567891112[[#This Row],[REF]]</f>
        <v>0.66475484016267927</v>
      </c>
      <c r="L89" s="56">
        <f>ABS(Table2234210234567891112[[#This Row],[RESyx]])</f>
        <v>0.66475484016267927</v>
      </c>
      <c r="M89" s="29">
        <f>Table2234210234567891112[[#This Row],[mark w]]*E$25+E$26</f>
        <v>10.751429943525491</v>
      </c>
      <c r="N89" s="29">
        <f>Table2234210234567891112[[#This Row],[X-Y]]^2</f>
        <v>1.06089917600016</v>
      </c>
      <c r="O89" s="57">
        <f>Table2234210234567891112[[#This Row],[yest_rect]]-Table2234210234567891112[[#This Row],[REF]]</f>
        <v>0.65142954352548976</v>
      </c>
      <c r="P89" s="57">
        <f>Table2234210234567891112[[#This Row],[dif rec]]^2</f>
        <v>0.42436045017782797</v>
      </c>
      <c r="Q89" s="57">
        <f>ABS(Table2234210234567891112[[#This Row],[diff-bias]])</f>
        <v>0.67321208000000787</v>
      </c>
      <c r="R89" s="57">
        <f ca="1">CELL("row",Table2234210234567891112[[#This Row],[Position]])</f>
        <v>89</v>
      </c>
      <c r="S89" s="4">
        <f>Table2234210234567891112[[#This Row],[REF]]-D$13</f>
        <v>-0.90999985000000017</v>
      </c>
      <c r="T89" s="4">
        <f>ABS(Table2234210234567891112[[#This Row],[lab-med]])</f>
        <v>0.90999985000000017</v>
      </c>
      <c r="U89" s="4">
        <f>Table2234210234567891112[[#This Row],[mark w]]-F$13</f>
        <v>-0.18699999999999939</v>
      </c>
      <c r="V89" s="4">
        <f>ABS(Table2234210234567891112[[#This Row],[anl-med]])</f>
        <v>0.18699999999999939</v>
      </c>
      <c r="W89" s="4">
        <f>Table2234210234567891112[[#This Row],[lab-med]]*Table2234210234567891112[[#This Row],[anl-med]]</f>
        <v>0.17016997194999947</v>
      </c>
    </row>
    <row r="90" spans="2:23" x14ac:dyDescent="0.25">
      <c r="B90" s="46">
        <f ca="1">VALUE((Table2234210234567891112[[#This Row],[Column3]]-62))</f>
        <v>28</v>
      </c>
      <c r="C90" t="s">
        <v>96</v>
      </c>
      <c r="D90">
        <v>11.399999599999999</v>
      </c>
      <c r="E90"/>
      <c r="F90">
        <v>11.696999999999999</v>
      </c>
      <c r="G90" s="29">
        <f>Table2234210234567891112[[#This Row],[mark w]]-Table2234210234567891112[[#This Row],[REF]]</f>
        <v>0.29700039999999994</v>
      </c>
      <c r="H90" s="29">
        <f>Table2234210234567891112[[#This Row],[X-Y]]-E$20</f>
        <v>-5.97871199999922E-2</v>
      </c>
      <c r="I90" s="29">
        <f>Table2234210234567891112[[#This Row],[mark w]]-E$20</f>
        <v>11.340212480000007</v>
      </c>
      <c r="J90" s="29">
        <f>Table2234210234567891112[[#This Row],[mark w]]*E$21+E$22</f>
        <v>11.346014631272265</v>
      </c>
      <c r="K90" s="56">
        <f>Table2234210234567891112[[#This Row],[Yest]]-Table2234210234567891112[[#This Row],[REF]]</f>
        <v>-5.3984968727734284E-2</v>
      </c>
      <c r="L90" s="56">
        <f>ABS(Table2234210234567891112[[#This Row],[RESyx]])</f>
        <v>5.3984968727734284E-2</v>
      </c>
      <c r="M90" s="29">
        <f>Table2234210234567891112[[#This Row],[mark w]]*E$25+E$26</f>
        <v>11.355156548531776</v>
      </c>
      <c r="N90" s="29">
        <f>Table2234210234567891112[[#This Row],[X-Y]]^2</f>
        <v>8.8209237600159959E-2</v>
      </c>
      <c r="O90" s="57">
        <f>Table2234210234567891112[[#This Row],[yest_rect]]-Table2234210234567891112[[#This Row],[REF]]</f>
        <v>-4.4843051468223649E-2</v>
      </c>
      <c r="P90" s="57">
        <f>Table2234210234567891112[[#This Row],[dif rec]]^2</f>
        <v>2.0108992649817553E-3</v>
      </c>
      <c r="Q90" s="57">
        <f>ABS(Table2234210234567891112[[#This Row],[diff-bias]])</f>
        <v>5.97871199999922E-2</v>
      </c>
      <c r="R90" s="57">
        <f ca="1">CELL("row",Table2234210234567891112[[#This Row],[Position]])</f>
        <v>90</v>
      </c>
      <c r="S90" s="4">
        <f>Table2234210234567891112[[#This Row],[REF]]-D$13</f>
        <v>0.3899993499999983</v>
      </c>
      <c r="T90" s="4">
        <f>ABS(Table2234210234567891112[[#This Row],[lab-med]])</f>
        <v>0.3899993499999983</v>
      </c>
      <c r="U90" s="4">
        <f>Table2234210234567891112[[#This Row],[mark w]]-F$13</f>
        <v>0.37999999999999901</v>
      </c>
      <c r="V90" s="4">
        <f>ABS(Table2234210234567891112[[#This Row],[anl-med]])</f>
        <v>0.37999999999999901</v>
      </c>
      <c r="W90" s="4">
        <f>Table2234210234567891112[[#This Row],[lab-med]]*Table2234210234567891112[[#This Row],[anl-med]]</f>
        <v>0.14819975299999896</v>
      </c>
    </row>
    <row r="91" spans="2:23" x14ac:dyDescent="0.25">
      <c r="B91" s="46">
        <f ca="1">VALUE((Table2234210234567891112[[#This Row],[Column3]]-62))</f>
        <v>29</v>
      </c>
      <c r="C91" t="s">
        <v>97</v>
      </c>
      <c r="D91">
        <v>10.279999699999999</v>
      </c>
      <c r="E91"/>
      <c r="F91">
        <v>10.548</v>
      </c>
      <c r="G91" s="29">
        <f>Table2234210234567891112[[#This Row],[mark w]]-Table2234210234567891112[[#This Row],[REF]]</f>
        <v>0.26800030000000064</v>
      </c>
      <c r="H91" s="29">
        <f>Table2234210234567891112[[#This Row],[X-Y]]-E$20</f>
        <v>-8.8787219999991507E-2</v>
      </c>
      <c r="I91" s="29">
        <f>Table2234210234567891112[[#This Row],[mark w]]-E$20</f>
        <v>10.191212480000008</v>
      </c>
      <c r="J91" s="29">
        <f>Table2234210234567891112[[#This Row],[mark w]]*E$21+E$22</f>
        <v>10.168118616484055</v>
      </c>
      <c r="K91" s="56">
        <f>Table2234210234567891112[[#This Row],[Yest]]-Table2234210234567891112[[#This Row],[REF]]</f>
        <v>-0.11188108351594472</v>
      </c>
      <c r="L91" s="56">
        <f>ABS(Table2234210234567891112[[#This Row],[RESyx]])</f>
        <v>0.11188108351594472</v>
      </c>
      <c r="M91" s="29">
        <f>Table2234210234567891112[[#This Row],[mark w]]*E$25+E$26</f>
        <v>10.13173173521216</v>
      </c>
      <c r="N91" s="29">
        <f>Table2234210234567891112[[#This Row],[X-Y]]^2</f>
        <v>7.1824160800090339E-2</v>
      </c>
      <c r="O91" s="57">
        <f>Table2234210234567891112[[#This Row],[yest_rect]]-Table2234210234567891112[[#This Row],[REF]]</f>
        <v>-0.14826796478783955</v>
      </c>
      <c r="P91" s="57">
        <f>Table2234210234567891112[[#This Row],[dif rec]]^2</f>
        <v>2.1983389382328026E-2</v>
      </c>
      <c r="Q91" s="57">
        <f>ABS(Table2234210234567891112[[#This Row],[diff-bias]])</f>
        <v>8.8787219999991507E-2</v>
      </c>
      <c r="R91" s="57">
        <f ca="1">CELL("row",Table2234210234567891112[[#This Row],[Position]])</f>
        <v>91</v>
      </c>
      <c r="S91" s="4">
        <f>Table2234210234567891112[[#This Row],[REF]]-D$13</f>
        <v>-0.73000055000000152</v>
      </c>
      <c r="T91" s="4">
        <f>ABS(Table2234210234567891112[[#This Row],[lab-med]])</f>
        <v>0.73000055000000152</v>
      </c>
      <c r="U91" s="4">
        <f>Table2234210234567891112[[#This Row],[mark w]]-F$13</f>
        <v>-0.76900000000000013</v>
      </c>
      <c r="V91" s="4">
        <f>ABS(Table2234210234567891112[[#This Row],[anl-med]])</f>
        <v>0.76900000000000013</v>
      </c>
      <c r="W91" s="4">
        <f>Table2234210234567891112[[#This Row],[lab-med]]*Table2234210234567891112[[#This Row],[anl-med]]</f>
        <v>0.56137042295000128</v>
      </c>
    </row>
    <row r="92" spans="2:23" x14ac:dyDescent="0.25">
      <c r="B92" s="46">
        <f ca="1">VALUE((Table2234210234567891112[[#This Row],[Column3]]-62))</f>
        <v>30</v>
      </c>
      <c r="C92" t="s">
        <v>98</v>
      </c>
      <c r="D92">
        <v>12.21</v>
      </c>
      <c r="E92"/>
      <c r="F92">
        <v>12.183</v>
      </c>
      <c r="G92" s="29">
        <f>Table2234210234567891112[[#This Row],[mark w]]-Table2234210234567891112[[#This Row],[REF]]</f>
        <v>-2.7000000000001023E-2</v>
      </c>
      <c r="H92" s="29">
        <f>Table2234210234567891112[[#This Row],[X-Y]]-E$20</f>
        <v>-0.38378751999999317</v>
      </c>
      <c r="I92" s="29">
        <f>Table2234210234567891112[[#This Row],[mark w]]-E$20</f>
        <v>11.826212480000008</v>
      </c>
      <c r="J92" s="29">
        <f>Table2234210234567891112[[#This Row],[mark w]]*E$21+E$22</f>
        <v>11.844236966509056</v>
      </c>
      <c r="K92" s="56">
        <f>Table2234210234567891112[[#This Row],[Yest]]-Table2234210234567891112[[#This Row],[REF]]</f>
        <v>-0.36576303349094452</v>
      </c>
      <c r="L92" s="56">
        <f>ABS(Table2234210234567891112[[#This Row],[RESyx]])</f>
        <v>0.36576303349094452</v>
      </c>
      <c r="M92" s="29">
        <f>Table2234210234567891112[[#This Row],[mark w]]*E$25+E$26</f>
        <v>11.872636495680021</v>
      </c>
      <c r="N92" s="29">
        <f>Table2234210234567891112[[#This Row],[X-Y]]^2</f>
        <v>7.2900000000005523E-4</v>
      </c>
      <c r="O92" s="57">
        <f>Table2234210234567891112[[#This Row],[yest_rect]]-Table2234210234567891112[[#This Row],[REF]]</f>
        <v>-0.33736350431997941</v>
      </c>
      <c r="P92" s="57">
        <f>Table2234210234567891112[[#This Row],[dif rec]]^2</f>
        <v>0.11381413404705677</v>
      </c>
      <c r="Q92" s="57">
        <f>ABS(Table2234210234567891112[[#This Row],[diff-bias]])</f>
        <v>0.38378751999999317</v>
      </c>
      <c r="R92" s="57">
        <f ca="1">CELL("row",Table2234210234567891112[[#This Row],[Position]])</f>
        <v>92</v>
      </c>
      <c r="S92" s="4">
        <f>Table2234210234567891112[[#This Row],[REF]]-D$13</f>
        <v>1.1999997499999999</v>
      </c>
      <c r="T92" s="4">
        <f>ABS(Table2234210234567891112[[#This Row],[lab-med]])</f>
        <v>1.1999997499999999</v>
      </c>
      <c r="U92" s="4">
        <f>Table2234210234567891112[[#This Row],[mark w]]-F$13</f>
        <v>0.86599999999999966</v>
      </c>
      <c r="V92" s="4">
        <f>ABS(Table2234210234567891112[[#This Row],[anl-med]])</f>
        <v>0.86599999999999966</v>
      </c>
      <c r="W92" s="4">
        <f>Table2234210234567891112[[#This Row],[lab-med]]*Table2234210234567891112[[#This Row],[anl-med]]</f>
        <v>1.0391997834999995</v>
      </c>
    </row>
    <row r="93" spans="2:23" x14ac:dyDescent="0.25">
      <c r="B93" s="46">
        <f ca="1">VALUE((Table2234210234567891112[[#This Row],[Column3]]-62))</f>
        <v>31</v>
      </c>
      <c r="C93" t="s">
        <v>99</v>
      </c>
      <c r="D93">
        <v>11.9399996</v>
      </c>
      <c r="E93"/>
      <c r="F93">
        <v>12.164999999999999</v>
      </c>
      <c r="G93" s="29">
        <f>Table2234210234567891112[[#This Row],[mark w]]-Table2234210234567891112[[#This Row],[REF]]</f>
        <v>0.22500039999999899</v>
      </c>
      <c r="H93" s="29">
        <f>Table2234210234567891112[[#This Row],[X-Y]]-E$20</f>
        <v>-0.13178711999999315</v>
      </c>
      <c r="I93" s="29">
        <f>Table2234210234567891112[[#This Row],[mark w]]-E$20</f>
        <v>11.808212480000007</v>
      </c>
      <c r="J93" s="29">
        <f>Table2234210234567891112[[#This Row],[mark w]]*E$21+E$22</f>
        <v>11.825784287426211</v>
      </c>
      <c r="K93" s="56">
        <f>Table2234210234567891112[[#This Row],[Yest]]-Table2234210234567891112[[#This Row],[REF]]</f>
        <v>-0.11421531257378881</v>
      </c>
      <c r="L93" s="56">
        <f>ABS(Table2234210234567891112[[#This Row],[RESyx]])</f>
        <v>0.11421531257378881</v>
      </c>
      <c r="M93" s="29">
        <f>Table2234210234567891112[[#This Row],[mark w]]*E$25+E$26</f>
        <v>11.853470571711567</v>
      </c>
      <c r="N93" s="29">
        <f>Table2234210234567891112[[#This Row],[X-Y]]^2</f>
        <v>5.0625180000159545E-2</v>
      </c>
      <c r="O93" s="57">
        <f>Table2234210234567891112[[#This Row],[yest_rect]]-Table2234210234567891112[[#This Row],[REF]]</f>
        <v>-8.6529028288433452E-2</v>
      </c>
      <c r="P93" s="57">
        <f>Table2234210234567891112[[#This Row],[dif rec]]^2</f>
        <v>7.4872727365405166E-3</v>
      </c>
      <c r="Q93" s="57">
        <f>ABS(Table2234210234567891112[[#This Row],[diff-bias]])</f>
        <v>0.13178711999999315</v>
      </c>
      <c r="R93" s="57">
        <f ca="1">CELL("row",Table2234210234567891112[[#This Row],[Position]])</f>
        <v>93</v>
      </c>
      <c r="S93" s="4">
        <f>Table2234210234567891112[[#This Row],[REF]]-D$13</f>
        <v>0.92999934999999923</v>
      </c>
      <c r="T93" s="4">
        <f>ABS(Table2234210234567891112[[#This Row],[lab-med]])</f>
        <v>0.92999934999999923</v>
      </c>
      <c r="U93" s="4">
        <f>Table2234210234567891112[[#This Row],[mark w]]-F$13</f>
        <v>0.84799999999999898</v>
      </c>
      <c r="V93" s="4">
        <f>ABS(Table2234210234567891112[[#This Row],[anl-med]])</f>
        <v>0.84799999999999898</v>
      </c>
      <c r="W93" s="4">
        <f>Table2234210234567891112[[#This Row],[lab-med]]*Table2234210234567891112[[#This Row],[anl-med]]</f>
        <v>0.78863944879999837</v>
      </c>
    </row>
    <row r="94" spans="2:23" x14ac:dyDescent="0.25">
      <c r="B94" s="46">
        <f ca="1">VALUE((Table2234210234567891112[[#This Row],[Column3]]-62))</f>
        <v>32</v>
      </c>
      <c r="C94" t="s">
        <v>100</v>
      </c>
      <c r="D94">
        <v>10.3699999</v>
      </c>
      <c r="E94"/>
      <c r="F94">
        <v>10.827</v>
      </c>
      <c r="G94" s="29">
        <f>Table2234210234567891112[[#This Row],[mark w]]-Table2234210234567891112[[#This Row],[REF]]</f>
        <v>0.45700010000000013</v>
      </c>
      <c r="H94" s="29">
        <f>Table2234210234567891112[[#This Row],[X-Y]]-E$20</f>
        <v>0.10021258000000799</v>
      </c>
      <c r="I94" s="29">
        <f>Table2234210234567891112[[#This Row],[mark w]]-E$20</f>
        <v>10.470212480000008</v>
      </c>
      <c r="J94" s="29">
        <f>Table2234210234567891112[[#This Row],[mark w]]*E$21+E$22</f>
        <v>10.454135142268138</v>
      </c>
      <c r="K94" s="56">
        <f>Table2234210234567891112[[#This Row],[Yest]]-Table2234210234567891112[[#This Row],[REF]]</f>
        <v>8.4135242268137844E-2</v>
      </c>
      <c r="L94" s="56">
        <f>ABS(Table2234210234567891112[[#This Row],[RESyx]])</f>
        <v>8.4135242268137844E-2</v>
      </c>
      <c r="M94" s="29">
        <f>Table2234210234567891112[[#This Row],[mark w]]*E$25+E$26</f>
        <v>10.428803556723189</v>
      </c>
      <c r="N94" s="29">
        <f>Table2234210234567891112[[#This Row],[X-Y]]^2</f>
        <v>0.20884909140001012</v>
      </c>
      <c r="O94" s="57">
        <f>Table2234210234567891112[[#This Row],[yest_rect]]-Table2234210234567891112[[#This Row],[REF]]</f>
        <v>5.880365672318888E-2</v>
      </c>
      <c r="P94" s="57">
        <f>Table2234210234567891112[[#This Row],[dif rec]]^2</f>
        <v>3.4578700440186369E-3</v>
      </c>
      <c r="Q94" s="57">
        <f>ABS(Table2234210234567891112[[#This Row],[diff-bias]])</f>
        <v>0.10021258000000799</v>
      </c>
      <c r="R94" s="57">
        <f ca="1">CELL("row",Table2234210234567891112[[#This Row],[Position]])</f>
        <v>94</v>
      </c>
      <c r="S94" s="4">
        <f>Table2234210234567891112[[#This Row],[REF]]-D$13</f>
        <v>-0.64000035000000111</v>
      </c>
      <c r="T94" s="4">
        <f>ABS(Table2234210234567891112[[#This Row],[lab-med]])</f>
        <v>0.64000035000000111</v>
      </c>
      <c r="U94" s="4">
        <f>Table2234210234567891112[[#This Row],[mark w]]-F$13</f>
        <v>-0.49000000000000021</v>
      </c>
      <c r="V94" s="4">
        <f>ABS(Table2234210234567891112[[#This Row],[anl-med]])</f>
        <v>0.49000000000000021</v>
      </c>
      <c r="W94" s="4">
        <f>Table2234210234567891112[[#This Row],[lab-med]]*Table2234210234567891112[[#This Row],[anl-med]]</f>
        <v>0.31360017150000069</v>
      </c>
    </row>
    <row r="95" spans="2:23" x14ac:dyDescent="0.25">
      <c r="B95" s="46">
        <f ca="1">VALUE((Table2234210234567891112[[#This Row],[Column3]]-62))</f>
        <v>33</v>
      </c>
      <c r="C95" t="s">
        <v>101</v>
      </c>
      <c r="D95">
        <v>10.3800001</v>
      </c>
      <c r="E95"/>
      <c r="F95">
        <v>10.776</v>
      </c>
      <c r="G95" s="29">
        <f>Table2234210234567891112[[#This Row],[mark w]]-Table2234210234567891112[[#This Row],[REF]]</f>
        <v>0.39599989999999963</v>
      </c>
      <c r="H95" s="29">
        <f>Table2234210234567891112[[#This Row],[X-Y]]-E$20</f>
        <v>3.9212380000007485E-2</v>
      </c>
      <c r="I95" s="29">
        <f>Table2234210234567891112[[#This Row],[mark w]]-E$20</f>
        <v>10.419212480000008</v>
      </c>
      <c r="J95" s="29">
        <f>Table2234210234567891112[[#This Row],[mark w]]*E$21+E$22</f>
        <v>10.401852551533413</v>
      </c>
      <c r="K95" s="56">
        <f>Table2234210234567891112[[#This Row],[Yest]]-Table2234210234567891112[[#This Row],[REF]]</f>
        <v>2.185245153341242E-2</v>
      </c>
      <c r="L95" s="56">
        <f>ABS(Table2234210234567891112[[#This Row],[RESyx]])</f>
        <v>2.185245153341242E-2</v>
      </c>
      <c r="M95" s="29">
        <f>Table2234210234567891112[[#This Row],[mark w]]*E$25+E$26</f>
        <v>10.374500105479237</v>
      </c>
      <c r="N95" s="29">
        <f>Table2234210234567891112[[#This Row],[X-Y]]^2</f>
        <v>0.15681592080000969</v>
      </c>
      <c r="O95" s="57">
        <f>Table2234210234567891112[[#This Row],[yest_rect]]-Table2234210234567891112[[#This Row],[REF]]</f>
        <v>-5.4999945207629963E-3</v>
      </c>
      <c r="P95" s="57">
        <f>Table2234210234567891112[[#This Row],[dif rec]]^2</f>
        <v>3.0249939728422981E-5</v>
      </c>
      <c r="Q95" s="57">
        <f>ABS(Table2234210234567891112[[#This Row],[diff-bias]])</f>
        <v>3.9212380000007485E-2</v>
      </c>
      <c r="R95" s="57">
        <f ca="1">CELL("row",Table2234210234567891112[[#This Row],[Position]])</f>
        <v>95</v>
      </c>
      <c r="S95" s="4">
        <f>Table2234210234567891112[[#This Row],[REF]]-D$13</f>
        <v>-0.63000015000000076</v>
      </c>
      <c r="T95" s="4">
        <f>ABS(Table2234210234567891112[[#This Row],[lab-med]])</f>
        <v>0.63000015000000076</v>
      </c>
      <c r="U95" s="4">
        <f>Table2234210234567891112[[#This Row],[mark w]]-F$13</f>
        <v>-0.54100000000000037</v>
      </c>
      <c r="V95" s="4">
        <f>ABS(Table2234210234567891112[[#This Row],[anl-med]])</f>
        <v>0.54100000000000037</v>
      </c>
      <c r="W95" s="4">
        <f>Table2234210234567891112[[#This Row],[lab-med]]*Table2234210234567891112[[#This Row],[anl-med]]</f>
        <v>0.34083008115000063</v>
      </c>
    </row>
    <row r="96" spans="2:23" x14ac:dyDescent="0.25">
      <c r="B96" s="46">
        <f ca="1">VALUE((Table2234210234567891112[[#This Row],[Column3]]-62))</f>
        <v>34</v>
      </c>
      <c r="C96" t="s">
        <v>102</v>
      </c>
      <c r="D96">
        <v>9.8800001000000002</v>
      </c>
      <c r="E96"/>
      <c r="F96">
        <v>10.545</v>
      </c>
      <c r="G96" s="29">
        <f>Table2234210234567891112[[#This Row],[mark w]]-Table2234210234567891112[[#This Row],[REF]]</f>
        <v>0.66499989999999976</v>
      </c>
      <c r="H96" s="29">
        <f>Table2234210234567891112[[#This Row],[X-Y]]-E$20</f>
        <v>0.30821238000000761</v>
      </c>
      <c r="I96" s="29">
        <f>Table2234210234567891112[[#This Row],[mark w]]-E$20</f>
        <v>10.188212480000008</v>
      </c>
      <c r="J96" s="29">
        <f>Table2234210234567891112[[#This Row],[mark w]]*E$21+E$22</f>
        <v>10.165043169970247</v>
      </c>
      <c r="K96" s="56">
        <f>Table2234210234567891112[[#This Row],[Yest]]-Table2234210234567891112[[#This Row],[REF]]</f>
        <v>0.28504306997024642</v>
      </c>
      <c r="L96" s="56">
        <f>ABS(Table2234210234567891112[[#This Row],[RESyx]])</f>
        <v>0.28504306997024642</v>
      </c>
      <c r="M96" s="29">
        <f>Table2234210234567891112[[#This Row],[mark w]]*E$25+E$26</f>
        <v>10.128537414550751</v>
      </c>
      <c r="N96" s="29">
        <f>Table2234210234567891112[[#This Row],[X-Y]]^2</f>
        <v>0.44222486700000968</v>
      </c>
      <c r="O96" s="57">
        <f>Table2234210234567891112[[#This Row],[yest_rect]]-Table2234210234567891112[[#This Row],[REF]]</f>
        <v>0.24853731455075057</v>
      </c>
      <c r="P96" s="57">
        <f>Table2234210234567891112[[#This Row],[dif rec]]^2</f>
        <v>6.1770796724098728E-2</v>
      </c>
      <c r="Q96" s="57">
        <f>ABS(Table2234210234567891112[[#This Row],[diff-bias]])</f>
        <v>0.30821238000000761</v>
      </c>
      <c r="R96" s="57">
        <f ca="1">CELL("row",Table2234210234567891112[[#This Row],[Position]])</f>
        <v>96</v>
      </c>
      <c r="S96" s="4">
        <f>Table2234210234567891112[[#This Row],[REF]]-D$13</f>
        <v>-1.1300001500000008</v>
      </c>
      <c r="T96" s="4">
        <f>ABS(Table2234210234567891112[[#This Row],[lab-med]])</f>
        <v>1.1300001500000008</v>
      </c>
      <c r="U96" s="4">
        <f>Table2234210234567891112[[#This Row],[mark w]]-F$13</f>
        <v>-0.77200000000000024</v>
      </c>
      <c r="V96" s="4">
        <f>ABS(Table2234210234567891112[[#This Row],[anl-med]])</f>
        <v>0.77200000000000024</v>
      </c>
      <c r="W96" s="4">
        <f>Table2234210234567891112[[#This Row],[lab-med]]*Table2234210234567891112[[#This Row],[anl-med]]</f>
        <v>0.87236011580000083</v>
      </c>
    </row>
    <row r="97" spans="2:23" x14ac:dyDescent="0.25">
      <c r="B97" s="46">
        <f ca="1">VALUE((Table2234210234567891112[[#This Row],[Column3]]-62))</f>
        <v>35</v>
      </c>
      <c r="C97" t="s">
        <v>103</v>
      </c>
      <c r="D97">
        <v>12.079999900000001</v>
      </c>
      <c r="E97"/>
      <c r="F97">
        <v>12.316000000000001</v>
      </c>
      <c r="G97" s="29">
        <f>Table2234210234567891112[[#This Row],[mark w]]-Table2234210234567891112[[#This Row],[REF]]</f>
        <v>0.23600010000000005</v>
      </c>
      <c r="H97" s="29">
        <f>Table2234210234567891112[[#This Row],[X-Y]]-E$20</f>
        <v>-0.1207874199999921</v>
      </c>
      <c r="I97" s="29">
        <f>Table2234210234567891112[[#This Row],[mark w]]-E$20</f>
        <v>11.959212480000009</v>
      </c>
      <c r="J97" s="29">
        <f>Table2234210234567891112[[#This Row],[mark w]]*E$21+E$22</f>
        <v>11.980581761954516</v>
      </c>
      <c r="K97" s="56">
        <f>Table2234210234567891112[[#This Row],[Yest]]-Table2234210234567891112[[#This Row],[REF]]</f>
        <v>-9.9418138045484383E-2</v>
      </c>
      <c r="L97" s="56">
        <f>ABS(Table2234210234567891112[[#This Row],[RESyx]])</f>
        <v>9.9418138045484383E-2</v>
      </c>
      <c r="M97" s="29">
        <f>Table2234210234567891112[[#This Row],[mark w]]*E$25+E$26</f>
        <v>12.014251378335818</v>
      </c>
      <c r="N97" s="29">
        <f>Table2234210234567891112[[#This Row],[X-Y]]^2</f>
        <v>5.5696047200010021E-2</v>
      </c>
      <c r="O97" s="57">
        <f>Table2234210234567891112[[#This Row],[yest_rect]]-Table2234210234567891112[[#This Row],[REF]]</f>
        <v>-6.5748521664183102E-2</v>
      </c>
      <c r="P97" s="57">
        <f>Table2234210234567891112[[#This Row],[dif rec]]^2</f>
        <v>4.3228681010255548E-3</v>
      </c>
      <c r="Q97" s="57">
        <f>ABS(Table2234210234567891112[[#This Row],[diff-bias]])</f>
        <v>0.1207874199999921</v>
      </c>
      <c r="R97" s="57">
        <f ca="1">CELL("row",Table2234210234567891112[[#This Row],[Position]])</f>
        <v>97</v>
      </c>
      <c r="S97" s="4">
        <f>Table2234210234567891112[[#This Row],[REF]]-D$13</f>
        <v>1.0699996499999997</v>
      </c>
      <c r="T97" s="4">
        <f>ABS(Table2234210234567891112[[#This Row],[lab-med]])</f>
        <v>1.0699996499999997</v>
      </c>
      <c r="U97" s="4">
        <f>Table2234210234567891112[[#This Row],[mark w]]-F$13</f>
        <v>0.99900000000000055</v>
      </c>
      <c r="V97" s="4">
        <f>ABS(Table2234210234567891112[[#This Row],[anl-med]])</f>
        <v>0.99900000000000055</v>
      </c>
      <c r="W97" s="4">
        <f>Table2234210234567891112[[#This Row],[lab-med]]*Table2234210234567891112[[#This Row],[anl-med]]</f>
        <v>1.0689296503500003</v>
      </c>
    </row>
    <row r="98" spans="2:23" x14ac:dyDescent="0.25">
      <c r="B98" s="46">
        <f ca="1">VALUE((Table2234210234567891112[[#This Row],[Column3]]-62))</f>
        <v>36</v>
      </c>
      <c r="C98" t="s">
        <v>104</v>
      </c>
      <c r="D98">
        <v>9.0799999000000007</v>
      </c>
      <c r="E98"/>
      <c r="F98">
        <v>9.4019999999999992</v>
      </c>
      <c r="G98" s="29">
        <f>Table2234210234567891112[[#This Row],[mark w]]-Table2234210234567891112[[#This Row],[REF]]</f>
        <v>0.32200009999999857</v>
      </c>
      <c r="H98" s="29">
        <f>Table2234210234567891112[[#This Row],[X-Y]]-E$20</f>
        <v>-3.4787419999993574E-2</v>
      </c>
      <c r="I98" s="29">
        <f>Table2234210234567891112[[#This Row],[mark w]]-E$20</f>
        <v>9.0452124800000071</v>
      </c>
      <c r="J98" s="29">
        <f>Table2234210234567891112[[#This Row],[mark w]]*E$21+E$22</f>
        <v>8.9932980482096472</v>
      </c>
      <c r="K98" s="56">
        <f>Table2234210234567891112[[#This Row],[Yest]]-Table2234210234567891112[[#This Row],[REF]]</f>
        <v>-8.6701851790353501E-2</v>
      </c>
      <c r="L98" s="56">
        <f>ABS(Table2234210234567891112[[#This Row],[RESyx]])</f>
        <v>8.6701851790353501E-2</v>
      </c>
      <c r="M98" s="29">
        <f>Table2234210234567891112[[#This Row],[mark w]]*E$25+E$26</f>
        <v>8.9115012425539515</v>
      </c>
      <c r="N98" s="29">
        <f>Table2234210234567891112[[#This Row],[X-Y]]^2</f>
        <v>0.10368406440000907</v>
      </c>
      <c r="O98" s="57">
        <f>Table2234210234567891112[[#This Row],[yest_rect]]-Table2234210234567891112[[#This Row],[REF]]</f>
        <v>-0.16849865744604919</v>
      </c>
      <c r="P98" s="57">
        <f>Table2234210234567891112[[#This Row],[dif rec]]^2</f>
        <v>2.8391797561121028E-2</v>
      </c>
      <c r="Q98" s="57">
        <f>ABS(Table2234210234567891112[[#This Row],[diff-bias]])</f>
        <v>3.4787419999993574E-2</v>
      </c>
      <c r="R98" s="57">
        <f ca="1">CELL("row",Table2234210234567891112[[#This Row],[Position]])</f>
        <v>98</v>
      </c>
      <c r="S98" s="4">
        <f>Table2234210234567891112[[#This Row],[REF]]-D$13</f>
        <v>-1.9300003500000003</v>
      </c>
      <c r="T98" s="4">
        <f>ABS(Table2234210234567891112[[#This Row],[lab-med]])</f>
        <v>1.9300003500000003</v>
      </c>
      <c r="U98" s="4">
        <f>Table2234210234567891112[[#This Row],[mark w]]-F$13</f>
        <v>-1.9150000000000009</v>
      </c>
      <c r="V98" s="4">
        <f>ABS(Table2234210234567891112[[#This Row],[anl-med]])</f>
        <v>1.9150000000000009</v>
      </c>
      <c r="W98" s="4">
        <f>Table2234210234567891112[[#This Row],[lab-med]]*Table2234210234567891112[[#This Row],[anl-med]]</f>
        <v>3.6959506702500025</v>
      </c>
    </row>
    <row r="99" spans="2:23" x14ac:dyDescent="0.25">
      <c r="B99" s="46">
        <f ca="1">VALUE((Table2234210234567891112[[#This Row],[Column3]]-62))</f>
        <v>37</v>
      </c>
      <c r="C99" t="s">
        <v>105</v>
      </c>
      <c r="D99">
        <v>10.800000199999999</v>
      </c>
      <c r="E99"/>
      <c r="F99">
        <v>11.262</v>
      </c>
      <c r="G99" s="29">
        <f>Table2234210234567891112[[#This Row],[mark w]]-Table2234210234567891112[[#This Row],[REF]]</f>
        <v>0.46199980000000096</v>
      </c>
      <c r="H99" s="29">
        <f>Table2234210234567891112[[#This Row],[X-Y]]-E$20</f>
        <v>0.10521228000000882</v>
      </c>
      <c r="I99" s="29">
        <f>Table2234210234567891112[[#This Row],[mark w]]-E$20</f>
        <v>10.905212480000008</v>
      </c>
      <c r="J99" s="29">
        <f>Table2234210234567891112[[#This Row],[mark w]]*E$21+E$22</f>
        <v>10.900074886770202</v>
      </c>
      <c r="K99" s="56">
        <f>Table2234210234567891112[[#This Row],[Yest]]-Table2234210234567891112[[#This Row],[REF]]</f>
        <v>0.1000746867702027</v>
      </c>
      <c r="L99" s="56">
        <f>ABS(Table2234210234567891112[[#This Row],[RESyx]])</f>
        <v>0.1000746867702027</v>
      </c>
      <c r="M99" s="29">
        <f>Table2234210234567891112[[#This Row],[mark w]]*E$25+E$26</f>
        <v>10.891980052627483</v>
      </c>
      <c r="N99" s="29">
        <f>Table2234210234567891112[[#This Row],[X-Y]]^2</f>
        <v>0.21344381520004088</v>
      </c>
      <c r="O99" s="57">
        <f>Table2234210234567891112[[#This Row],[yest_rect]]-Table2234210234567891112[[#This Row],[REF]]</f>
        <v>9.1979852627483538E-2</v>
      </c>
      <c r="P99" s="57">
        <f>Table2234210234567891112[[#This Row],[dif rec]]^2</f>
        <v>8.46029328937359E-3</v>
      </c>
      <c r="Q99" s="57">
        <f>ABS(Table2234210234567891112[[#This Row],[diff-bias]])</f>
        <v>0.10521228000000882</v>
      </c>
      <c r="R99" s="57">
        <f ca="1">CELL("row",Table2234210234567891112[[#This Row],[Position]])</f>
        <v>99</v>
      </c>
      <c r="S99" s="4">
        <f>Table2234210234567891112[[#This Row],[REF]]-D$13</f>
        <v>-0.21000005000000144</v>
      </c>
      <c r="T99" s="4">
        <f>ABS(Table2234210234567891112[[#This Row],[lab-med]])</f>
        <v>0.21000005000000144</v>
      </c>
      <c r="U99" s="4">
        <f>Table2234210234567891112[[#This Row],[mark w]]-F$13</f>
        <v>-5.4999999999999716E-2</v>
      </c>
      <c r="V99" s="4">
        <f>ABS(Table2234210234567891112[[#This Row],[anl-med]])</f>
        <v>5.4999999999999716E-2</v>
      </c>
      <c r="W99" s="4">
        <f>Table2234210234567891112[[#This Row],[lab-med]]*Table2234210234567891112[[#This Row],[anl-med]]</f>
        <v>1.1550002750000019E-2</v>
      </c>
    </row>
    <row r="100" spans="2:23" x14ac:dyDescent="0.25">
      <c r="B100" s="46">
        <f ca="1">VALUE((Table2234210234567891112[[#This Row],[Column3]]-62))</f>
        <v>38</v>
      </c>
      <c r="C100" t="s">
        <v>106</v>
      </c>
      <c r="D100">
        <v>9.3599996999999995</v>
      </c>
      <c r="E100"/>
      <c r="F100">
        <v>9.6010000000000009</v>
      </c>
      <c r="G100" s="29">
        <f>Table2234210234567891112[[#This Row],[mark w]]-Table2234210234567891112[[#This Row],[REF]]</f>
        <v>0.24100030000000139</v>
      </c>
      <c r="H100" s="29">
        <f>Table2234210234567891112[[#This Row],[X-Y]]-E$20</f>
        <v>-0.11578721999999075</v>
      </c>
      <c r="I100" s="29">
        <f>Table2234210234567891112[[#This Row],[mark w]]-E$20</f>
        <v>9.2442124800000087</v>
      </c>
      <c r="J100" s="29">
        <f>Table2234210234567891112[[#This Row],[mark w]]*E$21+E$22</f>
        <v>9.1973026669588709</v>
      </c>
      <c r="K100" s="56">
        <f>Table2234210234567891112[[#This Row],[Yest]]-Table2234210234567891112[[#This Row],[REF]]</f>
        <v>-0.16269703304112859</v>
      </c>
      <c r="L100" s="56">
        <f>ABS(Table2234210234567891112[[#This Row],[RESyx]])</f>
        <v>0.16269703304112859</v>
      </c>
      <c r="M100" s="29">
        <f>Table2234210234567891112[[#This Row],[mark w]]*E$25+E$26</f>
        <v>9.1233911797607448</v>
      </c>
      <c r="N100" s="29">
        <f>Table2234210234567891112[[#This Row],[X-Y]]^2</f>
        <v>5.8081144600090666E-2</v>
      </c>
      <c r="O100" s="57">
        <f>Table2234210234567891112[[#This Row],[yest_rect]]-Table2234210234567891112[[#This Row],[REF]]</f>
        <v>-0.23660852023925472</v>
      </c>
      <c r="P100" s="57">
        <f>Table2234210234567891112[[#This Row],[dif rec]]^2</f>
        <v>5.5983591849809812E-2</v>
      </c>
      <c r="Q100" s="57">
        <f>ABS(Table2234210234567891112[[#This Row],[diff-bias]])</f>
        <v>0.11578721999999075</v>
      </c>
      <c r="R100" s="57">
        <f ca="1">CELL("row",Table2234210234567891112[[#This Row],[Position]])</f>
        <v>100</v>
      </c>
      <c r="S100" s="4">
        <f>Table2234210234567891112[[#This Row],[REF]]-D$13</f>
        <v>-1.6500005500000015</v>
      </c>
      <c r="T100" s="4">
        <f>ABS(Table2234210234567891112[[#This Row],[lab-med]])</f>
        <v>1.6500005500000015</v>
      </c>
      <c r="U100" s="4">
        <f>Table2234210234567891112[[#This Row],[mark w]]-F$13</f>
        <v>-1.7159999999999993</v>
      </c>
      <c r="V100" s="4">
        <f>ABS(Table2234210234567891112[[#This Row],[anl-med]])</f>
        <v>1.7159999999999993</v>
      </c>
      <c r="W100" s="4">
        <f>Table2234210234567891112[[#This Row],[lab-med]]*Table2234210234567891112[[#This Row],[anl-med]]</f>
        <v>2.8314009438000012</v>
      </c>
    </row>
    <row r="101" spans="2:23" x14ac:dyDescent="0.25">
      <c r="B101" s="46">
        <f ca="1">VALUE((Table2234210234567891112[[#This Row],[Column3]]-62))</f>
        <v>39</v>
      </c>
      <c r="C101" t="s">
        <v>107</v>
      </c>
      <c r="D101">
        <v>12.449999800000001</v>
      </c>
      <c r="E101"/>
      <c r="F101">
        <v>12.662000000000001</v>
      </c>
      <c r="G101" s="29">
        <f>Table2234210234567891112[[#This Row],[mark w]]-Table2234210234567891112[[#This Row],[REF]]</f>
        <v>0.21200020000000031</v>
      </c>
      <c r="H101" s="29">
        <f>Table2234210234567891112[[#This Row],[X-Y]]-E$20</f>
        <v>-0.14478731999999184</v>
      </c>
      <c r="I101" s="29">
        <f>Table2234210234567891112[[#This Row],[mark w]]-E$20</f>
        <v>12.305212480000009</v>
      </c>
      <c r="J101" s="29">
        <f>Table2234210234567891112[[#This Row],[mark w]]*E$21+E$22</f>
        <v>12.335283259880296</v>
      </c>
      <c r="K101" s="56">
        <f>Table2234210234567891112[[#This Row],[Yest]]-Table2234210234567891112[[#This Row],[REF]]</f>
        <v>-0.114716540119705</v>
      </c>
      <c r="L101" s="56">
        <f>ABS(Table2234210234567891112[[#This Row],[RESyx]])</f>
        <v>0.114716540119705</v>
      </c>
      <c r="M101" s="29">
        <f>Table2234210234567891112[[#This Row],[mark w]]*E$25+E$26</f>
        <v>12.382663027951647</v>
      </c>
      <c r="N101" s="29">
        <f>Table2234210234567891112[[#This Row],[X-Y]]^2</f>
        <v>4.4944084800040127E-2</v>
      </c>
      <c r="O101" s="57">
        <f>Table2234210234567891112[[#This Row],[yest_rect]]-Table2234210234567891112[[#This Row],[REF]]</f>
        <v>-6.7336772048353311E-2</v>
      </c>
      <c r="P101" s="57">
        <f>Table2234210234567891112[[#This Row],[dif rec]]^2</f>
        <v>4.5342408698918956E-3</v>
      </c>
      <c r="Q101" s="57">
        <f>ABS(Table2234210234567891112[[#This Row],[diff-bias]])</f>
        <v>0.14478731999999184</v>
      </c>
      <c r="R101" s="57">
        <f ca="1">CELL("row",Table2234210234567891112[[#This Row],[Position]])</f>
        <v>101</v>
      </c>
      <c r="S101" s="4">
        <f>Table2234210234567891112[[#This Row],[REF]]-D$13</f>
        <v>1.4399995499999996</v>
      </c>
      <c r="T101" s="4">
        <f>ABS(Table2234210234567891112[[#This Row],[lab-med]])</f>
        <v>1.4399995499999996</v>
      </c>
      <c r="U101" s="4">
        <f>Table2234210234567891112[[#This Row],[mark w]]-F$13</f>
        <v>1.3450000000000006</v>
      </c>
      <c r="V101" s="4">
        <f>ABS(Table2234210234567891112[[#This Row],[anl-med]])</f>
        <v>1.3450000000000006</v>
      </c>
      <c r="W101" s="4">
        <f>Table2234210234567891112[[#This Row],[lab-med]]*Table2234210234567891112[[#This Row],[anl-med]]</f>
        <v>1.9367993947500004</v>
      </c>
    </row>
    <row r="102" spans="2:23" x14ac:dyDescent="0.25">
      <c r="B102" s="46">
        <f ca="1">VALUE((Table2234210234567891112[[#This Row],[Column3]]-62))</f>
        <v>40</v>
      </c>
      <c r="C102" t="s">
        <v>108</v>
      </c>
      <c r="D102">
        <v>10.920000099999999</v>
      </c>
      <c r="E102"/>
      <c r="F102">
        <v>11.420999999999999</v>
      </c>
      <c r="G102" s="29">
        <f>Table2234210234567891112[[#This Row],[mark w]]-Table2234210234567891112[[#This Row],[REF]]</f>
        <v>0.50099990000000005</v>
      </c>
      <c r="H102" s="29">
        <f>Table2234210234567891112[[#This Row],[X-Y]]-E$20</f>
        <v>0.14421238000000791</v>
      </c>
      <c r="I102" s="29">
        <f>Table2234210234567891112[[#This Row],[mark w]]-E$20</f>
        <v>11.064212480000007</v>
      </c>
      <c r="J102" s="29">
        <f>Table2234210234567891112[[#This Row],[mark w]]*E$21+E$22</f>
        <v>11.06307355200199</v>
      </c>
      <c r="K102" s="56">
        <f>Table2234210234567891112[[#This Row],[Yest]]-Table2234210234567891112[[#This Row],[REF]]</f>
        <v>0.14307345200199073</v>
      </c>
      <c r="L102" s="56">
        <f>ABS(Table2234210234567891112[[#This Row],[RESyx]])</f>
        <v>0.14307345200199073</v>
      </c>
      <c r="M102" s="29">
        <f>Table2234210234567891112[[#This Row],[mark w]]*E$25+E$26</f>
        <v>11.061279047682156</v>
      </c>
      <c r="N102" s="29">
        <f>Table2234210234567891112[[#This Row],[X-Y]]^2</f>
        <v>0.25100089980001006</v>
      </c>
      <c r="O102" s="57">
        <f>Table2234210234567891112[[#This Row],[yest_rect]]-Table2234210234567891112[[#This Row],[REF]]</f>
        <v>0.14127894768215654</v>
      </c>
      <c r="P102" s="57">
        <f>Table2234210234567891112[[#This Row],[dif rec]]^2</f>
        <v>1.9959741058177525E-2</v>
      </c>
      <c r="Q102" s="57">
        <f>ABS(Table2234210234567891112[[#This Row],[diff-bias]])</f>
        <v>0.14421238000000791</v>
      </c>
      <c r="R102" s="57">
        <f ca="1">CELL("row",Table2234210234567891112[[#This Row],[Position]])</f>
        <v>102</v>
      </c>
      <c r="S102" s="4">
        <f>Table2234210234567891112[[#This Row],[REF]]-D$13</f>
        <v>-9.0000150000001611E-2</v>
      </c>
      <c r="T102" s="4">
        <f>ABS(Table2234210234567891112[[#This Row],[lab-med]])</f>
        <v>9.0000150000001611E-2</v>
      </c>
      <c r="U102" s="4">
        <f>Table2234210234567891112[[#This Row],[mark w]]-F$13</f>
        <v>0.1039999999999992</v>
      </c>
      <c r="V102" s="4">
        <f>ABS(Table2234210234567891112[[#This Row],[anl-med]])</f>
        <v>0.1039999999999992</v>
      </c>
      <c r="W102" s="4">
        <f>Table2234210234567891112[[#This Row],[lab-med]]*Table2234210234567891112[[#This Row],[anl-med]]</f>
        <v>-9.3600156000000958E-3</v>
      </c>
    </row>
    <row r="103" spans="2:23" x14ac:dyDescent="0.25">
      <c r="B103" s="46">
        <f ca="1">VALUE((Table2234210234567891112[[#This Row],[Column3]]-62))</f>
        <v>41</v>
      </c>
      <c r="C103" t="s">
        <v>109</v>
      </c>
      <c r="D103">
        <v>10.949999800000001</v>
      </c>
      <c r="E103"/>
      <c r="F103">
        <v>10.775</v>
      </c>
      <c r="G103" s="29">
        <f>Table2234210234567891112[[#This Row],[mark w]]-Table2234210234567891112[[#This Row],[REF]]</f>
        <v>-0.17499980000000015</v>
      </c>
      <c r="H103" s="29">
        <f>Table2234210234567891112[[#This Row],[X-Y]]-E$20</f>
        <v>-0.53178731999999229</v>
      </c>
      <c r="I103" s="29">
        <f>Table2234210234567891112[[#This Row],[mark w]]-E$20</f>
        <v>10.418212480000008</v>
      </c>
      <c r="J103" s="29">
        <f>Table2234210234567891112[[#This Row],[mark w]]*E$21+E$22</f>
        <v>10.400827402695477</v>
      </c>
      <c r="K103" s="56">
        <f>Table2234210234567891112[[#This Row],[Yest]]-Table2234210234567891112[[#This Row],[REF]]</f>
        <v>-0.54917239730452394</v>
      </c>
      <c r="L103" s="56">
        <f>ABS(Table2234210234567891112[[#This Row],[RESyx]])</f>
        <v>0.54917239730452394</v>
      </c>
      <c r="M103" s="29">
        <f>Table2234210234567891112[[#This Row],[mark w]]*E$25+E$26</f>
        <v>10.373435331925435</v>
      </c>
      <c r="N103" s="29">
        <f>Table2234210234567891112[[#This Row],[X-Y]]^2</f>
        <v>3.0624930000040053E-2</v>
      </c>
      <c r="O103" s="57">
        <f>Table2234210234567891112[[#This Row],[yest_rect]]-Table2234210234567891112[[#This Row],[REF]]</f>
        <v>-0.57656446807456518</v>
      </c>
      <c r="P103" s="57">
        <f>Table2234210234567891112[[#This Row],[dif rec]]^2</f>
        <v>0.33242658584610629</v>
      </c>
      <c r="Q103" s="57">
        <f>ABS(Table2234210234567891112[[#This Row],[diff-bias]])</f>
        <v>0.53178731999999229</v>
      </c>
      <c r="R103" s="57">
        <f ca="1">CELL("row",Table2234210234567891112[[#This Row],[Position]])</f>
        <v>103</v>
      </c>
      <c r="S103" s="4">
        <f>Table2234210234567891112[[#This Row],[REF]]-D$13</f>
        <v>-6.0000450000000427E-2</v>
      </c>
      <c r="T103" s="4">
        <f>ABS(Table2234210234567891112[[#This Row],[lab-med]])</f>
        <v>6.0000450000000427E-2</v>
      </c>
      <c r="U103" s="4">
        <f>Table2234210234567891112[[#This Row],[mark w]]-F$13</f>
        <v>-0.54199999999999982</v>
      </c>
      <c r="V103" s="4">
        <f>ABS(Table2234210234567891112[[#This Row],[anl-med]])</f>
        <v>0.54199999999999982</v>
      </c>
      <c r="W103" s="4">
        <f>Table2234210234567891112[[#This Row],[lab-med]]*Table2234210234567891112[[#This Row],[anl-med]]</f>
        <v>3.2520243900000217E-2</v>
      </c>
    </row>
    <row r="104" spans="2:23" x14ac:dyDescent="0.25">
      <c r="B104" s="46">
        <f ca="1">VALUE((Table2234210234567891112[[#This Row],[Column3]]-62))</f>
        <v>42</v>
      </c>
      <c r="C104" t="s">
        <v>110</v>
      </c>
      <c r="D104">
        <v>10.9899998</v>
      </c>
      <c r="E104"/>
      <c r="F104">
        <v>11.254</v>
      </c>
      <c r="G104" s="29">
        <f>Table2234210234567891112[[#This Row],[mark w]]-Table2234210234567891112[[#This Row],[REF]]</f>
        <v>0.26400019999999991</v>
      </c>
      <c r="H104" s="29">
        <f>Table2234210234567891112[[#This Row],[X-Y]]-E$20</f>
        <v>-9.2787319999992235E-2</v>
      </c>
      <c r="I104" s="29">
        <f>Table2234210234567891112[[#This Row],[mark w]]-E$20</f>
        <v>10.897212480000007</v>
      </c>
      <c r="J104" s="29">
        <f>Table2234210234567891112[[#This Row],[mark w]]*E$21+E$22</f>
        <v>10.891873696066716</v>
      </c>
      <c r="K104" s="56">
        <f>Table2234210234567891112[[#This Row],[Yest]]-Table2234210234567891112[[#This Row],[REF]]</f>
        <v>-9.8126103933283915E-2</v>
      </c>
      <c r="L104" s="56">
        <f>ABS(Table2234210234567891112[[#This Row],[RESyx]])</f>
        <v>9.8126103933283915E-2</v>
      </c>
      <c r="M104" s="29">
        <f>Table2234210234567891112[[#This Row],[mark w]]*E$25+E$26</f>
        <v>10.883461864197059</v>
      </c>
      <c r="N104" s="29">
        <f>Table2234210234567891112[[#This Row],[X-Y]]^2</f>
        <v>6.9696105600039956E-2</v>
      </c>
      <c r="O104" s="57">
        <f>Table2234210234567891112[[#This Row],[yest_rect]]-Table2234210234567891112[[#This Row],[REF]]</f>
        <v>-0.10653793580294035</v>
      </c>
      <c r="P104" s="57">
        <f>Table2234210234567891112[[#This Row],[dif rec]]^2</f>
        <v>1.135033176515144E-2</v>
      </c>
      <c r="Q104" s="57">
        <f>ABS(Table2234210234567891112[[#This Row],[diff-bias]])</f>
        <v>9.2787319999992235E-2</v>
      </c>
      <c r="R104" s="57">
        <f ca="1">CELL("row",Table2234210234567891112[[#This Row],[Position]])</f>
        <v>104</v>
      </c>
      <c r="S104" s="4">
        <f>Table2234210234567891112[[#This Row],[REF]]-D$13</f>
        <v>-2.000045000000128E-2</v>
      </c>
      <c r="T104" s="4">
        <f>ABS(Table2234210234567891112[[#This Row],[lab-med]])</f>
        <v>2.000045000000128E-2</v>
      </c>
      <c r="U104" s="4">
        <f>Table2234210234567891112[[#This Row],[mark w]]-F$13</f>
        <v>-6.3000000000000611E-2</v>
      </c>
      <c r="V104" s="4">
        <f>ABS(Table2234210234567891112[[#This Row],[anl-med]])</f>
        <v>6.3000000000000611E-2</v>
      </c>
      <c r="W104" s="4">
        <f>Table2234210234567891112[[#This Row],[lab-med]]*Table2234210234567891112[[#This Row],[anl-med]]</f>
        <v>1.2600283500000928E-3</v>
      </c>
    </row>
    <row r="105" spans="2:23" x14ac:dyDescent="0.25">
      <c r="B105" s="46">
        <f ca="1">VALUE((Table2234210234567891112[[#This Row],[Column3]]-62))</f>
        <v>43</v>
      </c>
      <c r="C105" t="s">
        <v>111</v>
      </c>
      <c r="D105">
        <v>11</v>
      </c>
      <c r="E105"/>
      <c r="F105">
        <v>11.657999999999999</v>
      </c>
      <c r="G105" s="29">
        <f>Table2234210234567891112[[#This Row],[mark w]]-Table2234210234567891112[[#This Row],[REF]]</f>
        <v>0.65799999999999947</v>
      </c>
      <c r="H105" s="29">
        <f>Table2234210234567891112[[#This Row],[X-Y]]-E$20</f>
        <v>0.30121248000000733</v>
      </c>
      <c r="I105" s="29">
        <f>Table2234210234567891112[[#This Row],[mark w]]-E$20</f>
        <v>11.301212480000007</v>
      </c>
      <c r="J105" s="29">
        <f>Table2234210234567891112[[#This Row],[mark w]]*E$21+E$22</f>
        <v>11.30603382659277</v>
      </c>
      <c r="K105" s="56">
        <f>Table2234210234567891112[[#This Row],[Yest]]-Table2234210234567891112[[#This Row],[REF]]</f>
        <v>0.30603382659277045</v>
      </c>
      <c r="L105" s="56">
        <f>ABS(Table2234210234567891112[[#This Row],[RESyx]])</f>
        <v>0.30603382659277045</v>
      </c>
      <c r="M105" s="29">
        <f>Table2234210234567891112[[#This Row],[mark w]]*E$25+E$26</f>
        <v>11.313630379933461</v>
      </c>
      <c r="N105" s="29">
        <f>Table2234210234567891112[[#This Row],[X-Y]]^2</f>
        <v>0.43296399999999929</v>
      </c>
      <c r="O105" s="57">
        <f>Table2234210234567891112[[#This Row],[yest_rect]]-Table2234210234567891112[[#This Row],[REF]]</f>
        <v>0.31363037993346055</v>
      </c>
      <c r="P105" s="57">
        <f>Table2234210234567891112[[#This Row],[dif rec]]^2</f>
        <v>9.8364015217206807E-2</v>
      </c>
      <c r="Q105" s="57">
        <f>ABS(Table2234210234567891112[[#This Row],[diff-bias]])</f>
        <v>0.30121248000000733</v>
      </c>
      <c r="R105" s="57">
        <f ca="1">CELL("row",Table2234210234567891112[[#This Row],[Position]])</f>
        <v>105</v>
      </c>
      <c r="S105" s="4">
        <f>Table2234210234567891112[[#This Row],[REF]]-D$13</f>
        <v>-1.0000250000000932E-2</v>
      </c>
      <c r="T105" s="4">
        <f>ABS(Table2234210234567891112[[#This Row],[lab-med]])</f>
        <v>1.0000250000000932E-2</v>
      </c>
      <c r="U105" s="4">
        <f>Table2234210234567891112[[#This Row],[mark w]]-F$13</f>
        <v>0.3409999999999993</v>
      </c>
      <c r="V105" s="4">
        <f>ABS(Table2234210234567891112[[#This Row],[anl-med]])</f>
        <v>0.3409999999999993</v>
      </c>
      <c r="W105" s="4">
        <f>Table2234210234567891112[[#This Row],[lab-med]]*Table2234210234567891112[[#This Row],[anl-med]]</f>
        <v>-3.410085250000311E-3</v>
      </c>
    </row>
    <row r="106" spans="2:23" x14ac:dyDescent="0.25">
      <c r="B106" s="46">
        <f ca="1">VALUE((Table2234210234567891112[[#This Row],[Column3]]-62))</f>
        <v>44</v>
      </c>
      <c r="C106" t="s">
        <v>112</v>
      </c>
      <c r="D106">
        <v>9.9700003000000006</v>
      </c>
      <c r="E106"/>
      <c r="F106">
        <v>10.073</v>
      </c>
      <c r="G106" s="29">
        <f>Table2234210234567891112[[#This Row],[mark w]]-Table2234210234567891112[[#This Row],[REF]]</f>
        <v>0.10299969999999981</v>
      </c>
      <c r="H106" s="29">
        <f>Table2234210234567891112[[#This Row],[X-Y]]-E$20</f>
        <v>-0.25378781999999234</v>
      </c>
      <c r="I106" s="29">
        <f>Table2234210234567891112[[#This Row],[mark w]]-E$20</f>
        <v>9.7162124800000083</v>
      </c>
      <c r="J106" s="29">
        <f>Table2234210234567891112[[#This Row],[mark w]]*E$21+E$22</f>
        <v>9.6811729184645579</v>
      </c>
      <c r="K106" s="56">
        <f>Table2234210234567891112[[#This Row],[Yest]]-Table2234210234567891112[[#This Row],[REF]]</f>
        <v>-0.28882738153544274</v>
      </c>
      <c r="L106" s="56">
        <f>ABS(Table2234210234567891112[[#This Row],[RESyx]])</f>
        <v>0.28882738153544274</v>
      </c>
      <c r="M106" s="29">
        <f>Table2234210234567891112[[#This Row],[mark w]]*E$25+E$26</f>
        <v>9.6259642971557486</v>
      </c>
      <c r="N106" s="29">
        <f>Table2234210234567891112[[#This Row],[X-Y]]^2</f>
        <v>1.060893820008996E-2</v>
      </c>
      <c r="O106" s="57">
        <f>Table2234210234567891112[[#This Row],[yest_rect]]-Table2234210234567891112[[#This Row],[REF]]</f>
        <v>-0.34403600284425195</v>
      </c>
      <c r="P106" s="57">
        <f>Table2234210234567891112[[#This Row],[dif rec]]^2</f>
        <v>0.11836077125305014</v>
      </c>
      <c r="Q106" s="57">
        <f>ABS(Table2234210234567891112[[#This Row],[diff-bias]])</f>
        <v>0.25378781999999234</v>
      </c>
      <c r="R106" s="57">
        <f ca="1">CELL("row",Table2234210234567891112[[#This Row],[Position]])</f>
        <v>106</v>
      </c>
      <c r="S106" s="4">
        <f>Table2234210234567891112[[#This Row],[REF]]-D$13</f>
        <v>-1.0399999500000003</v>
      </c>
      <c r="T106" s="4">
        <f>ABS(Table2234210234567891112[[#This Row],[lab-med]])</f>
        <v>1.0399999500000003</v>
      </c>
      <c r="U106" s="4">
        <f>Table2234210234567891112[[#This Row],[mark w]]-F$13</f>
        <v>-1.2439999999999998</v>
      </c>
      <c r="V106" s="4">
        <f>ABS(Table2234210234567891112[[#This Row],[anl-med]])</f>
        <v>1.2439999999999998</v>
      </c>
      <c r="W106" s="4">
        <f>Table2234210234567891112[[#This Row],[lab-med]]*Table2234210234567891112[[#This Row],[anl-med]]</f>
        <v>1.2937599378000002</v>
      </c>
    </row>
    <row r="107" spans="2:23" x14ac:dyDescent="0.25">
      <c r="B107" s="46">
        <f ca="1">VALUE((Table2234210234567891112[[#This Row],[Column3]]-62))</f>
        <v>45</v>
      </c>
      <c r="C107" t="s">
        <v>113</v>
      </c>
      <c r="D107">
        <v>12.899999599999999</v>
      </c>
      <c r="E107"/>
      <c r="F107">
        <v>12.823</v>
      </c>
      <c r="G107" s="29">
        <f>Table2234210234567891112[[#This Row],[mark w]]-Table2234210234567891112[[#This Row],[REF]]</f>
        <v>-7.6999599999998836E-2</v>
      </c>
      <c r="H107" s="29">
        <f>Table2234210234567891112[[#This Row],[X-Y]]-E$20</f>
        <v>-0.43378711999999098</v>
      </c>
      <c r="I107" s="29">
        <f>Table2234210234567891112[[#This Row],[mark w]]-E$20</f>
        <v>12.466212480000008</v>
      </c>
      <c r="J107" s="29">
        <f>Table2234210234567891112[[#This Row],[mark w]]*E$21+E$22</f>
        <v>12.500332222787957</v>
      </c>
      <c r="K107" s="56">
        <f>Table2234210234567891112[[#This Row],[Yest]]-Table2234210234567891112[[#This Row],[REF]]</f>
        <v>-0.39966737721204204</v>
      </c>
      <c r="L107" s="56">
        <f>ABS(Table2234210234567891112[[#This Row],[RESyx]])</f>
        <v>0.39966737721204204</v>
      </c>
      <c r="M107" s="29">
        <f>Table2234210234567891112[[#This Row],[mark w]]*E$25+E$26</f>
        <v>12.554091570113926</v>
      </c>
      <c r="N107" s="29">
        <f>Table2234210234567891112[[#This Row],[X-Y]]^2</f>
        <v>5.928938400159821E-3</v>
      </c>
      <c r="O107" s="57">
        <f>Table2234210234567891112[[#This Row],[yest_rect]]-Table2234210234567891112[[#This Row],[REF]]</f>
        <v>-0.34590802988607372</v>
      </c>
      <c r="P107" s="57">
        <f>Table2234210234567891112[[#This Row],[dif rec]]^2</f>
        <v>0.11965236513966487</v>
      </c>
      <c r="Q107" s="57">
        <f>ABS(Table2234210234567891112[[#This Row],[diff-bias]])</f>
        <v>0.43378711999999098</v>
      </c>
      <c r="R107" s="57">
        <f ca="1">CELL("row",Table2234210234567891112[[#This Row],[Position]])</f>
        <v>107</v>
      </c>
      <c r="S107" s="4">
        <f>Table2234210234567891112[[#This Row],[REF]]-D$13</f>
        <v>1.8899993499999983</v>
      </c>
      <c r="T107" s="4">
        <f>ABS(Table2234210234567891112[[#This Row],[lab-med]])</f>
        <v>1.8899993499999983</v>
      </c>
      <c r="U107" s="4">
        <f>Table2234210234567891112[[#This Row],[mark w]]-F$13</f>
        <v>1.5060000000000002</v>
      </c>
      <c r="V107" s="4">
        <f>ABS(Table2234210234567891112[[#This Row],[anl-med]])</f>
        <v>1.5060000000000002</v>
      </c>
      <c r="W107" s="4">
        <f>Table2234210234567891112[[#This Row],[lab-med]]*Table2234210234567891112[[#This Row],[anl-med]]</f>
        <v>2.8463390210999977</v>
      </c>
    </row>
    <row r="108" spans="2:23" x14ac:dyDescent="0.25">
      <c r="B108" s="46">
        <f ca="1">VALUE((Table2234210234567891112[[#This Row],[Column3]]-62))</f>
        <v>46</v>
      </c>
      <c r="C108" t="s">
        <v>114</v>
      </c>
      <c r="D108">
        <v>10.529999699999999</v>
      </c>
      <c r="E108"/>
      <c r="F108">
        <v>11.226000000000001</v>
      </c>
      <c r="G108" s="29">
        <f>Table2234210234567891112[[#This Row],[mark w]]-Table2234210234567891112[[#This Row],[REF]]</f>
        <v>0.69600030000000146</v>
      </c>
      <c r="H108" s="29">
        <f>Table2234210234567891112[[#This Row],[X-Y]]-E$20</f>
        <v>0.33921278000000932</v>
      </c>
      <c r="I108" s="29">
        <f>Table2234210234567891112[[#This Row],[mark w]]-E$20</f>
        <v>10.869212480000009</v>
      </c>
      <c r="J108" s="29">
        <f>Table2234210234567891112[[#This Row],[mark w]]*E$21+E$22</f>
        <v>10.863169528604514</v>
      </c>
      <c r="K108" s="56">
        <f>Table2234210234567891112[[#This Row],[Yest]]-Table2234210234567891112[[#This Row],[REF]]</f>
        <v>0.33316982860451461</v>
      </c>
      <c r="L108" s="56">
        <f>ABS(Table2234210234567891112[[#This Row],[RESyx]])</f>
        <v>0.33316982860451461</v>
      </c>
      <c r="M108" s="29">
        <f>Table2234210234567891112[[#This Row],[mark w]]*E$25+E$26</f>
        <v>10.853648204690577</v>
      </c>
      <c r="N108" s="29">
        <f>Table2234210234567891112[[#This Row],[X-Y]]^2</f>
        <v>0.48441641760009202</v>
      </c>
      <c r="O108" s="57">
        <f>Table2234210234567891112[[#This Row],[yest_rect]]-Table2234210234567891112[[#This Row],[REF]]</f>
        <v>0.32364850469057771</v>
      </c>
      <c r="P108" s="57">
        <f>Table2234210234567891112[[#This Row],[dif rec]]^2</f>
        <v>0.1047483545884469</v>
      </c>
      <c r="Q108" s="57">
        <f>ABS(Table2234210234567891112[[#This Row],[diff-bias]])</f>
        <v>0.33921278000000932</v>
      </c>
      <c r="R108" s="57">
        <f ca="1">CELL("row",Table2234210234567891112[[#This Row],[Position]])</f>
        <v>108</v>
      </c>
      <c r="S108" s="4">
        <f>Table2234210234567891112[[#This Row],[REF]]-D$13</f>
        <v>-0.48000055000000152</v>
      </c>
      <c r="T108" s="4">
        <f>ABS(Table2234210234567891112[[#This Row],[lab-med]])</f>
        <v>0.48000055000000152</v>
      </c>
      <c r="U108" s="4">
        <f>Table2234210234567891112[[#This Row],[mark w]]-F$13</f>
        <v>-9.0999999999999304E-2</v>
      </c>
      <c r="V108" s="4">
        <f>ABS(Table2234210234567891112[[#This Row],[anl-med]])</f>
        <v>9.0999999999999304E-2</v>
      </c>
      <c r="W108" s="4">
        <f>Table2234210234567891112[[#This Row],[lab-med]]*Table2234210234567891112[[#This Row],[anl-med]]</f>
        <v>4.3680050049999808E-2</v>
      </c>
    </row>
    <row r="109" spans="2:23" x14ac:dyDescent="0.25">
      <c r="B109" s="46">
        <f ca="1">VALUE((Table2234210234567891112[[#This Row],[Column3]]-62))</f>
        <v>47</v>
      </c>
      <c r="C109" t="s">
        <v>115</v>
      </c>
      <c r="D109">
        <v>11.0600004</v>
      </c>
      <c r="E109"/>
      <c r="F109">
        <v>11.622999999999999</v>
      </c>
      <c r="G109" s="29">
        <f>Table2234210234567891112[[#This Row],[mark w]]-Table2234210234567891112[[#This Row],[REF]]</f>
        <v>0.56299959999999949</v>
      </c>
      <c r="H109" s="29">
        <f>Table2234210234567891112[[#This Row],[X-Y]]-E$20</f>
        <v>0.20621208000000735</v>
      </c>
      <c r="I109" s="29">
        <f>Table2234210234567891112[[#This Row],[mark w]]-E$20</f>
        <v>11.266212480000007</v>
      </c>
      <c r="J109" s="29">
        <f>Table2234210234567891112[[#This Row],[mark w]]*E$21+E$22</f>
        <v>11.270153617265018</v>
      </c>
      <c r="K109" s="56">
        <f>Table2234210234567891112[[#This Row],[Yest]]-Table2234210234567891112[[#This Row],[REF]]</f>
        <v>0.21015321726501845</v>
      </c>
      <c r="L109" s="56">
        <f>ABS(Table2234210234567891112[[#This Row],[RESyx]])</f>
        <v>0.21015321726501845</v>
      </c>
      <c r="M109" s="29">
        <f>Table2234210234567891112[[#This Row],[mark w]]*E$25+E$26</f>
        <v>11.276363305550356</v>
      </c>
      <c r="N109" s="29">
        <f>Table2234210234567891112[[#This Row],[X-Y]]^2</f>
        <v>0.31696854960015941</v>
      </c>
      <c r="O109" s="57">
        <f>Table2234210234567891112[[#This Row],[yest_rect]]-Table2234210234567891112[[#This Row],[REF]]</f>
        <v>0.21636290555035664</v>
      </c>
      <c r="P109" s="57">
        <f>Table2234210234567891112[[#This Row],[dif rec]]^2</f>
        <v>4.6812906898192549E-2</v>
      </c>
      <c r="Q109" s="57">
        <f>ABS(Table2234210234567891112[[#This Row],[diff-bias]])</f>
        <v>0.20621208000000735</v>
      </c>
      <c r="R109" s="57">
        <f ca="1">CELL("row",Table2234210234567891112[[#This Row],[Position]])</f>
        <v>109</v>
      </c>
      <c r="S109" s="4">
        <f>Table2234210234567891112[[#This Row],[REF]]-D$13</f>
        <v>5.0000149999998911E-2</v>
      </c>
      <c r="T109" s="4">
        <f>ABS(Table2234210234567891112[[#This Row],[lab-med]])</f>
        <v>5.0000149999998911E-2</v>
      </c>
      <c r="U109" s="4">
        <f>Table2234210234567891112[[#This Row],[mark w]]-F$13</f>
        <v>0.30599999999999916</v>
      </c>
      <c r="V109" s="4">
        <f>ABS(Table2234210234567891112[[#This Row],[anl-med]])</f>
        <v>0.30599999999999916</v>
      </c>
      <c r="W109" s="4">
        <f>Table2234210234567891112[[#This Row],[lab-med]]*Table2234210234567891112[[#This Row],[anl-med]]</f>
        <v>1.5300045899999625E-2</v>
      </c>
    </row>
    <row r="110" spans="2:23" x14ac:dyDescent="0.25">
      <c r="B110" s="46">
        <f ca="1">VALUE((Table2234210234567891112[[#This Row],[Column3]]-62))</f>
        <v>48</v>
      </c>
      <c r="C110" t="s">
        <v>116</v>
      </c>
      <c r="D110">
        <v>9.1000004000000008</v>
      </c>
      <c r="E110"/>
      <c r="F110">
        <v>9.1890000000000001</v>
      </c>
      <c r="G110" s="29">
        <f>Table2234210234567891112[[#This Row],[mark w]]-Table2234210234567891112[[#This Row],[REF]]</f>
        <v>8.899959999999929E-2</v>
      </c>
      <c r="H110" s="29">
        <f>Table2234210234567891112[[#This Row],[X-Y]]-E$20</f>
        <v>-0.26778791999999285</v>
      </c>
      <c r="I110" s="29">
        <f>Table2234210234567891112[[#This Row],[mark w]]-E$20</f>
        <v>8.8322124800000079</v>
      </c>
      <c r="J110" s="29">
        <f>Table2234210234567891112[[#This Row],[mark w]]*E$21+E$22</f>
        <v>8.7749413457293279</v>
      </c>
      <c r="K110" s="56">
        <f>Table2234210234567891112[[#This Row],[Yest]]-Table2234210234567891112[[#This Row],[REF]]</f>
        <v>-0.32505905427067283</v>
      </c>
      <c r="L110" s="56">
        <f>ABS(Table2234210234567891112[[#This Row],[RESyx]])</f>
        <v>0.32505905427067283</v>
      </c>
      <c r="M110" s="29">
        <f>Table2234210234567891112[[#This Row],[mark w]]*E$25+E$26</f>
        <v>8.6847044755939198</v>
      </c>
      <c r="N110" s="29">
        <f>Table2234210234567891112[[#This Row],[X-Y]]^2</f>
        <v>7.9209288001598731E-3</v>
      </c>
      <c r="O110" s="57">
        <f>Table2234210234567891112[[#This Row],[yest_rect]]-Table2234210234567891112[[#This Row],[REF]]</f>
        <v>-0.41529592440608099</v>
      </c>
      <c r="P110" s="57">
        <f>Table2234210234567891112[[#This Row],[dif rec]]^2</f>
        <v>0.17247070482830132</v>
      </c>
      <c r="Q110" s="57">
        <f>ABS(Table2234210234567891112[[#This Row],[diff-bias]])</f>
        <v>0.26778791999999285</v>
      </c>
      <c r="R110" s="57">
        <f ca="1">CELL("row",Table2234210234567891112[[#This Row],[Position]])</f>
        <v>110</v>
      </c>
      <c r="S110" s="4">
        <f>Table2234210234567891112[[#This Row],[REF]]-D$13</f>
        <v>-1.9099998500000002</v>
      </c>
      <c r="T110" s="4">
        <f>ABS(Table2234210234567891112[[#This Row],[lab-med]])</f>
        <v>1.9099998500000002</v>
      </c>
      <c r="U110" s="4">
        <f>Table2234210234567891112[[#This Row],[mark w]]-F$13</f>
        <v>-2.1280000000000001</v>
      </c>
      <c r="V110" s="4">
        <f>ABS(Table2234210234567891112[[#This Row],[anl-med]])</f>
        <v>2.1280000000000001</v>
      </c>
      <c r="W110" s="4">
        <f>Table2234210234567891112[[#This Row],[lab-med]]*Table2234210234567891112[[#This Row],[anl-med]]</f>
        <v>4.0644796808000008</v>
      </c>
    </row>
    <row r="111" spans="2:23" x14ac:dyDescent="0.25">
      <c r="B111" s="46">
        <f ca="1">VALUE((Table2234210234567891112[[#This Row],[Column3]]-62))</f>
        <v>49</v>
      </c>
      <c r="C111" t="s">
        <v>117</v>
      </c>
      <c r="D111">
        <v>8.9700003000000006</v>
      </c>
      <c r="E111"/>
      <c r="F111">
        <v>9.8000000000000007</v>
      </c>
      <c r="G111" s="29">
        <f>Table2234210234567891112[[#This Row],[mark w]]-Table2234210234567891112[[#This Row],[REF]]</f>
        <v>0.82999970000000012</v>
      </c>
      <c r="H111" s="29">
        <f>Table2234210234567891112[[#This Row],[X-Y]]-E$20</f>
        <v>0.47321218000000798</v>
      </c>
      <c r="I111" s="29">
        <f>Table2234210234567891112[[#This Row],[mark w]]-E$20</f>
        <v>9.4432124800000086</v>
      </c>
      <c r="J111" s="29">
        <f>Table2234210234567891112[[#This Row],[mark w]]*E$21+E$22</f>
        <v>9.401307285708091</v>
      </c>
      <c r="K111" s="56">
        <f>Table2234210234567891112[[#This Row],[Yest]]-Table2234210234567891112[[#This Row],[REF]]</f>
        <v>0.43130698570809045</v>
      </c>
      <c r="L111" s="56">
        <f>ABS(Table2234210234567891112[[#This Row],[RESyx]])</f>
        <v>0.43130698570809045</v>
      </c>
      <c r="M111" s="29">
        <f>Table2234210234567891112[[#This Row],[mark w]]*E$25+E$26</f>
        <v>9.3352811169675363</v>
      </c>
      <c r="N111" s="29">
        <f>Table2234210234567891112[[#This Row],[X-Y]]^2</f>
        <v>0.6888995020000902</v>
      </c>
      <c r="O111" s="57">
        <f>Table2234210234567891112[[#This Row],[yest_rect]]-Table2234210234567891112[[#This Row],[REF]]</f>
        <v>0.36528081696753567</v>
      </c>
      <c r="P111" s="57">
        <f>Table2234210234567891112[[#This Row],[dif rec]]^2</f>
        <v>0.13343007524447029</v>
      </c>
      <c r="Q111" s="57">
        <f>ABS(Table2234210234567891112[[#This Row],[diff-bias]])</f>
        <v>0.47321218000000798</v>
      </c>
      <c r="R111" s="57">
        <f ca="1">CELL("row",Table2234210234567891112[[#This Row],[Position]])</f>
        <v>111</v>
      </c>
      <c r="S111" s="4">
        <f>Table2234210234567891112[[#This Row],[REF]]-D$13</f>
        <v>-2.0399999500000003</v>
      </c>
      <c r="T111" s="4">
        <f>ABS(Table2234210234567891112[[#This Row],[lab-med]])</f>
        <v>2.0399999500000003</v>
      </c>
      <c r="U111" s="4">
        <f>Table2234210234567891112[[#This Row],[mark w]]-F$13</f>
        <v>-1.5169999999999995</v>
      </c>
      <c r="V111" s="4">
        <f>ABS(Table2234210234567891112[[#This Row],[anl-med]])</f>
        <v>1.5169999999999995</v>
      </c>
      <c r="W111" s="4">
        <f>Table2234210234567891112[[#This Row],[lab-med]]*Table2234210234567891112[[#This Row],[anl-med]]</f>
        <v>3.0946799241499994</v>
      </c>
    </row>
    <row r="112" spans="2:23" x14ac:dyDescent="0.25">
      <c r="B112" s="46">
        <f ca="1">VALUE((Table2234210234567891112[[#This Row],[Column3]]-62))</f>
        <v>50</v>
      </c>
      <c r="C112" t="s">
        <v>118</v>
      </c>
      <c r="D112">
        <v>11.1199999</v>
      </c>
      <c r="E112"/>
      <c r="F112">
        <v>11.288</v>
      </c>
      <c r="G112" s="29">
        <f>Table2234210234567891112[[#This Row],[mark w]]-Table2234210234567891112[[#This Row],[REF]]</f>
        <v>0.16800010000000043</v>
      </c>
      <c r="H112" s="29">
        <f>Table2234210234567891112[[#This Row],[X-Y]]-E$20</f>
        <v>-0.18878741999999171</v>
      </c>
      <c r="I112" s="29">
        <f>Table2234210234567891112[[#This Row],[mark w]]-E$20</f>
        <v>10.931212480000008</v>
      </c>
      <c r="J112" s="29">
        <f>Table2234210234567891112[[#This Row],[mark w]]*E$21+E$22</f>
        <v>10.926728756556532</v>
      </c>
      <c r="K112" s="56">
        <f>Table2234210234567891112[[#This Row],[Yest]]-Table2234210234567891112[[#This Row],[REF]]</f>
        <v>-0.19327114344346796</v>
      </c>
      <c r="L112" s="56">
        <f>ABS(Table2234210234567891112[[#This Row],[RESyx]])</f>
        <v>0.19327114344346796</v>
      </c>
      <c r="M112" s="29">
        <f>Table2234210234567891112[[#This Row],[mark w]]*E$25+E$26</f>
        <v>10.91966416502636</v>
      </c>
      <c r="N112" s="29">
        <f>Table2234210234567891112[[#This Row],[X-Y]]^2</f>
        <v>2.8224033600010145E-2</v>
      </c>
      <c r="O112" s="57">
        <f>Table2234210234567891112[[#This Row],[yest_rect]]-Table2234210234567891112[[#This Row],[REF]]</f>
        <v>-0.2003357349736401</v>
      </c>
      <c r="P112" s="57">
        <f>Table2234210234567891112[[#This Row],[dif rec]]^2</f>
        <v>4.0134406707428565E-2</v>
      </c>
      <c r="Q112" s="57">
        <f>ABS(Table2234210234567891112[[#This Row],[diff-bias]])</f>
        <v>0.18878741999999171</v>
      </c>
      <c r="R112" s="57">
        <f ca="1">CELL("row",Table2234210234567891112[[#This Row],[Position]])</f>
        <v>112</v>
      </c>
      <c r="S112" s="4">
        <f>Table2234210234567891112[[#This Row],[REF]]-D$13</f>
        <v>0.10999964999999889</v>
      </c>
      <c r="T112" s="4">
        <f>ABS(Table2234210234567891112[[#This Row],[lab-med]])</f>
        <v>0.10999964999999889</v>
      </c>
      <c r="U112" s="4">
        <f>Table2234210234567891112[[#This Row],[mark w]]-F$13</f>
        <v>-2.8999999999999915E-2</v>
      </c>
      <c r="V112" s="4">
        <f>ABS(Table2234210234567891112[[#This Row],[anl-med]])</f>
        <v>2.8999999999999915E-2</v>
      </c>
      <c r="W112" s="4">
        <f>Table2234210234567891112[[#This Row],[lab-med]]*Table2234210234567891112[[#This Row],[anl-med]]</f>
        <v>-3.1899898499999587E-3</v>
      </c>
    </row>
    <row r="113" spans="2:23" x14ac:dyDescent="0.25">
      <c r="B113" s="46">
        <f ca="1">VALUE((Table2234210234567891112[[#This Row],[Column3]]-62))</f>
        <v>51</v>
      </c>
      <c r="C113" t="s">
        <v>119</v>
      </c>
      <c r="D113">
        <v>9.2299994999999999</v>
      </c>
      <c r="E113"/>
      <c r="F113">
        <v>10.33</v>
      </c>
      <c r="G113" s="29">
        <f>Table2234210234567891112[[#This Row],[mark w]]-Table2234210234567891112[[#This Row],[REF]]</f>
        <v>1.1000005000000002</v>
      </c>
      <c r="H113" s="29">
        <f>Table2234210234567891112[[#This Row],[X-Y]]-E$20</f>
        <v>0.74321298000000802</v>
      </c>
      <c r="I113" s="29">
        <f>Table2234210234567891112[[#This Row],[mark w]]-E$20</f>
        <v>9.9732124800000079</v>
      </c>
      <c r="J113" s="29">
        <f>Table2234210234567891112[[#This Row],[mark w]]*E$21+E$22</f>
        <v>9.9446361698140535</v>
      </c>
      <c r="K113" s="56">
        <f>Table2234210234567891112[[#This Row],[Yest]]-Table2234210234567891112[[#This Row],[REF]]</f>
        <v>0.7146366698140536</v>
      </c>
      <c r="L113" s="56">
        <f>ABS(Table2234210234567891112[[#This Row],[RESyx]])</f>
        <v>0.7146366698140536</v>
      </c>
      <c r="M113" s="29">
        <f>Table2234210234567891112[[#This Row],[mark w]]*E$25+E$26</f>
        <v>9.8996111004831118</v>
      </c>
      <c r="N113" s="29">
        <f>Table2234210234567891112[[#This Row],[X-Y]]^2</f>
        <v>1.2100011000002504</v>
      </c>
      <c r="O113" s="57">
        <f>Table2234210234567891112[[#This Row],[yest_rect]]-Table2234210234567891112[[#This Row],[REF]]</f>
        <v>0.66961160048311186</v>
      </c>
      <c r="P113" s="57">
        <f>Table2234210234567891112[[#This Row],[dif rec]]^2</f>
        <v>0.4483796955015546</v>
      </c>
      <c r="Q113" s="57">
        <f>ABS(Table2234210234567891112[[#This Row],[diff-bias]])</f>
        <v>0.74321298000000802</v>
      </c>
      <c r="R113" s="57">
        <f ca="1">CELL("row",Table2234210234567891112[[#This Row],[Position]])</f>
        <v>113</v>
      </c>
      <c r="S113" s="4">
        <f>Table2234210234567891112[[#This Row],[REF]]-D$13</f>
        <v>-1.780000750000001</v>
      </c>
      <c r="T113" s="4">
        <f>ABS(Table2234210234567891112[[#This Row],[lab-med]])</f>
        <v>1.780000750000001</v>
      </c>
      <c r="U113" s="4">
        <f>Table2234210234567891112[[#This Row],[mark w]]-F$13</f>
        <v>-0.9870000000000001</v>
      </c>
      <c r="V113" s="4">
        <f>ABS(Table2234210234567891112[[#This Row],[anl-med]])</f>
        <v>0.9870000000000001</v>
      </c>
      <c r="W113" s="4">
        <f>Table2234210234567891112[[#This Row],[lab-med]]*Table2234210234567891112[[#This Row],[anl-med]]</f>
        <v>1.7568607402500012</v>
      </c>
    </row>
    <row r="114" spans="2:23" x14ac:dyDescent="0.25">
      <c r="B114" s="46">
        <f ca="1">VALUE((Table2234210234567891112[[#This Row],[Column3]]-62))</f>
        <v>52</v>
      </c>
      <c r="C114" t="s">
        <v>120</v>
      </c>
      <c r="D114">
        <v>11.2299995</v>
      </c>
      <c r="E114"/>
      <c r="F114">
        <v>11.738</v>
      </c>
      <c r="G114" s="29">
        <f>Table2234210234567891112[[#This Row],[mark w]]-Table2234210234567891112[[#This Row],[REF]]</f>
        <v>0.50800049999999963</v>
      </c>
      <c r="H114" s="29">
        <f>Table2234210234567891112[[#This Row],[X-Y]]-E$20</f>
        <v>0.15121298000000749</v>
      </c>
      <c r="I114" s="29">
        <f>Table2234210234567891112[[#This Row],[mark w]]-E$20</f>
        <v>11.381212480000007</v>
      </c>
      <c r="J114" s="29">
        <f>Table2234210234567891112[[#This Row],[mark w]]*E$21+E$22</f>
        <v>11.388045733627633</v>
      </c>
      <c r="K114" s="56">
        <f>Table2234210234567891112[[#This Row],[Yest]]-Table2234210234567891112[[#This Row],[REF]]</f>
        <v>0.15804623362763337</v>
      </c>
      <c r="L114" s="56">
        <f>ABS(Table2234210234567891112[[#This Row],[RESyx]])</f>
        <v>0.15804623362763337</v>
      </c>
      <c r="M114" s="29">
        <f>Table2234210234567891112[[#This Row],[mark w]]*E$25+E$26</f>
        <v>11.398812264237698</v>
      </c>
      <c r="N114" s="29">
        <f>Table2234210234567891112[[#This Row],[X-Y]]^2</f>
        <v>0.2580645080002496</v>
      </c>
      <c r="O114" s="57">
        <f>Table2234210234567891112[[#This Row],[yest_rect]]-Table2234210234567891112[[#This Row],[REF]]</f>
        <v>0.16881276423769798</v>
      </c>
      <c r="P114" s="57">
        <f>Table2234210234567891112[[#This Row],[dif rec]]^2</f>
        <v>2.8497749369572601E-2</v>
      </c>
      <c r="Q114" s="57">
        <f>ABS(Table2234210234567891112[[#This Row],[diff-bias]])</f>
        <v>0.15121298000000749</v>
      </c>
      <c r="R114" s="57">
        <f ca="1">CELL("row",Table2234210234567891112[[#This Row],[Position]])</f>
        <v>114</v>
      </c>
      <c r="S114" s="4">
        <f>Table2234210234567891112[[#This Row],[REF]]-D$13</f>
        <v>0.21999924999999898</v>
      </c>
      <c r="T114" s="4">
        <f>ABS(Table2234210234567891112[[#This Row],[lab-med]])</f>
        <v>0.21999924999999898</v>
      </c>
      <c r="U114" s="4">
        <f>Table2234210234567891112[[#This Row],[mark w]]-F$13</f>
        <v>0.42099999999999937</v>
      </c>
      <c r="V114" s="4">
        <f>ABS(Table2234210234567891112[[#This Row],[anl-med]])</f>
        <v>0.42099999999999937</v>
      </c>
      <c r="W114" s="4">
        <f>Table2234210234567891112[[#This Row],[lab-med]]*Table2234210234567891112[[#This Row],[anl-med]]</f>
        <v>9.2619684249999432E-2</v>
      </c>
    </row>
    <row r="115" spans="2:23" x14ac:dyDescent="0.25">
      <c r="B115" s="46">
        <f ca="1">VALUE((Table2234210234567891112[[#This Row],[Column3]]-62))</f>
        <v>53</v>
      </c>
      <c r="C115" t="s">
        <v>121</v>
      </c>
      <c r="D115">
        <v>11.2299995</v>
      </c>
      <c r="E115"/>
      <c r="F115">
        <v>11.919</v>
      </c>
      <c r="G115" s="29">
        <f>Table2234210234567891112[[#This Row],[mark w]]-Table2234210234567891112[[#This Row],[REF]]</f>
        <v>0.68900050000000057</v>
      </c>
      <c r="H115" s="29">
        <f>Table2234210234567891112[[#This Row],[X-Y]]-E$20</f>
        <v>0.33221298000000843</v>
      </c>
      <c r="I115" s="29">
        <f>Table2234210234567891112[[#This Row],[mark w]]-E$20</f>
        <v>11.562212480000008</v>
      </c>
      <c r="J115" s="29">
        <f>Table2234210234567891112[[#This Row],[mark w]]*E$21+E$22</f>
        <v>11.57359767329401</v>
      </c>
      <c r="K115" s="56">
        <f>Table2234210234567891112[[#This Row],[Yest]]-Table2234210234567891112[[#This Row],[REF]]</f>
        <v>0.34359817329401032</v>
      </c>
      <c r="L115" s="56">
        <f>ABS(Table2234210234567891112[[#This Row],[RESyx]])</f>
        <v>0.34359817329401032</v>
      </c>
      <c r="M115" s="29">
        <f>Table2234210234567891112[[#This Row],[mark w]]*E$25+E$26</f>
        <v>11.591536277476036</v>
      </c>
      <c r="N115" s="29">
        <f>Table2234210234567891112[[#This Row],[X-Y]]^2</f>
        <v>0.4747216890002508</v>
      </c>
      <c r="O115" s="57">
        <f>Table2234210234567891112[[#This Row],[yest_rect]]-Table2234210234567891112[[#This Row],[REF]]</f>
        <v>0.36153677747603652</v>
      </c>
      <c r="P115" s="57">
        <f>Table2234210234567891112[[#This Row],[dif rec]]^2</f>
        <v>0.13070884146775716</v>
      </c>
      <c r="Q115" s="57">
        <f>ABS(Table2234210234567891112[[#This Row],[diff-bias]])</f>
        <v>0.33221298000000843</v>
      </c>
      <c r="R115" s="57">
        <f ca="1">CELL("row",Table2234210234567891112[[#This Row],[Position]])</f>
        <v>115</v>
      </c>
      <c r="S115" s="4">
        <f>Table2234210234567891112[[#This Row],[REF]]-D$13</f>
        <v>0.21999924999999898</v>
      </c>
      <c r="T115" s="4">
        <f>ABS(Table2234210234567891112[[#This Row],[lab-med]])</f>
        <v>0.21999924999999898</v>
      </c>
      <c r="U115" s="4">
        <f>Table2234210234567891112[[#This Row],[mark w]]-F$13</f>
        <v>0.60200000000000031</v>
      </c>
      <c r="V115" s="4">
        <f>ABS(Table2234210234567891112[[#This Row],[anl-med]])</f>
        <v>0.60200000000000031</v>
      </c>
      <c r="W115" s="4">
        <f>Table2234210234567891112[[#This Row],[lab-med]]*Table2234210234567891112[[#This Row],[anl-med]]</f>
        <v>0.13243954849999945</v>
      </c>
    </row>
    <row r="116" spans="2:23" x14ac:dyDescent="0.25">
      <c r="B116" s="46">
        <f ca="1">VALUE((Table2234210234567891112[[#This Row],[Column3]]-62))</f>
        <v>54</v>
      </c>
      <c r="C116" t="s">
        <v>122</v>
      </c>
      <c r="D116">
        <v>11.2399998</v>
      </c>
      <c r="E116"/>
      <c r="F116">
        <v>12.026</v>
      </c>
      <c r="G116" s="29">
        <f>Table2234210234567891112[[#This Row],[mark w]]-Table2234210234567891112[[#This Row],[REF]]</f>
        <v>0.78600020000000015</v>
      </c>
      <c r="H116" s="29">
        <f>Table2234210234567891112[[#This Row],[X-Y]]-E$20</f>
        <v>0.42921268000000801</v>
      </c>
      <c r="I116" s="29">
        <f>Table2234210234567891112[[#This Row],[mark w]]-E$20</f>
        <v>11.669212480000008</v>
      </c>
      <c r="J116" s="29">
        <f>Table2234210234567891112[[#This Row],[mark w]]*E$21+E$22</f>
        <v>11.683288598953139</v>
      </c>
      <c r="K116" s="56">
        <f>Table2234210234567891112[[#This Row],[Yest]]-Table2234210234567891112[[#This Row],[REF]]</f>
        <v>0.44328879895313911</v>
      </c>
      <c r="L116" s="56">
        <f>ABS(Table2234210234567891112[[#This Row],[RESyx]])</f>
        <v>0.44328879895313911</v>
      </c>
      <c r="M116" s="29">
        <f>Table2234210234567891112[[#This Row],[mark w]]*E$25+E$26</f>
        <v>11.705467047732954</v>
      </c>
      <c r="N116" s="29">
        <f>Table2234210234567891112[[#This Row],[X-Y]]^2</f>
        <v>0.61779631440004024</v>
      </c>
      <c r="O116" s="57">
        <f>Table2234210234567891112[[#This Row],[yest_rect]]-Table2234210234567891112[[#This Row],[REF]]</f>
        <v>0.46546724773295445</v>
      </c>
      <c r="P116" s="57">
        <f>Table2234210234567891112[[#This Row],[dif rec]]^2</f>
        <v>0.21665975871209159</v>
      </c>
      <c r="Q116" s="57">
        <f>ABS(Table2234210234567891112[[#This Row],[diff-bias]])</f>
        <v>0.42921268000000801</v>
      </c>
      <c r="R116" s="57">
        <f ca="1">CELL("row",Table2234210234567891112[[#This Row],[Position]])</f>
        <v>116</v>
      </c>
      <c r="S116" s="4">
        <f>Table2234210234567891112[[#This Row],[REF]]-D$13</f>
        <v>0.22999954999999872</v>
      </c>
      <c r="T116" s="4">
        <f>ABS(Table2234210234567891112[[#This Row],[lab-med]])</f>
        <v>0.22999954999999872</v>
      </c>
      <c r="U116" s="4">
        <f>Table2234210234567891112[[#This Row],[mark w]]-F$13</f>
        <v>0.70899999999999963</v>
      </c>
      <c r="V116" s="4">
        <f>ABS(Table2234210234567891112[[#This Row],[anl-med]])</f>
        <v>0.70899999999999963</v>
      </c>
      <c r="W116" s="4">
        <f>Table2234210234567891112[[#This Row],[lab-med]]*Table2234210234567891112[[#This Row],[anl-med]]</f>
        <v>0.16306968094999902</v>
      </c>
    </row>
    <row r="117" spans="2:23" x14ac:dyDescent="0.25">
      <c r="B117" s="46">
        <f ca="1">VALUE((Table2234210234567891112[[#This Row],[Column3]]-62))</f>
        <v>55</v>
      </c>
      <c r="C117" t="s">
        <v>123</v>
      </c>
      <c r="D117">
        <v>12.5600004</v>
      </c>
      <c r="E117"/>
      <c r="F117">
        <v>12.852</v>
      </c>
      <c r="G117" s="29">
        <f>Table2234210234567891112[[#This Row],[mark w]]-Table2234210234567891112[[#This Row],[REF]]</f>
        <v>0.29199960000000047</v>
      </c>
      <c r="H117" s="29">
        <f>Table2234210234567891112[[#This Row],[X-Y]]-E$20</f>
        <v>-6.4787919999991672E-2</v>
      </c>
      <c r="I117" s="29">
        <f>Table2234210234567891112[[#This Row],[mark w]]-E$20</f>
        <v>12.495212480000008</v>
      </c>
      <c r="J117" s="29">
        <f>Table2234210234567891112[[#This Row],[mark w]]*E$21+E$22</f>
        <v>12.530061539088095</v>
      </c>
      <c r="K117" s="56">
        <f>Table2234210234567891112[[#This Row],[Yest]]-Table2234210234567891112[[#This Row],[REF]]</f>
        <v>-2.9938860911904897E-2</v>
      </c>
      <c r="L117" s="56">
        <f>ABS(Table2234210234567891112[[#This Row],[RESyx]])</f>
        <v>2.9938860911904897E-2</v>
      </c>
      <c r="M117" s="29">
        <f>Table2234210234567891112[[#This Row],[mark w]]*E$25+E$26</f>
        <v>12.584970003174211</v>
      </c>
      <c r="N117" s="29">
        <f>Table2234210234567891112[[#This Row],[X-Y]]^2</f>
        <v>8.5263766400160271E-2</v>
      </c>
      <c r="O117" s="57">
        <f>Table2234210234567891112[[#This Row],[yest_rect]]-Table2234210234567891112[[#This Row],[REF]]</f>
        <v>2.4969603174211485E-2</v>
      </c>
      <c r="P117" s="57">
        <f>Table2234210234567891112[[#This Row],[dif rec]]^2</f>
        <v>6.2348108267759226E-4</v>
      </c>
      <c r="Q117" s="57">
        <f>ABS(Table2234210234567891112[[#This Row],[diff-bias]])</f>
        <v>6.4787919999991672E-2</v>
      </c>
      <c r="R117" s="57">
        <f ca="1">CELL("row",Table2234210234567891112[[#This Row],[Position]])</f>
        <v>117</v>
      </c>
      <c r="S117" s="4">
        <f>Table2234210234567891112[[#This Row],[REF]]-D$13</f>
        <v>1.5500001499999989</v>
      </c>
      <c r="T117" s="4">
        <f>ABS(Table2234210234567891112[[#This Row],[lab-med]])</f>
        <v>1.5500001499999989</v>
      </c>
      <c r="U117" s="4">
        <f>Table2234210234567891112[[#This Row],[mark w]]-F$13</f>
        <v>1.5350000000000001</v>
      </c>
      <c r="V117" s="4">
        <f>ABS(Table2234210234567891112[[#This Row],[anl-med]])</f>
        <v>1.5350000000000001</v>
      </c>
      <c r="W117" s="4">
        <f>Table2234210234567891112[[#This Row],[lab-med]]*Table2234210234567891112[[#This Row],[anl-med]]</f>
        <v>2.3792502302499985</v>
      </c>
    </row>
    <row r="118" spans="2:23" x14ac:dyDescent="0.25">
      <c r="B118" s="46">
        <f ca="1">VALUE((Table2234210234567891112[[#This Row],[Column3]]-62))</f>
        <v>56</v>
      </c>
      <c r="C118" t="s">
        <v>124</v>
      </c>
      <c r="D118">
        <v>10.0699997</v>
      </c>
      <c r="E118"/>
      <c r="F118">
        <v>10.298999999999999</v>
      </c>
      <c r="G118" s="29">
        <f>Table2234210234567891112[[#This Row],[mark w]]-Table2234210234567891112[[#This Row],[REF]]</f>
        <v>0.22900029999999916</v>
      </c>
      <c r="H118" s="29">
        <f>Table2234210234567891112[[#This Row],[X-Y]]-E$20</f>
        <v>-0.12778721999999298</v>
      </c>
      <c r="I118" s="29">
        <f>Table2234210234567891112[[#This Row],[mark w]]-E$20</f>
        <v>9.9422124800000073</v>
      </c>
      <c r="J118" s="29">
        <f>Table2234210234567891112[[#This Row],[mark w]]*E$21+E$22</f>
        <v>9.9128565558380437</v>
      </c>
      <c r="K118" s="56">
        <f>Table2234210234567891112[[#This Row],[Yest]]-Table2234210234567891112[[#This Row],[REF]]</f>
        <v>-0.15714314416195663</v>
      </c>
      <c r="L118" s="56">
        <f>ABS(Table2234210234567891112[[#This Row],[RESyx]])</f>
        <v>0.15714314416195663</v>
      </c>
      <c r="M118" s="29">
        <f>Table2234210234567891112[[#This Row],[mark w]]*E$25+E$26</f>
        <v>9.8666031203152187</v>
      </c>
      <c r="N118" s="29">
        <f>Table2234210234567891112[[#This Row],[X-Y]]^2</f>
        <v>5.2441137400089613E-2</v>
      </c>
      <c r="O118" s="57">
        <f>Table2234210234567891112[[#This Row],[yest_rect]]-Table2234210234567891112[[#This Row],[REF]]</f>
        <v>-0.20339657968478164</v>
      </c>
      <c r="P118" s="57">
        <f>Table2234210234567891112[[#This Row],[dif rec]]^2</f>
        <v>4.1370168627467729E-2</v>
      </c>
      <c r="Q118" s="57">
        <f>ABS(Table2234210234567891112[[#This Row],[diff-bias]])</f>
        <v>0.12778721999999298</v>
      </c>
      <c r="R118" s="57">
        <f ca="1">CELL("row",Table2234210234567891112[[#This Row],[Position]])</f>
        <v>118</v>
      </c>
      <c r="S118" s="4">
        <f>Table2234210234567891112[[#This Row],[REF]]-D$13</f>
        <v>-0.9400005500000006</v>
      </c>
      <c r="T118" s="4">
        <f>ABS(Table2234210234567891112[[#This Row],[lab-med]])</f>
        <v>0.9400005500000006</v>
      </c>
      <c r="U118" s="4">
        <f>Table2234210234567891112[[#This Row],[mark w]]-F$13</f>
        <v>-1.0180000000000007</v>
      </c>
      <c r="V118" s="4">
        <f>ABS(Table2234210234567891112[[#This Row],[anl-med]])</f>
        <v>1.0180000000000007</v>
      </c>
      <c r="W118" s="4">
        <f>Table2234210234567891112[[#This Row],[lab-med]]*Table2234210234567891112[[#This Row],[anl-med]]</f>
        <v>0.95692055990000124</v>
      </c>
    </row>
    <row r="119" spans="2:23" x14ac:dyDescent="0.25">
      <c r="B119" s="46">
        <f ca="1">VALUE((Table2234210234567891112[[#This Row],[Column3]]-62))</f>
        <v>57</v>
      </c>
      <c r="C119" t="s">
        <v>125</v>
      </c>
      <c r="D119">
        <v>9.9399996000000002</v>
      </c>
      <c r="E119"/>
      <c r="F119">
        <v>9.8079999999999998</v>
      </c>
      <c r="G119" s="29">
        <f>Table2234210234567891112[[#This Row],[mark w]]-Table2234210234567891112[[#This Row],[REF]]</f>
        <v>-0.13199960000000033</v>
      </c>
      <c r="H119" s="29">
        <f>Table2234210234567891112[[#This Row],[X-Y]]-E$20</f>
        <v>-0.48878711999999247</v>
      </c>
      <c r="I119" s="29">
        <f>Table2234210234567891112[[#This Row],[mark w]]-E$20</f>
        <v>9.4512124800000077</v>
      </c>
      <c r="J119" s="29">
        <f>Table2234210234567891112[[#This Row],[mark w]]*E$21+E$22</f>
        <v>9.4095084764115757</v>
      </c>
      <c r="K119" s="56">
        <f>Table2234210234567891112[[#This Row],[Yest]]-Table2234210234567891112[[#This Row],[REF]]</f>
        <v>-0.53049112358842443</v>
      </c>
      <c r="L119" s="56">
        <f>ABS(Table2234210234567891112[[#This Row],[RESyx]])</f>
        <v>0.53049112358842443</v>
      </c>
      <c r="M119" s="29">
        <f>Table2234210234567891112[[#This Row],[mark w]]*E$25+E$26</f>
        <v>9.34379930539796</v>
      </c>
      <c r="N119" s="29">
        <f>Table2234210234567891112[[#This Row],[X-Y]]^2</f>
        <v>1.7423894400160088E-2</v>
      </c>
      <c r="O119" s="57">
        <f>Table2234210234567891112[[#This Row],[yest_rect]]-Table2234210234567891112[[#This Row],[REF]]</f>
        <v>-0.59620029460204016</v>
      </c>
      <c r="P119" s="57">
        <f>Table2234210234567891112[[#This Row],[dif rec]]^2</f>
        <v>0.3554547912835595</v>
      </c>
      <c r="Q119" s="57">
        <f>ABS(Table2234210234567891112[[#This Row],[diff-bias]])</f>
        <v>0.48878711999999247</v>
      </c>
      <c r="R119" s="57">
        <f ca="1">CELL("row",Table2234210234567891112[[#This Row],[Position]])</f>
        <v>119</v>
      </c>
      <c r="S119" s="4">
        <f>Table2234210234567891112[[#This Row],[REF]]-D$13</f>
        <v>-1.0700006500000008</v>
      </c>
      <c r="T119" s="4">
        <f>ABS(Table2234210234567891112[[#This Row],[lab-med]])</f>
        <v>1.0700006500000008</v>
      </c>
      <c r="U119" s="4">
        <f>Table2234210234567891112[[#This Row],[mark w]]-F$13</f>
        <v>-1.5090000000000003</v>
      </c>
      <c r="V119" s="4">
        <f>ABS(Table2234210234567891112[[#This Row],[anl-med]])</f>
        <v>1.5090000000000003</v>
      </c>
      <c r="W119" s="4">
        <f>Table2234210234567891112[[#This Row],[lab-med]]*Table2234210234567891112[[#This Row],[anl-med]]</f>
        <v>1.6146309808500015</v>
      </c>
    </row>
    <row r="120" spans="2:23" x14ac:dyDescent="0.25">
      <c r="B120" s="46">
        <f ca="1">VALUE((Table2234210234567891112[[#This Row],[Column3]]-62))</f>
        <v>58</v>
      </c>
      <c r="C120" t="s">
        <v>126</v>
      </c>
      <c r="D120">
        <v>10.2399998</v>
      </c>
      <c r="E120"/>
      <c r="F120">
        <v>10.29</v>
      </c>
      <c r="G120" s="29">
        <f>Table2234210234567891112[[#This Row],[mark w]]-Table2234210234567891112[[#This Row],[REF]]</f>
        <v>5.0000199999999495E-2</v>
      </c>
      <c r="H120" s="29">
        <f>Table2234210234567891112[[#This Row],[X-Y]]-E$20</f>
        <v>-0.30678731999999265</v>
      </c>
      <c r="I120" s="29">
        <f>Table2234210234567891112[[#This Row],[mark w]]-E$20</f>
        <v>9.933212480000007</v>
      </c>
      <c r="J120" s="29">
        <f>Table2234210234567891112[[#This Row],[mark w]]*E$21+E$22</f>
        <v>9.9036302162966212</v>
      </c>
      <c r="K120" s="56">
        <f>Table2234210234567891112[[#This Row],[Yest]]-Table2234210234567891112[[#This Row],[REF]]</f>
        <v>-0.33636958370337844</v>
      </c>
      <c r="L120" s="56">
        <f>ABS(Table2234210234567891112[[#This Row],[RESyx]])</f>
        <v>0.33636958370337844</v>
      </c>
      <c r="M120" s="29">
        <f>Table2234210234567891112[[#This Row],[mark w]]*E$25+E$26</f>
        <v>9.8570201583309913</v>
      </c>
      <c r="N120" s="29">
        <f>Table2234210234567891112[[#This Row],[X-Y]]^2</f>
        <v>2.5000200000399493E-3</v>
      </c>
      <c r="O120" s="57">
        <f>Table2234210234567891112[[#This Row],[yest_rect]]-Table2234210234567891112[[#This Row],[REF]]</f>
        <v>-0.38297964166900833</v>
      </c>
      <c r="P120" s="57">
        <f>Table2234210234567891112[[#This Row],[dif rec]]^2</f>
        <v>0.14667340593292202</v>
      </c>
      <c r="Q120" s="57">
        <f>ABS(Table2234210234567891112[[#This Row],[diff-bias]])</f>
        <v>0.30678731999999265</v>
      </c>
      <c r="R120" s="57">
        <f ca="1">CELL("row",Table2234210234567891112[[#This Row],[Position]])</f>
        <v>120</v>
      </c>
      <c r="S120" s="4">
        <f>Table2234210234567891112[[#This Row],[REF]]-D$13</f>
        <v>-0.77000045000000128</v>
      </c>
      <c r="T120" s="4">
        <f>ABS(Table2234210234567891112[[#This Row],[lab-med]])</f>
        <v>0.77000045000000128</v>
      </c>
      <c r="U120" s="4">
        <f>Table2234210234567891112[[#This Row],[mark w]]-F$13</f>
        <v>-1.027000000000001</v>
      </c>
      <c r="V120" s="4">
        <f>ABS(Table2234210234567891112[[#This Row],[anl-med]])</f>
        <v>1.027000000000001</v>
      </c>
      <c r="W120" s="4">
        <f>Table2234210234567891112[[#This Row],[lab-med]]*Table2234210234567891112[[#This Row],[anl-med]]</f>
        <v>0.79079046215000215</v>
      </c>
    </row>
    <row r="121" spans="2:23" x14ac:dyDescent="0.25">
      <c r="B121" s="46">
        <f ca="1">VALUE((Table2234210234567891112[[#This Row],[Column3]]-62))</f>
        <v>59</v>
      </c>
      <c r="C121" t="s">
        <v>127</v>
      </c>
      <c r="D121">
        <v>11.420000099999999</v>
      </c>
      <c r="E121"/>
      <c r="F121">
        <v>12.266999999999999</v>
      </c>
      <c r="G121" s="29">
        <f>Table2234210234567891112[[#This Row],[mark w]]-Table2234210234567891112[[#This Row],[REF]]</f>
        <v>0.84699990000000014</v>
      </c>
      <c r="H121" s="29">
        <f>Table2234210234567891112[[#This Row],[X-Y]]-E$20</f>
        <v>0.490212380000008</v>
      </c>
      <c r="I121" s="29">
        <f>Table2234210234567891112[[#This Row],[mark w]]-E$20</f>
        <v>11.910212480000007</v>
      </c>
      <c r="J121" s="29">
        <f>Table2234210234567891112[[#This Row],[mark w]]*E$21+E$22</f>
        <v>11.930349468895662</v>
      </c>
      <c r="K121" s="56">
        <f>Table2234210234567891112[[#This Row],[Yest]]-Table2234210234567891112[[#This Row],[REF]]</f>
        <v>0.51034936889566218</v>
      </c>
      <c r="L121" s="56">
        <f>ABS(Table2234210234567891112[[#This Row],[RESyx]])</f>
        <v>0.51034936889566218</v>
      </c>
      <c r="M121" s="29">
        <f>Table2234210234567891112[[#This Row],[mark w]]*E$25+E$26</f>
        <v>11.962077474199472</v>
      </c>
      <c r="N121" s="29">
        <f>Table2234210234567891112[[#This Row],[X-Y]]^2</f>
        <v>0.71740883060001026</v>
      </c>
      <c r="O121" s="57">
        <f>Table2234210234567891112[[#This Row],[yest_rect]]-Table2234210234567891112[[#This Row],[REF]]</f>
        <v>0.54207737419947222</v>
      </c>
      <c r="P121" s="57">
        <f>Table2234210234567891112[[#This Row],[dif rec]]^2</f>
        <v>0.29384787961899461</v>
      </c>
      <c r="Q121" s="57">
        <f>ABS(Table2234210234567891112[[#This Row],[diff-bias]])</f>
        <v>0.490212380000008</v>
      </c>
      <c r="R121" s="57">
        <f ca="1">CELL("row",Table2234210234567891112[[#This Row],[Position]])</f>
        <v>121</v>
      </c>
      <c r="S121" s="4">
        <f>Table2234210234567891112[[#This Row],[REF]]-D$13</f>
        <v>0.40999984999999839</v>
      </c>
      <c r="T121" s="4">
        <f>ABS(Table2234210234567891112[[#This Row],[lab-med]])</f>
        <v>0.40999984999999839</v>
      </c>
      <c r="U121" s="4">
        <f>Table2234210234567891112[[#This Row],[mark w]]-F$13</f>
        <v>0.94999999999999929</v>
      </c>
      <c r="V121" s="4">
        <f>ABS(Table2234210234567891112[[#This Row],[anl-med]])</f>
        <v>0.94999999999999929</v>
      </c>
      <c r="W121" s="4">
        <f>Table2234210234567891112[[#This Row],[lab-med]]*Table2234210234567891112[[#This Row],[anl-med]]</f>
        <v>0.38949985749999816</v>
      </c>
    </row>
    <row r="122" spans="2:23" x14ac:dyDescent="0.25">
      <c r="B122" s="46">
        <f ca="1">VALUE((Table2234210234567891112[[#This Row],[Column3]]-62))</f>
        <v>60</v>
      </c>
      <c r="C122" t="s">
        <v>128</v>
      </c>
      <c r="D122">
        <v>10.5</v>
      </c>
      <c r="E122"/>
      <c r="F122">
        <v>10.561</v>
      </c>
      <c r="G122" s="29">
        <f>Table2234210234567891112[[#This Row],[mark w]]-Table2234210234567891112[[#This Row],[REF]]</f>
        <v>6.0999999999999943E-2</v>
      </c>
      <c r="H122" s="29">
        <f>Table2234210234567891112[[#This Row],[X-Y]]-E$20</f>
        <v>-0.2957875199999922</v>
      </c>
      <c r="I122" s="29">
        <f>Table2234210234567891112[[#This Row],[mark w]]-E$20</f>
        <v>10.204212480000008</v>
      </c>
      <c r="J122" s="29">
        <f>Table2234210234567891112[[#This Row],[mark w]]*E$21+E$22</f>
        <v>10.18144555137722</v>
      </c>
      <c r="K122" s="56">
        <f>Table2234210234567891112[[#This Row],[Yest]]-Table2234210234567891112[[#This Row],[REF]]</f>
        <v>-0.31855444862278048</v>
      </c>
      <c r="L122" s="56">
        <f>ABS(Table2234210234567891112[[#This Row],[RESyx]])</f>
        <v>0.31855444862278048</v>
      </c>
      <c r="M122" s="29">
        <f>Table2234210234567891112[[#This Row],[mark w]]*E$25+E$26</f>
        <v>10.145573791411598</v>
      </c>
      <c r="N122" s="29">
        <f>Table2234210234567891112[[#This Row],[X-Y]]^2</f>
        <v>3.720999999999993E-3</v>
      </c>
      <c r="O122" s="57">
        <f>Table2234210234567891112[[#This Row],[yest_rect]]-Table2234210234567891112[[#This Row],[REF]]</f>
        <v>-0.35442620858840179</v>
      </c>
      <c r="P122" s="57">
        <f>Table2234210234567891112[[#This Row],[dif rec]]^2</f>
        <v>0.12561793733434928</v>
      </c>
      <c r="Q122" s="57">
        <f>ABS(Table2234210234567891112[[#This Row],[diff-bias]])</f>
        <v>0.2957875199999922</v>
      </c>
      <c r="R122" s="57">
        <f ca="1">CELL("row",Table2234210234567891112[[#This Row],[Position]])</f>
        <v>122</v>
      </c>
      <c r="S122" s="4">
        <f>Table2234210234567891112[[#This Row],[REF]]-D$13</f>
        <v>-0.51000025000000093</v>
      </c>
      <c r="T122" s="4">
        <f>ABS(Table2234210234567891112[[#This Row],[lab-med]])</f>
        <v>0.51000025000000093</v>
      </c>
      <c r="U122" s="4">
        <f>Table2234210234567891112[[#This Row],[mark w]]-F$13</f>
        <v>-0.75600000000000023</v>
      </c>
      <c r="V122" s="4">
        <f>ABS(Table2234210234567891112[[#This Row],[anl-med]])</f>
        <v>0.75600000000000023</v>
      </c>
      <c r="W122" s="4">
        <f>Table2234210234567891112[[#This Row],[lab-med]]*Table2234210234567891112[[#This Row],[anl-med]]</f>
        <v>0.38556018900000083</v>
      </c>
    </row>
    <row r="123" spans="2:23" x14ac:dyDescent="0.25">
      <c r="B123" s="46">
        <f ca="1">VALUE((Table2234210234567891112[[#This Row],[Column3]]-62))</f>
        <v>61</v>
      </c>
      <c r="C123" t="s">
        <v>129</v>
      </c>
      <c r="D123">
        <v>13.140000300000001</v>
      </c>
      <c r="E123"/>
      <c r="F123">
        <v>12.79</v>
      </c>
      <c r="G123" s="29">
        <f>Table2234210234567891112[[#This Row],[mark w]]-Table2234210234567891112[[#This Row],[REF]]</f>
        <v>-0.35000030000000137</v>
      </c>
      <c r="H123" s="29">
        <f>Table2234210234567891112[[#This Row],[X-Y]]-E$20</f>
        <v>-0.70678781999999352</v>
      </c>
      <c r="I123" s="29">
        <f>Table2234210234567891112[[#This Row],[mark w]]-E$20</f>
        <v>12.433212480000007</v>
      </c>
      <c r="J123" s="29">
        <f>Table2234210234567891112[[#This Row],[mark w]]*E$21+E$22</f>
        <v>12.466502311136075</v>
      </c>
      <c r="K123" s="56">
        <f>Table2234210234567891112[[#This Row],[Yest]]-Table2234210234567891112[[#This Row],[REF]]</f>
        <v>-0.6734979888639252</v>
      </c>
      <c r="L123" s="56">
        <f>ABS(Table2234210234567891112[[#This Row],[RESyx]])</f>
        <v>0.6734979888639252</v>
      </c>
      <c r="M123" s="29">
        <f>Table2234210234567891112[[#This Row],[mark w]]*E$25+E$26</f>
        <v>12.518954042838425</v>
      </c>
      <c r="N123" s="29">
        <f>Table2234210234567891112[[#This Row],[X-Y]]^2</f>
        <v>0.12250021000009097</v>
      </c>
      <c r="O123" s="57">
        <f>Table2234210234567891112[[#This Row],[yest_rect]]-Table2234210234567891112[[#This Row],[REF]]</f>
        <v>-0.62104625716157535</v>
      </c>
      <c r="P123" s="57">
        <f>Table2234210234567891112[[#This Row],[dif rec]]^2</f>
        <v>0.38569845353440158</v>
      </c>
      <c r="Q123" s="57">
        <f>ABS(Table2234210234567891112[[#This Row],[diff-bias]])</f>
        <v>0.70678781999999352</v>
      </c>
      <c r="R123" s="57">
        <f ca="1">CELL("row",Table2234210234567891112[[#This Row],[Position]])</f>
        <v>123</v>
      </c>
      <c r="S123" s="4">
        <f>Table2234210234567891112[[#This Row],[REF]]-D$13</f>
        <v>2.1300000499999996</v>
      </c>
      <c r="T123" s="4">
        <f>ABS(Table2234210234567891112[[#This Row],[lab-med]])</f>
        <v>2.1300000499999996</v>
      </c>
      <c r="U123" s="4">
        <f>Table2234210234567891112[[#This Row],[mark w]]-F$13</f>
        <v>1.472999999999999</v>
      </c>
      <c r="V123" s="4">
        <f>ABS(Table2234210234567891112[[#This Row],[anl-med]])</f>
        <v>1.472999999999999</v>
      </c>
      <c r="W123" s="4">
        <f>Table2234210234567891112[[#This Row],[lab-med]]*Table2234210234567891112[[#This Row],[anl-med]]</f>
        <v>3.1374900736499973</v>
      </c>
    </row>
    <row r="124" spans="2:23" x14ac:dyDescent="0.25">
      <c r="B124" s="46">
        <f ca="1">VALUE((Table2234210234567891112[[#This Row],[Column3]]-62))</f>
        <v>62</v>
      </c>
      <c r="C124" t="s">
        <v>130</v>
      </c>
      <c r="D124">
        <v>11.699999800000001</v>
      </c>
      <c r="E124"/>
      <c r="F124">
        <v>11.935</v>
      </c>
      <c r="G124" s="29">
        <f>Table2234210234567891112[[#This Row],[mark w]]-Table2234210234567891112[[#This Row],[REF]]</f>
        <v>0.23500019999999999</v>
      </c>
      <c r="H124" s="29">
        <f>Table2234210234567891112[[#This Row],[X-Y]]-E$20</f>
        <v>-0.12178731999999215</v>
      </c>
      <c r="I124" s="29">
        <f>Table2234210234567891112[[#This Row],[mark w]]-E$20</f>
        <v>11.578212480000008</v>
      </c>
      <c r="J124" s="29">
        <f>Table2234210234567891112[[#This Row],[mark w]]*E$21+E$22</f>
        <v>11.590000054700983</v>
      </c>
      <c r="K124" s="56">
        <f>Table2234210234567891112[[#This Row],[Yest]]-Table2234210234567891112[[#This Row],[REF]]</f>
        <v>-0.10999974529901735</v>
      </c>
      <c r="L124" s="56">
        <f>ABS(Table2234210234567891112[[#This Row],[RESyx]])</f>
        <v>0.10999974529901735</v>
      </c>
      <c r="M124" s="29">
        <f>Table2234210234567891112[[#This Row],[mark w]]*E$25+E$26</f>
        <v>11.608572654336884</v>
      </c>
      <c r="N124" s="29">
        <f>Table2234210234567891112[[#This Row],[X-Y]]^2</f>
        <v>5.5225094000039998E-2</v>
      </c>
      <c r="O124" s="57">
        <f>Table2234210234567891112[[#This Row],[yest_rect]]-Table2234210234567891112[[#This Row],[REF]]</f>
        <v>-9.1427145663116605E-2</v>
      </c>
      <c r="P124" s="57">
        <f>Table2234210234567891112[[#This Row],[dif rec]]^2</f>
        <v>8.3589229641047418E-3</v>
      </c>
      <c r="Q124" s="57">
        <f>ABS(Table2234210234567891112[[#This Row],[diff-bias]])</f>
        <v>0.12178731999999215</v>
      </c>
      <c r="R124" s="57">
        <f ca="1">CELL("row",Table2234210234567891112[[#This Row],[Position]])</f>
        <v>124</v>
      </c>
      <c r="S124" s="4">
        <f>Table2234210234567891112[[#This Row],[REF]]-D$13</f>
        <v>0.68999954999999957</v>
      </c>
      <c r="T124" s="4">
        <f>ABS(Table2234210234567891112[[#This Row],[lab-med]])</f>
        <v>0.68999954999999957</v>
      </c>
      <c r="U124" s="4">
        <f>Table2234210234567891112[[#This Row],[mark w]]-F$13</f>
        <v>0.61800000000000033</v>
      </c>
      <c r="V124" s="4">
        <f>ABS(Table2234210234567891112[[#This Row],[anl-med]])</f>
        <v>0.61800000000000033</v>
      </c>
      <c r="W124" s="4">
        <f>Table2234210234567891112[[#This Row],[lab-med]]*Table2234210234567891112[[#This Row],[anl-med]]</f>
        <v>0.42641972189999994</v>
      </c>
    </row>
    <row r="125" spans="2:23" x14ac:dyDescent="0.25">
      <c r="B125" s="46">
        <f ca="1">VALUE((Table2234210234567891112[[#This Row],[Column3]]-62))</f>
        <v>63</v>
      </c>
      <c r="C125" t="s">
        <v>131</v>
      </c>
      <c r="D125">
        <v>10.3800001</v>
      </c>
      <c r="E125"/>
      <c r="F125">
        <v>10.846</v>
      </c>
      <c r="G125" s="29">
        <f>Table2234210234567891112[[#This Row],[mark w]]-Table2234210234567891112[[#This Row],[REF]]</f>
        <v>0.46599989999999991</v>
      </c>
      <c r="H125" s="29">
        <f>Table2234210234567891112[[#This Row],[X-Y]]-E$20</f>
        <v>0.10921238000000777</v>
      </c>
      <c r="I125" s="29">
        <f>Table2234210234567891112[[#This Row],[mark w]]-E$20</f>
        <v>10.489212480000008</v>
      </c>
      <c r="J125" s="29">
        <f>Table2234210234567891112[[#This Row],[mark w]]*E$21+E$22</f>
        <v>10.473612970188917</v>
      </c>
      <c r="K125" s="56">
        <f>Table2234210234567891112[[#This Row],[Yest]]-Table2234210234567891112[[#This Row],[REF]]</f>
        <v>9.361287018891673E-2</v>
      </c>
      <c r="L125" s="56">
        <f>ABS(Table2234210234567891112[[#This Row],[RESyx]])</f>
        <v>9.361287018891673E-2</v>
      </c>
      <c r="M125" s="29">
        <f>Table2234210234567891112[[#This Row],[mark w]]*E$25+E$26</f>
        <v>10.449034254245445</v>
      </c>
      <c r="N125" s="29">
        <f>Table2234210234567891112[[#This Row],[X-Y]]^2</f>
        <v>0.21715590680000993</v>
      </c>
      <c r="O125" s="57">
        <f>Table2234210234567891112[[#This Row],[yest_rect]]-Table2234210234567891112[[#This Row],[REF]]</f>
        <v>6.9034154245445123E-2</v>
      </c>
      <c r="P125" s="57">
        <f>Table2234210234567891112[[#This Row],[dif rec]]^2</f>
        <v>4.7657144523839089E-3</v>
      </c>
      <c r="Q125" s="57">
        <f>ABS(Table2234210234567891112[[#This Row],[diff-bias]])</f>
        <v>0.10921238000000777</v>
      </c>
      <c r="R125" s="57">
        <f ca="1">CELL("row",Table2234210234567891112[[#This Row],[Position]])</f>
        <v>125</v>
      </c>
      <c r="S125" s="4">
        <f>Table2234210234567891112[[#This Row],[REF]]-D$13</f>
        <v>-0.63000015000000076</v>
      </c>
      <c r="T125" s="4">
        <f>ABS(Table2234210234567891112[[#This Row],[lab-med]])</f>
        <v>0.63000015000000076</v>
      </c>
      <c r="U125" s="4">
        <f>Table2234210234567891112[[#This Row],[mark w]]-F$13</f>
        <v>-0.47100000000000009</v>
      </c>
      <c r="V125" s="4">
        <f>ABS(Table2234210234567891112[[#This Row],[anl-med]])</f>
        <v>0.47100000000000009</v>
      </c>
      <c r="W125" s="4">
        <f>Table2234210234567891112[[#This Row],[lab-med]]*Table2234210234567891112[[#This Row],[anl-med]]</f>
        <v>0.2967300706500004</v>
      </c>
    </row>
    <row r="126" spans="2:23" x14ac:dyDescent="0.25">
      <c r="B126" s="46">
        <f ca="1">VALUE((Table2234210234567891112[[#This Row],[Column3]]-62))</f>
        <v>64</v>
      </c>
      <c r="C126" t="s">
        <v>132</v>
      </c>
      <c r="D126">
        <v>13.350000400000001</v>
      </c>
      <c r="E126"/>
      <c r="F126">
        <v>13.394</v>
      </c>
      <c r="G126" s="29">
        <f>Table2234210234567891112[[#This Row],[mark w]]-Table2234210234567891112[[#This Row],[REF]]</f>
        <v>4.3999599999999361E-2</v>
      </c>
      <c r="H126" s="29">
        <f>Table2234210234567891112[[#This Row],[X-Y]]-E$20</f>
        <v>-0.31278791999999278</v>
      </c>
      <c r="I126" s="29">
        <f>Table2234210234567891112[[#This Row],[mark w]]-E$20</f>
        <v>13.037212480000008</v>
      </c>
      <c r="J126" s="29">
        <f>Table2234210234567891112[[#This Row],[mark w]]*E$21+E$22</f>
        <v>13.085692209249288</v>
      </c>
      <c r="K126" s="56">
        <f>Table2234210234567891112[[#This Row],[Yest]]-Table2234210234567891112[[#This Row],[REF]]</f>
        <v>-0.26430819075071277</v>
      </c>
      <c r="L126" s="56">
        <f>ABS(Table2234210234567891112[[#This Row],[RESyx]])</f>
        <v>0.26430819075071277</v>
      </c>
      <c r="M126" s="29">
        <f>Table2234210234567891112[[#This Row],[mark w]]*E$25+E$26</f>
        <v>13.162077269335423</v>
      </c>
      <c r="N126" s="29">
        <f>Table2234210234567891112[[#This Row],[X-Y]]^2</f>
        <v>1.9359648001599438E-3</v>
      </c>
      <c r="O126" s="57">
        <f>Table2234210234567891112[[#This Row],[yest_rect]]-Table2234210234567891112[[#This Row],[REF]]</f>
        <v>-0.18792313066457744</v>
      </c>
      <c r="P126" s="57">
        <f>Table2234210234567891112[[#This Row],[dif rec]]^2</f>
        <v>3.5315103038775844E-2</v>
      </c>
      <c r="Q126" s="57">
        <f>ABS(Table2234210234567891112[[#This Row],[diff-bias]])</f>
        <v>0.31278791999999278</v>
      </c>
      <c r="R126" s="57">
        <f ca="1">CELL("row",Table2234210234567891112[[#This Row],[Position]])</f>
        <v>126</v>
      </c>
      <c r="S126" s="4">
        <f>Table2234210234567891112[[#This Row],[REF]]-D$13</f>
        <v>2.3400001499999998</v>
      </c>
      <c r="T126" s="4">
        <f>ABS(Table2234210234567891112[[#This Row],[lab-med]])</f>
        <v>2.3400001499999998</v>
      </c>
      <c r="U126" s="4">
        <f>Table2234210234567891112[[#This Row],[mark w]]-F$13</f>
        <v>2.077</v>
      </c>
      <c r="V126" s="4">
        <f>ABS(Table2234210234567891112[[#This Row],[anl-med]])</f>
        <v>2.077</v>
      </c>
      <c r="W126" s="4">
        <f>Table2234210234567891112[[#This Row],[lab-med]]*Table2234210234567891112[[#This Row],[anl-med]]</f>
        <v>4.8601803115499997</v>
      </c>
    </row>
    <row r="127" spans="2:23" x14ac:dyDescent="0.25">
      <c r="B127" s="46">
        <f ca="1">VALUE((Table2234210234567891112[[#This Row],[Column3]]-62))</f>
        <v>65</v>
      </c>
      <c r="C127" t="s">
        <v>133</v>
      </c>
      <c r="D127">
        <v>12.6599998</v>
      </c>
      <c r="E127"/>
      <c r="F127">
        <v>12.5</v>
      </c>
      <c r="G127" s="29">
        <f>Table2234210234567891112[[#This Row],[mark w]]-Table2234210234567891112[[#This Row],[REF]]</f>
        <v>-0.15999979999999958</v>
      </c>
      <c r="H127" s="29">
        <f>Table2234210234567891112[[#This Row],[X-Y]]-E$20</f>
        <v>-0.51678731999999172</v>
      </c>
      <c r="I127" s="29">
        <f>Table2234210234567891112[[#This Row],[mark w]]-E$20</f>
        <v>12.143212480000008</v>
      </c>
      <c r="J127" s="29">
        <f>Table2234210234567891112[[#This Row],[mark w]]*E$21+E$22</f>
        <v>12.1692091481347</v>
      </c>
      <c r="K127" s="56">
        <f>Table2234210234567891112[[#This Row],[Yest]]-Table2234210234567891112[[#This Row],[REF]]</f>
        <v>-0.49079065186530002</v>
      </c>
      <c r="L127" s="56">
        <f>ABS(Table2234210234567891112[[#This Row],[RESyx]])</f>
        <v>0.49079065186530002</v>
      </c>
      <c r="M127" s="29">
        <f>Table2234210234567891112[[#This Row],[mark w]]*E$25+E$26</f>
        <v>12.210169712235563</v>
      </c>
      <c r="N127" s="29">
        <f>Table2234210234567891112[[#This Row],[X-Y]]^2</f>
        <v>2.5599936000039868E-2</v>
      </c>
      <c r="O127" s="57">
        <f>Table2234210234567891112[[#This Row],[yest_rect]]-Table2234210234567891112[[#This Row],[REF]]</f>
        <v>-0.44983008776443612</v>
      </c>
      <c r="P127" s="57">
        <f>Table2234210234567891112[[#This Row],[dif rec]]^2</f>
        <v>0.20234710785816029</v>
      </c>
      <c r="Q127" s="57">
        <f>ABS(Table2234210234567891112[[#This Row],[diff-bias]])</f>
        <v>0.51678731999999172</v>
      </c>
      <c r="R127" s="57">
        <f ca="1">CELL("row",Table2234210234567891112[[#This Row],[Position]])</f>
        <v>127</v>
      </c>
      <c r="S127" s="4">
        <f>Table2234210234567891112[[#This Row],[REF]]-D$13</f>
        <v>1.6499995499999986</v>
      </c>
      <c r="T127" s="4">
        <f>ABS(Table2234210234567891112[[#This Row],[lab-med]])</f>
        <v>1.6499995499999986</v>
      </c>
      <c r="U127" s="4">
        <f>Table2234210234567891112[[#This Row],[mark w]]-F$13</f>
        <v>1.1829999999999998</v>
      </c>
      <c r="V127" s="4">
        <f>ABS(Table2234210234567891112[[#This Row],[anl-med]])</f>
        <v>1.1829999999999998</v>
      </c>
      <c r="W127" s="4">
        <f>Table2234210234567891112[[#This Row],[lab-med]]*Table2234210234567891112[[#This Row],[anl-med]]</f>
        <v>1.9519494676499982</v>
      </c>
    </row>
    <row r="128" spans="2:23" x14ac:dyDescent="0.25">
      <c r="B128" s="46">
        <f ca="1">VALUE((Table2234210234567891112[[#This Row],[Column3]]-62))</f>
        <v>66</v>
      </c>
      <c r="C128" t="s">
        <v>134</v>
      </c>
      <c r="D128">
        <v>11.9899998</v>
      </c>
      <c r="E128"/>
      <c r="F128">
        <v>12.561</v>
      </c>
      <c r="G128" s="29">
        <f>Table2234210234567891112[[#This Row],[mark w]]-Table2234210234567891112[[#This Row],[REF]]</f>
        <v>0.57100020000000029</v>
      </c>
      <c r="H128" s="29">
        <f>Table2234210234567891112[[#This Row],[X-Y]]-E$20</f>
        <v>0.21421268000000815</v>
      </c>
      <c r="I128" s="29">
        <f>Table2234210234567891112[[#This Row],[mark w]]-E$20</f>
        <v>12.204212480000008</v>
      </c>
      <c r="J128" s="29">
        <f>Table2234210234567891112[[#This Row],[mark w]]*E$21+E$22</f>
        <v>12.231743227248781</v>
      </c>
      <c r="K128" s="56">
        <f>Table2234210234567891112[[#This Row],[Yest]]-Table2234210234567891112[[#This Row],[REF]]</f>
        <v>0.24174342724878173</v>
      </c>
      <c r="L128" s="56">
        <f>ABS(Table2234210234567891112[[#This Row],[RESyx]])</f>
        <v>0.24174342724878173</v>
      </c>
      <c r="M128" s="29">
        <f>Table2234210234567891112[[#This Row],[mark w]]*E$25+E$26</f>
        <v>12.275120899017546</v>
      </c>
      <c r="N128" s="29">
        <f>Table2234210234567891112[[#This Row],[X-Y]]^2</f>
        <v>0.32604122840004035</v>
      </c>
      <c r="O128" s="57">
        <f>Table2234210234567891112[[#This Row],[yest_rect]]-Table2234210234567891112[[#This Row],[REF]]</f>
        <v>0.28512109901754634</v>
      </c>
      <c r="P128" s="57">
        <f>Table2234210234567891112[[#This Row],[dif rec]]^2</f>
        <v>8.1294041104973472E-2</v>
      </c>
      <c r="Q128" s="57">
        <f>ABS(Table2234210234567891112[[#This Row],[diff-bias]])</f>
        <v>0.21421268000000815</v>
      </c>
      <c r="R128" s="57">
        <f ca="1">CELL("row",Table2234210234567891112[[#This Row],[Position]])</f>
        <v>128</v>
      </c>
      <c r="S128" s="4">
        <f>Table2234210234567891112[[#This Row],[REF]]-D$13</f>
        <v>0.97999954999999872</v>
      </c>
      <c r="T128" s="4">
        <f>ABS(Table2234210234567891112[[#This Row],[lab-med]])</f>
        <v>0.97999954999999872</v>
      </c>
      <c r="U128" s="4">
        <f>Table2234210234567891112[[#This Row],[mark w]]-F$13</f>
        <v>1.2439999999999998</v>
      </c>
      <c r="V128" s="4">
        <f>ABS(Table2234210234567891112[[#This Row],[anl-med]])</f>
        <v>1.2439999999999998</v>
      </c>
      <c r="W128" s="4">
        <f>Table2234210234567891112[[#This Row],[lab-med]]*Table2234210234567891112[[#This Row],[anl-med]]</f>
        <v>1.2191194401999983</v>
      </c>
    </row>
    <row r="129" spans="2:23" x14ac:dyDescent="0.25">
      <c r="B129" s="46">
        <f ca="1">VALUE((Table2234210234567891112[[#This Row],[Column3]]-62))</f>
        <v>67</v>
      </c>
      <c r="C129" t="s">
        <v>135</v>
      </c>
      <c r="D129">
        <v>12</v>
      </c>
      <c r="E129"/>
      <c r="F129">
        <v>12.324999999999999</v>
      </c>
      <c r="G129" s="29">
        <f>Table2234210234567891112[[#This Row],[mark w]]-Table2234210234567891112[[#This Row],[REF]]</f>
        <v>0.32499999999999929</v>
      </c>
      <c r="H129" s="29">
        <f>Table2234210234567891112[[#This Row],[X-Y]]-E$20</f>
        <v>-3.1787519999992853E-2</v>
      </c>
      <c r="I129" s="29">
        <f>Table2234210234567891112[[#This Row],[mark w]]-E$20</f>
        <v>11.968212480000007</v>
      </c>
      <c r="J129" s="29">
        <f>Table2234210234567891112[[#This Row],[mark w]]*E$21+E$22</f>
        <v>11.989808101495937</v>
      </c>
      <c r="K129" s="56">
        <f>Table2234210234567891112[[#This Row],[Yest]]-Table2234210234567891112[[#This Row],[REF]]</f>
        <v>-1.0191898504062991E-2</v>
      </c>
      <c r="L129" s="56">
        <f>ABS(Table2234210234567891112[[#This Row],[RESyx]])</f>
        <v>1.0191898504062991E-2</v>
      </c>
      <c r="M129" s="29">
        <f>Table2234210234567891112[[#This Row],[mark w]]*E$25+E$26</f>
        <v>12.023834340320043</v>
      </c>
      <c r="N129" s="29">
        <f>Table2234210234567891112[[#This Row],[X-Y]]^2</f>
        <v>0.10562499999999954</v>
      </c>
      <c r="O129" s="57">
        <f>Table2234210234567891112[[#This Row],[yest_rect]]-Table2234210234567891112[[#This Row],[REF]]</f>
        <v>2.3834340320043168E-2</v>
      </c>
      <c r="P129" s="57">
        <f>Table2234210234567891112[[#This Row],[dif rec]]^2</f>
        <v>5.6807577849163544E-4</v>
      </c>
      <c r="Q129" s="57">
        <f>ABS(Table2234210234567891112[[#This Row],[diff-bias]])</f>
        <v>3.1787519999992853E-2</v>
      </c>
      <c r="R129" s="57">
        <f ca="1">CELL("row",Table2234210234567891112[[#This Row],[Position]])</f>
        <v>129</v>
      </c>
      <c r="S129" s="4">
        <f>Table2234210234567891112[[#This Row],[REF]]-D$13</f>
        <v>0.98999974999999907</v>
      </c>
      <c r="T129" s="4">
        <f>ABS(Table2234210234567891112[[#This Row],[lab-med]])</f>
        <v>0.98999974999999907</v>
      </c>
      <c r="U129" s="4">
        <f>Table2234210234567891112[[#This Row],[mark w]]-F$13</f>
        <v>1.0079999999999991</v>
      </c>
      <c r="V129" s="4">
        <f>ABS(Table2234210234567891112[[#This Row],[anl-med]])</f>
        <v>1.0079999999999991</v>
      </c>
      <c r="W129" s="4">
        <f>Table2234210234567891112[[#This Row],[lab-med]]*Table2234210234567891112[[#This Row],[anl-med]]</f>
        <v>0.99791974799999816</v>
      </c>
    </row>
    <row r="130" spans="2:23" x14ac:dyDescent="0.25">
      <c r="B130" s="46">
        <f ca="1">VALUE((Table2234210234567891112[[#This Row],[Column3]]-62))</f>
        <v>68</v>
      </c>
      <c r="C130" t="s">
        <v>136</v>
      </c>
      <c r="D130">
        <v>12</v>
      </c>
      <c r="E130"/>
      <c r="F130">
        <v>12.651999999999999</v>
      </c>
      <c r="G130" s="29">
        <f>Table2234210234567891112[[#This Row],[mark w]]-Table2234210234567891112[[#This Row],[REF]]</f>
        <v>0.65199999999999925</v>
      </c>
      <c r="H130" s="29">
        <f>Table2234210234567891112[[#This Row],[X-Y]]-E$20</f>
        <v>0.2952124800000071</v>
      </c>
      <c r="I130" s="29">
        <f>Table2234210234567891112[[#This Row],[mark w]]-E$20</f>
        <v>12.295212480000007</v>
      </c>
      <c r="J130" s="29">
        <f>Table2234210234567891112[[#This Row],[mark w]]*E$21+E$22</f>
        <v>12.325031771500937</v>
      </c>
      <c r="K130" s="56">
        <f>Table2234210234567891112[[#This Row],[Yest]]-Table2234210234567891112[[#This Row],[REF]]</f>
        <v>0.32503177150093698</v>
      </c>
      <c r="L130" s="56">
        <f>ABS(Table2234210234567891112[[#This Row],[RESyx]])</f>
        <v>0.32503177150093698</v>
      </c>
      <c r="M130" s="29">
        <f>Table2234210234567891112[[#This Row],[mark w]]*E$25+E$26</f>
        <v>12.372015292413614</v>
      </c>
      <c r="N130" s="29">
        <f>Table2234210234567891112[[#This Row],[X-Y]]^2</f>
        <v>0.42510399999999904</v>
      </c>
      <c r="O130" s="57">
        <f>Table2234210234567891112[[#This Row],[yest_rect]]-Table2234210234567891112[[#This Row],[REF]]</f>
        <v>0.37201529241361442</v>
      </c>
      <c r="P130" s="57">
        <f>Table2234210234567891112[[#This Row],[dif rec]]^2</f>
        <v>0.13839537778958705</v>
      </c>
      <c r="Q130" s="57">
        <f>ABS(Table2234210234567891112[[#This Row],[diff-bias]])</f>
        <v>0.2952124800000071</v>
      </c>
      <c r="R130" s="57">
        <f ca="1">CELL("row",Table2234210234567891112[[#This Row],[Position]])</f>
        <v>130</v>
      </c>
      <c r="S130" s="4">
        <f>Table2234210234567891112[[#This Row],[REF]]-D$13</f>
        <v>0.98999974999999907</v>
      </c>
      <c r="T130" s="4">
        <f>ABS(Table2234210234567891112[[#This Row],[lab-med]])</f>
        <v>0.98999974999999907</v>
      </c>
      <c r="U130" s="4">
        <f>Table2234210234567891112[[#This Row],[mark w]]-F$13</f>
        <v>1.3349999999999991</v>
      </c>
      <c r="V130" s="4">
        <f>ABS(Table2234210234567891112[[#This Row],[anl-med]])</f>
        <v>1.3349999999999991</v>
      </c>
      <c r="W130" s="4">
        <f>Table2234210234567891112[[#This Row],[lab-med]]*Table2234210234567891112[[#This Row],[anl-med]]</f>
        <v>1.3216496662499979</v>
      </c>
    </row>
    <row r="131" spans="2:23" x14ac:dyDescent="0.25">
      <c r="B131" s="46">
        <f ca="1">VALUE((Table2234210234567891112[[#This Row],[Column3]]-62))</f>
        <v>69</v>
      </c>
      <c r="C131" t="s">
        <v>137</v>
      </c>
      <c r="D131">
        <v>13.1599998</v>
      </c>
      <c r="E131"/>
      <c r="F131">
        <v>13.016</v>
      </c>
      <c r="G131" s="29">
        <f>Table2234210234567891112[[#This Row],[mark w]]-Table2234210234567891112[[#This Row],[REF]]</f>
        <v>-0.14399979999999957</v>
      </c>
      <c r="H131" s="29">
        <f>Table2234210234567891112[[#This Row],[X-Y]]-E$20</f>
        <v>-0.50078731999999171</v>
      </c>
      <c r="I131" s="29">
        <f>Table2234210234567891112[[#This Row],[mark w]]-E$20</f>
        <v>12.659212480000008</v>
      </c>
      <c r="J131" s="29">
        <f>Table2234210234567891112[[#This Row],[mark w]]*E$21+E$22</f>
        <v>12.698185948509561</v>
      </c>
      <c r="K131" s="56">
        <f>Table2234210234567891112[[#This Row],[Yest]]-Table2234210234567891112[[#This Row],[REF]]</f>
        <v>-0.46181385149043841</v>
      </c>
      <c r="L131" s="56">
        <f>ABS(Table2234210234567891112[[#This Row],[RESyx]])</f>
        <v>0.46181385149043841</v>
      </c>
      <c r="M131" s="29">
        <f>Table2234210234567891112[[#This Row],[mark w]]*E$25+E$26</f>
        <v>12.759592865997899</v>
      </c>
      <c r="N131" s="29">
        <f>Table2234210234567891112[[#This Row],[X-Y]]^2</f>
        <v>2.0735942400039876E-2</v>
      </c>
      <c r="O131" s="57">
        <f>Table2234210234567891112[[#This Row],[yest_rect]]-Table2234210234567891112[[#This Row],[REF]]</f>
        <v>-0.40040693400210081</v>
      </c>
      <c r="P131" s="57">
        <f>Table2234210234567891112[[#This Row],[dif rec]]^2</f>
        <v>0.16032571279696273</v>
      </c>
      <c r="Q131" s="57">
        <f>ABS(Table2234210234567891112[[#This Row],[diff-bias]])</f>
        <v>0.50078731999999171</v>
      </c>
      <c r="R131" s="57">
        <f ca="1">CELL("row",Table2234210234567891112[[#This Row],[Position]])</f>
        <v>131</v>
      </c>
      <c r="S131" s="4">
        <f>Table2234210234567891112[[#This Row],[REF]]-D$13</f>
        <v>2.1499995499999986</v>
      </c>
      <c r="T131" s="4">
        <f>ABS(Table2234210234567891112[[#This Row],[lab-med]])</f>
        <v>2.1499995499999986</v>
      </c>
      <c r="U131" s="4">
        <f>Table2234210234567891112[[#This Row],[mark w]]-F$13</f>
        <v>1.6989999999999998</v>
      </c>
      <c r="V131" s="4">
        <f>ABS(Table2234210234567891112[[#This Row],[anl-med]])</f>
        <v>1.6989999999999998</v>
      </c>
      <c r="W131" s="4">
        <f>Table2234210234567891112[[#This Row],[lab-med]]*Table2234210234567891112[[#This Row],[anl-med]]</f>
        <v>3.6528492354499975</v>
      </c>
    </row>
    <row r="132" spans="2:23" x14ac:dyDescent="0.25">
      <c r="B132" s="46">
        <f ca="1">VALUE((Table2234210234567891112[[#This Row],[Column3]]-62))</f>
        <v>70</v>
      </c>
      <c r="C132" t="s">
        <v>138</v>
      </c>
      <c r="D132">
        <v>12.170000099999999</v>
      </c>
      <c r="E132"/>
      <c r="F132">
        <v>13.036</v>
      </c>
      <c r="G132" s="29">
        <f>Table2234210234567891112[[#This Row],[mark w]]-Table2234210234567891112[[#This Row],[REF]]</f>
        <v>0.86599990000000027</v>
      </c>
      <c r="H132" s="29">
        <f>Table2234210234567891112[[#This Row],[X-Y]]-E$20</f>
        <v>0.50921238000000812</v>
      </c>
      <c r="I132" s="29">
        <f>Table2234210234567891112[[#This Row],[mark w]]-E$20</f>
        <v>12.679212480000007</v>
      </c>
      <c r="J132" s="29">
        <f>Table2234210234567891112[[#This Row],[mark w]]*E$21+E$22</f>
        <v>12.718688925268276</v>
      </c>
      <c r="K132" s="56">
        <f>Table2234210234567891112[[#This Row],[Yest]]-Table2234210234567891112[[#This Row],[REF]]</f>
        <v>0.54868882526827711</v>
      </c>
      <c r="L132" s="56">
        <f>ABS(Table2234210234567891112[[#This Row],[RESyx]])</f>
        <v>0.54868882526827711</v>
      </c>
      <c r="M132" s="29">
        <f>Table2234210234567891112[[#This Row],[mark w]]*E$25+E$26</f>
        <v>12.780888337073957</v>
      </c>
      <c r="N132" s="29">
        <f>Table2234210234567891112[[#This Row],[X-Y]]^2</f>
        <v>0.74995582680001049</v>
      </c>
      <c r="O132" s="57">
        <f>Table2234210234567891112[[#This Row],[yest_rect]]-Table2234210234567891112[[#This Row],[REF]]</f>
        <v>0.6108882370739579</v>
      </c>
      <c r="P132" s="57">
        <f>Table2234210234567891112[[#This Row],[dif rec]]^2</f>
        <v>0.37318443819532821</v>
      </c>
      <c r="Q132" s="57">
        <f>ABS(Table2234210234567891112[[#This Row],[diff-bias]])</f>
        <v>0.50921238000000812</v>
      </c>
      <c r="R132" s="57">
        <f ca="1">CELL("row",Table2234210234567891112[[#This Row],[Position]])</f>
        <v>132</v>
      </c>
      <c r="S132" s="4">
        <f>Table2234210234567891112[[#This Row],[REF]]-D$13</f>
        <v>1.1599998499999984</v>
      </c>
      <c r="T132" s="4">
        <f>ABS(Table2234210234567891112[[#This Row],[lab-med]])</f>
        <v>1.1599998499999984</v>
      </c>
      <c r="U132" s="4">
        <f>Table2234210234567891112[[#This Row],[mark w]]-F$13</f>
        <v>1.7189999999999994</v>
      </c>
      <c r="V132" s="4">
        <f>ABS(Table2234210234567891112[[#This Row],[anl-med]])</f>
        <v>1.7189999999999994</v>
      </c>
      <c r="W132" s="4">
        <f>Table2234210234567891112[[#This Row],[lab-med]]*Table2234210234567891112[[#This Row],[anl-med]]</f>
        <v>1.9940397421499965</v>
      </c>
    </row>
    <row r="133" spans="2:23" x14ac:dyDescent="0.25">
      <c r="B133" s="46">
        <f ca="1">VALUE((Table2234210234567891112[[#This Row],[Column3]]-62))</f>
        <v>71</v>
      </c>
      <c r="C133" t="s">
        <v>139</v>
      </c>
      <c r="D133">
        <v>10.970000300000001</v>
      </c>
      <c r="E133"/>
      <c r="F133">
        <v>11.371</v>
      </c>
      <c r="G133" s="29">
        <f>Table2234210234567891112[[#This Row],[mark w]]-Table2234210234567891112[[#This Row],[REF]]</f>
        <v>0.40099969999999985</v>
      </c>
      <c r="H133" s="29">
        <f>Table2234210234567891112[[#This Row],[X-Y]]-E$20</f>
        <v>4.4212180000007706E-2</v>
      </c>
      <c r="I133" s="29">
        <f>Table2234210234567891112[[#This Row],[mark w]]-E$20</f>
        <v>11.014212480000008</v>
      </c>
      <c r="J133" s="29">
        <f>Table2234210234567891112[[#This Row],[mark w]]*E$21+E$22</f>
        <v>11.011816110105203</v>
      </c>
      <c r="K133" s="56">
        <f>Table2234210234567891112[[#This Row],[Yest]]-Table2234210234567891112[[#This Row],[REF]]</f>
        <v>4.1815810105202189E-2</v>
      </c>
      <c r="L133" s="56">
        <f>ABS(Table2234210234567891112[[#This Row],[RESyx]])</f>
        <v>4.1815810105202189E-2</v>
      </c>
      <c r="M133" s="29">
        <f>Table2234210234567891112[[#This Row],[mark w]]*E$25+E$26</f>
        <v>11.008040369992008</v>
      </c>
      <c r="N133" s="29">
        <f>Table2234210234567891112[[#This Row],[X-Y]]^2</f>
        <v>0.16080075940008987</v>
      </c>
      <c r="O133" s="57">
        <f>Table2234210234567891112[[#This Row],[yest_rect]]-Table2234210234567891112[[#This Row],[REF]]</f>
        <v>3.8040069992007375E-2</v>
      </c>
      <c r="P133" s="57">
        <f>Table2234210234567891112[[#This Row],[dif rec]]^2</f>
        <v>1.44704692499682E-3</v>
      </c>
      <c r="Q133" s="57">
        <f>ABS(Table2234210234567891112[[#This Row],[diff-bias]])</f>
        <v>4.4212180000007706E-2</v>
      </c>
      <c r="R133" s="57">
        <f ca="1">CELL("row",Table2234210234567891112[[#This Row],[Position]])</f>
        <v>133</v>
      </c>
      <c r="S133" s="4">
        <f>Table2234210234567891112[[#This Row],[REF]]-D$13</f>
        <v>-3.9999950000000339E-2</v>
      </c>
      <c r="T133" s="4">
        <f>ABS(Table2234210234567891112[[#This Row],[lab-med]])</f>
        <v>3.9999950000000339E-2</v>
      </c>
      <c r="U133" s="4">
        <f>Table2234210234567891112[[#This Row],[mark w]]-F$13</f>
        <v>5.400000000000027E-2</v>
      </c>
      <c r="V133" s="4">
        <f>ABS(Table2234210234567891112[[#This Row],[anl-med]])</f>
        <v>5.400000000000027E-2</v>
      </c>
      <c r="W133" s="4">
        <f>Table2234210234567891112[[#This Row],[lab-med]]*Table2234210234567891112[[#This Row],[anl-med]]</f>
        <v>-2.159997300000029E-3</v>
      </c>
    </row>
    <row r="134" spans="2:23" x14ac:dyDescent="0.25">
      <c r="B134" s="46">
        <f ca="1">VALUE((Table2234210234567891112[[#This Row],[Column3]]-62))</f>
        <v>72</v>
      </c>
      <c r="C134" t="s">
        <v>140</v>
      </c>
      <c r="D134">
        <v>12.2600002</v>
      </c>
      <c r="E134"/>
      <c r="F134">
        <v>12.612</v>
      </c>
      <c r="G134" s="29">
        <f>Table2234210234567891112[[#This Row],[mark w]]-Table2234210234567891112[[#This Row],[REF]]</f>
        <v>0.35199979999999975</v>
      </c>
      <c r="H134" s="29">
        <f>Table2234210234567891112[[#This Row],[X-Y]]-E$20</f>
        <v>-4.7877199999923903E-3</v>
      </c>
      <c r="I134" s="29">
        <f>Table2234210234567891112[[#This Row],[mark w]]-E$20</f>
        <v>12.255212480000008</v>
      </c>
      <c r="J134" s="29">
        <f>Table2234210234567891112[[#This Row],[mark w]]*E$21+E$22</f>
        <v>12.284025817983506</v>
      </c>
      <c r="K134" s="56">
        <f>Table2234210234567891112[[#This Row],[Yest]]-Table2234210234567891112[[#This Row],[REF]]</f>
        <v>2.4025617983506109E-2</v>
      </c>
      <c r="L134" s="56">
        <f>ABS(Table2234210234567891112[[#This Row],[RESyx]])</f>
        <v>2.4025617983506109E-2</v>
      </c>
      <c r="M134" s="29">
        <f>Table2234210234567891112[[#This Row],[mark w]]*E$25+E$26</f>
        <v>12.329424350261498</v>
      </c>
      <c r="N134" s="29">
        <f>Table2234210234567891112[[#This Row],[X-Y]]^2</f>
        <v>0.12390385920003982</v>
      </c>
      <c r="O134" s="57">
        <f>Table2234210234567891112[[#This Row],[yest_rect]]-Table2234210234567891112[[#This Row],[REF]]</f>
        <v>6.9424150261497175E-2</v>
      </c>
      <c r="P134" s="57">
        <f>Table2234210234567891112[[#This Row],[dif rec]]^2</f>
        <v>4.8197126395309381E-3</v>
      </c>
      <c r="Q134" s="57">
        <f>ABS(Table2234210234567891112[[#This Row],[diff-bias]])</f>
        <v>4.7877199999923903E-3</v>
      </c>
      <c r="R134" s="57">
        <f ca="1">CELL("row",Table2234210234567891112[[#This Row],[Position]])</f>
        <v>134</v>
      </c>
      <c r="S134" s="4">
        <f>Table2234210234567891112[[#This Row],[REF]]-D$13</f>
        <v>1.2499999499999994</v>
      </c>
      <c r="T134" s="4">
        <f>ABS(Table2234210234567891112[[#This Row],[lab-med]])</f>
        <v>1.2499999499999994</v>
      </c>
      <c r="U134" s="4">
        <f>Table2234210234567891112[[#This Row],[mark w]]-F$13</f>
        <v>1.2949999999999999</v>
      </c>
      <c r="V134" s="4">
        <f>ABS(Table2234210234567891112[[#This Row],[anl-med]])</f>
        <v>1.2949999999999999</v>
      </c>
      <c r="W134" s="4">
        <f>Table2234210234567891112[[#This Row],[lab-med]]*Table2234210234567891112[[#This Row],[anl-med]]</f>
        <v>1.6187499352499992</v>
      </c>
    </row>
    <row r="135" spans="2:23" x14ac:dyDescent="0.25">
      <c r="B135" s="46">
        <f ca="1">VALUE((Table2234210234567891112[[#This Row],[Column3]]-62))</f>
        <v>73</v>
      </c>
      <c r="C135" t="s">
        <v>141</v>
      </c>
      <c r="D135">
        <v>13.029999699999999</v>
      </c>
      <c r="E135"/>
      <c r="F135">
        <v>13.335000000000001</v>
      </c>
      <c r="G135" s="29">
        <f>Table2234210234567891112[[#This Row],[mark w]]-Table2234210234567891112[[#This Row],[REF]]</f>
        <v>0.30500030000000145</v>
      </c>
      <c r="H135" s="29">
        <f>Table2234210234567891112[[#This Row],[X-Y]]-E$20</f>
        <v>-5.1787219999990697E-2</v>
      </c>
      <c r="I135" s="29">
        <f>Table2234210234567891112[[#This Row],[mark w]]-E$20</f>
        <v>12.978212480000009</v>
      </c>
      <c r="J135" s="29">
        <f>Table2234210234567891112[[#This Row],[mark w]]*E$21+E$22</f>
        <v>13.025208427811076</v>
      </c>
      <c r="K135" s="56">
        <f>Table2234210234567891112[[#This Row],[Yest]]-Table2234210234567891112[[#This Row],[REF]]</f>
        <v>-4.7912721889229459E-3</v>
      </c>
      <c r="L135" s="56">
        <f>ABS(Table2234210234567891112[[#This Row],[RESyx]])</f>
        <v>4.7912721889229459E-3</v>
      </c>
      <c r="M135" s="29">
        <f>Table2234210234567891112[[#This Row],[mark w]]*E$25+E$26</f>
        <v>13.099255629661048</v>
      </c>
      <c r="N135" s="29">
        <f>Table2234210234567891112[[#This Row],[X-Y]]^2</f>
        <v>9.3025183000090883E-2</v>
      </c>
      <c r="O135" s="57">
        <f>Table2234210234567891112[[#This Row],[yest_rect]]-Table2234210234567891112[[#This Row],[REF]]</f>
        <v>6.9255929661048654E-2</v>
      </c>
      <c r="P135" s="57">
        <f>Table2234210234567891112[[#This Row],[dif rec]]^2</f>
        <v>4.7963837932161191E-3</v>
      </c>
      <c r="Q135" s="57">
        <f>ABS(Table2234210234567891112[[#This Row],[diff-bias]])</f>
        <v>5.1787219999990697E-2</v>
      </c>
      <c r="R135" s="57">
        <f ca="1">CELL("row",Table2234210234567891112[[#This Row],[Position]])</f>
        <v>135</v>
      </c>
      <c r="S135" s="4">
        <f>Table2234210234567891112[[#This Row],[REF]]-D$13</f>
        <v>2.0199994499999985</v>
      </c>
      <c r="T135" s="4">
        <f>ABS(Table2234210234567891112[[#This Row],[lab-med]])</f>
        <v>2.0199994499999985</v>
      </c>
      <c r="U135" s="4">
        <f>Table2234210234567891112[[#This Row],[mark w]]-F$13</f>
        <v>2.0180000000000007</v>
      </c>
      <c r="V135" s="4">
        <f>ABS(Table2234210234567891112[[#This Row],[anl-med]])</f>
        <v>2.0180000000000007</v>
      </c>
      <c r="W135" s="4">
        <f>Table2234210234567891112[[#This Row],[lab-med]]*Table2234210234567891112[[#This Row],[anl-med]]</f>
        <v>4.0763588900999981</v>
      </c>
    </row>
    <row r="136" spans="2:23" x14ac:dyDescent="0.25">
      <c r="B136" s="46">
        <f ca="1">VALUE((Table2234210234567891112[[#This Row],[Column3]]-62))</f>
        <v>74</v>
      </c>
      <c r="C136" t="s">
        <v>142</v>
      </c>
      <c r="D136">
        <v>12.359999699999999</v>
      </c>
      <c r="E136"/>
      <c r="F136">
        <v>13.125</v>
      </c>
      <c r="G136" s="29">
        <f>Table2234210234567891112[[#This Row],[mark w]]-Table2234210234567891112[[#This Row],[REF]]</f>
        <v>0.76500030000000052</v>
      </c>
      <c r="H136" s="29">
        <f>Table2234210234567891112[[#This Row],[X-Y]]-E$20</f>
        <v>0.40821278000000838</v>
      </c>
      <c r="I136" s="29">
        <f>Table2234210234567891112[[#This Row],[mark w]]-E$20</f>
        <v>12.768212480000008</v>
      </c>
      <c r="J136" s="29">
        <f>Table2234210234567891112[[#This Row],[mark w]]*E$21+E$22</f>
        <v>12.809927171844562</v>
      </c>
      <c r="K136" s="56">
        <f>Table2234210234567891112[[#This Row],[Yest]]-Table2234210234567891112[[#This Row],[REF]]</f>
        <v>0.44992747184456228</v>
      </c>
      <c r="L136" s="56">
        <f>ABS(Table2234210234567891112[[#This Row],[RESyx]])</f>
        <v>0.44992747184456228</v>
      </c>
      <c r="M136" s="29">
        <f>Table2234210234567891112[[#This Row],[mark w]]*E$25+E$26</f>
        <v>12.875653183362422</v>
      </c>
      <c r="N136" s="29">
        <f>Table2234210234567891112[[#This Row],[X-Y]]^2</f>
        <v>0.58522545900009082</v>
      </c>
      <c r="O136" s="57">
        <f>Table2234210234567891112[[#This Row],[yest_rect]]-Table2234210234567891112[[#This Row],[REF]]</f>
        <v>0.51565348336242245</v>
      </c>
      <c r="P136" s="57">
        <f>Table2234210234567891112[[#This Row],[dif rec]]^2</f>
        <v>0.26589851490380007</v>
      </c>
      <c r="Q136" s="57">
        <f>ABS(Table2234210234567891112[[#This Row],[diff-bias]])</f>
        <v>0.40821278000000838</v>
      </c>
      <c r="R136" s="57">
        <f ca="1">CELL("row",Table2234210234567891112[[#This Row],[Position]])</f>
        <v>136</v>
      </c>
      <c r="S136" s="4">
        <f>Table2234210234567891112[[#This Row],[REF]]-D$13</f>
        <v>1.3499994499999985</v>
      </c>
      <c r="T136" s="4">
        <f>ABS(Table2234210234567891112[[#This Row],[lab-med]])</f>
        <v>1.3499994499999985</v>
      </c>
      <c r="U136" s="4">
        <f>Table2234210234567891112[[#This Row],[mark w]]-F$13</f>
        <v>1.8079999999999998</v>
      </c>
      <c r="V136" s="4">
        <f>ABS(Table2234210234567891112[[#This Row],[anl-med]])</f>
        <v>1.8079999999999998</v>
      </c>
      <c r="W136" s="4">
        <f>Table2234210234567891112[[#This Row],[lab-med]]*Table2234210234567891112[[#This Row],[anl-med]]</f>
        <v>2.4407990055999971</v>
      </c>
    </row>
    <row r="137" spans="2:23" x14ac:dyDescent="0.25">
      <c r="B137" s="46">
        <f ca="1">VALUE((Table2234210234567891112[[#This Row],[Column3]]-62))</f>
        <v>75</v>
      </c>
      <c r="C137" t="s">
        <v>143</v>
      </c>
      <c r="D137">
        <v>12.399999599999999</v>
      </c>
      <c r="E137"/>
      <c r="F137">
        <v>12.858000000000001</v>
      </c>
      <c r="G137" s="29">
        <f>Table2234210234567891112[[#This Row],[mark w]]-Table2234210234567891112[[#This Row],[REF]]</f>
        <v>0.45800040000000131</v>
      </c>
      <c r="H137" s="29">
        <f>Table2234210234567891112[[#This Row],[X-Y]]-E$20</f>
        <v>0.10121288000000916</v>
      </c>
      <c r="I137" s="29">
        <f>Table2234210234567891112[[#This Row],[mark w]]-E$20</f>
        <v>12.501212480000008</v>
      </c>
      <c r="J137" s="29">
        <f>Table2234210234567891112[[#This Row],[mark w]]*E$21+E$22</f>
        <v>12.536212432115709</v>
      </c>
      <c r="K137" s="56">
        <f>Table2234210234567891112[[#This Row],[Yest]]-Table2234210234567891112[[#This Row],[REF]]</f>
        <v>0.13621283211571011</v>
      </c>
      <c r="L137" s="56">
        <f>ABS(Table2234210234567891112[[#This Row],[RESyx]])</f>
        <v>0.13621283211571011</v>
      </c>
      <c r="M137" s="29">
        <f>Table2234210234567891112[[#This Row],[mark w]]*E$25+E$26</f>
        <v>12.59135864449703</v>
      </c>
      <c r="N137" s="29">
        <f>Table2234210234567891112[[#This Row],[X-Y]]^2</f>
        <v>0.20976436640016119</v>
      </c>
      <c r="O137" s="57">
        <f>Table2234210234567891112[[#This Row],[yest_rect]]-Table2234210234567891112[[#This Row],[REF]]</f>
        <v>0.19135904449703034</v>
      </c>
      <c r="P137" s="57">
        <f>Table2234210234567891112[[#This Row],[dif rec]]^2</f>
        <v>3.6618283910816438E-2</v>
      </c>
      <c r="Q137" s="57">
        <f>ABS(Table2234210234567891112[[#This Row],[diff-bias]])</f>
        <v>0.10121288000000916</v>
      </c>
      <c r="R137" s="57">
        <f ca="1">CELL("row",Table2234210234567891112[[#This Row],[Position]])</f>
        <v>137</v>
      </c>
      <c r="S137" s="4">
        <f>Table2234210234567891112[[#This Row],[REF]]-D$13</f>
        <v>1.3899993499999983</v>
      </c>
      <c r="T137" s="4">
        <f>ABS(Table2234210234567891112[[#This Row],[lab-med]])</f>
        <v>1.3899993499999983</v>
      </c>
      <c r="U137" s="4">
        <f>Table2234210234567891112[[#This Row],[mark w]]-F$13</f>
        <v>1.5410000000000004</v>
      </c>
      <c r="V137" s="4">
        <f>ABS(Table2234210234567891112[[#This Row],[anl-med]])</f>
        <v>1.5410000000000004</v>
      </c>
      <c r="W137" s="4">
        <f>Table2234210234567891112[[#This Row],[lab-med]]*Table2234210234567891112[[#This Row],[anl-med]]</f>
        <v>2.1419889983499978</v>
      </c>
    </row>
    <row r="138" spans="2:23" x14ac:dyDescent="0.25">
      <c r="B138" s="46">
        <f ca="1">VALUE((Table2234210234567891112[[#This Row],[Column3]]-62))</f>
        <v>76</v>
      </c>
      <c r="C138" t="s">
        <v>144</v>
      </c>
      <c r="D138">
        <v>12.5</v>
      </c>
      <c r="E138"/>
      <c r="F138">
        <v>12.827999999999999</v>
      </c>
      <c r="G138" s="29">
        <f>Table2234210234567891112[[#This Row],[mark w]]-Table2234210234567891112[[#This Row],[REF]]</f>
        <v>0.3279999999999994</v>
      </c>
      <c r="H138" s="29">
        <f>Table2234210234567891112[[#This Row],[X-Y]]-E$20</f>
        <v>-2.8787519999992739E-2</v>
      </c>
      <c r="I138" s="29">
        <f>Table2234210234567891112[[#This Row],[mark w]]-E$20</f>
        <v>12.471212480000007</v>
      </c>
      <c r="J138" s="29">
        <f>Table2234210234567891112[[#This Row],[mark w]]*E$21+E$22</f>
        <v>12.505457966977634</v>
      </c>
      <c r="K138" s="56">
        <f>Table2234210234567891112[[#This Row],[Yest]]-Table2234210234567891112[[#This Row],[REF]]</f>
        <v>5.457966977633788E-3</v>
      </c>
      <c r="L138" s="56">
        <f>ABS(Table2234210234567891112[[#This Row],[RESyx]])</f>
        <v>5.457966977633788E-3</v>
      </c>
      <c r="M138" s="29">
        <f>Table2234210234567891112[[#This Row],[mark w]]*E$25+E$26</f>
        <v>12.559415437882938</v>
      </c>
      <c r="N138" s="29">
        <f>Table2234210234567891112[[#This Row],[X-Y]]^2</f>
        <v>0.10758399999999961</v>
      </c>
      <c r="O138" s="57">
        <f>Table2234210234567891112[[#This Row],[yest_rect]]-Table2234210234567891112[[#This Row],[REF]]</f>
        <v>5.9415437882938349E-2</v>
      </c>
      <c r="P138" s="57">
        <f>Table2234210234567891112[[#This Row],[dif rec]]^2</f>
        <v>3.5301942588213055E-3</v>
      </c>
      <c r="Q138" s="57">
        <f>ABS(Table2234210234567891112[[#This Row],[diff-bias]])</f>
        <v>2.8787519999992739E-2</v>
      </c>
      <c r="R138" s="57">
        <f ca="1">CELL("row",Table2234210234567891112[[#This Row],[Position]])</f>
        <v>138</v>
      </c>
      <c r="S138" s="4">
        <f>Table2234210234567891112[[#This Row],[REF]]-D$13</f>
        <v>1.4899997499999991</v>
      </c>
      <c r="T138" s="4">
        <f>ABS(Table2234210234567891112[[#This Row],[lab-med]])</f>
        <v>1.4899997499999991</v>
      </c>
      <c r="U138" s="4">
        <f>Table2234210234567891112[[#This Row],[mark w]]-F$13</f>
        <v>1.5109999999999992</v>
      </c>
      <c r="V138" s="4">
        <f>ABS(Table2234210234567891112[[#This Row],[anl-med]])</f>
        <v>1.5109999999999992</v>
      </c>
      <c r="W138" s="4">
        <f>Table2234210234567891112[[#This Row],[lab-med]]*Table2234210234567891112[[#This Row],[anl-med]]</f>
        <v>2.2513896222499974</v>
      </c>
    </row>
    <row r="139" spans="2:23" x14ac:dyDescent="0.25">
      <c r="B139" s="46">
        <f ca="1">VALUE((Table2234210234567891112[[#This Row],[Column3]]-62))</f>
        <v>77</v>
      </c>
      <c r="C139" t="s">
        <v>145</v>
      </c>
      <c r="D139">
        <v>12.600000400000001</v>
      </c>
      <c r="E139"/>
      <c r="F139">
        <v>13.209</v>
      </c>
      <c r="G139" s="29">
        <f>Table2234210234567891112[[#This Row],[mark w]]-Table2234210234567891112[[#This Row],[REF]]</f>
        <v>0.60899959999999886</v>
      </c>
      <c r="H139" s="29">
        <f>Table2234210234567891112[[#This Row],[X-Y]]-E$20</f>
        <v>0.25221208000000672</v>
      </c>
      <c r="I139" s="29">
        <f>Table2234210234567891112[[#This Row],[mark w]]-E$20</f>
        <v>12.852212480000007</v>
      </c>
      <c r="J139" s="29">
        <f>Table2234210234567891112[[#This Row],[mark w]]*E$21+E$22</f>
        <v>12.896039674231167</v>
      </c>
      <c r="K139" s="56">
        <f>Table2234210234567891112[[#This Row],[Yest]]-Table2234210234567891112[[#This Row],[REF]]</f>
        <v>0.29603927423116616</v>
      </c>
      <c r="L139" s="56">
        <f>ABS(Table2234210234567891112[[#This Row],[RESyx]])</f>
        <v>0.29603927423116616</v>
      </c>
      <c r="M139" s="29">
        <f>Table2234210234567891112[[#This Row],[mark w]]*E$25+E$26</f>
        <v>12.965094161881872</v>
      </c>
      <c r="N139" s="29">
        <f>Table2234210234567891112[[#This Row],[X-Y]]^2</f>
        <v>0.3708805128001586</v>
      </c>
      <c r="O139" s="57">
        <f>Table2234210234567891112[[#This Row],[yest_rect]]-Table2234210234567891112[[#This Row],[REF]]</f>
        <v>0.36509376188187126</v>
      </c>
      <c r="P139" s="57">
        <f>Table2234210234567891112[[#This Row],[dif rec]]^2</f>
        <v>0.13329345496505651</v>
      </c>
      <c r="Q139" s="57">
        <f>ABS(Table2234210234567891112[[#This Row],[diff-bias]])</f>
        <v>0.25221208000000672</v>
      </c>
      <c r="R139" s="57">
        <f ca="1">CELL("row",Table2234210234567891112[[#This Row],[Position]])</f>
        <v>139</v>
      </c>
      <c r="S139" s="4">
        <f>Table2234210234567891112[[#This Row],[REF]]-D$13</f>
        <v>1.5900001499999998</v>
      </c>
      <c r="T139" s="4">
        <f>ABS(Table2234210234567891112[[#This Row],[lab-med]])</f>
        <v>1.5900001499999998</v>
      </c>
      <c r="U139" s="4">
        <f>Table2234210234567891112[[#This Row],[mark w]]-F$13</f>
        <v>1.8919999999999995</v>
      </c>
      <c r="V139" s="4">
        <f>ABS(Table2234210234567891112[[#This Row],[anl-med]])</f>
        <v>1.8919999999999995</v>
      </c>
      <c r="W139" s="4">
        <f>Table2234210234567891112[[#This Row],[lab-med]]*Table2234210234567891112[[#This Row],[anl-med]]</f>
        <v>3.0082802837999987</v>
      </c>
    </row>
    <row r="140" spans="2:23" x14ac:dyDescent="0.25">
      <c r="B140" s="46">
        <f ca="1">VALUE((Table2234210234567891112[[#This Row],[Column3]]-62))</f>
        <v>78</v>
      </c>
      <c r="C140" t="s">
        <v>146</v>
      </c>
      <c r="D140">
        <v>12.670000099999999</v>
      </c>
      <c r="E140"/>
      <c r="F140">
        <v>12.548</v>
      </c>
      <c r="G140" s="29">
        <f>Table2234210234567891112[[#This Row],[mark w]]-Table2234210234567891112[[#This Row],[REF]]</f>
        <v>-0.12200009999999928</v>
      </c>
      <c r="H140" s="29">
        <f>Table2234210234567891112[[#This Row],[X-Y]]-E$20</f>
        <v>-0.47878761999999142</v>
      </c>
      <c r="I140" s="29">
        <f>Table2234210234567891112[[#This Row],[mark w]]-E$20</f>
        <v>12.191212480000008</v>
      </c>
      <c r="J140" s="29">
        <f>Table2234210234567891112[[#This Row],[mark w]]*E$21+E$22</f>
        <v>12.218416292355617</v>
      </c>
      <c r="K140" s="56">
        <f>Table2234210234567891112[[#This Row],[Yest]]-Table2234210234567891112[[#This Row],[REF]]</f>
        <v>-0.45158380764438277</v>
      </c>
      <c r="L140" s="56">
        <f>ABS(Table2234210234567891112[[#This Row],[RESyx]])</f>
        <v>0.45158380764438277</v>
      </c>
      <c r="M140" s="29">
        <f>Table2234210234567891112[[#This Row],[mark w]]*E$25+E$26</f>
        <v>12.261278842818108</v>
      </c>
      <c r="N140" s="29">
        <f>Table2234210234567891112[[#This Row],[X-Y]]^2</f>
        <v>1.4884024400009825E-2</v>
      </c>
      <c r="O140" s="57">
        <f>Table2234210234567891112[[#This Row],[yest_rect]]-Table2234210234567891112[[#This Row],[REF]]</f>
        <v>-0.40872125718189167</v>
      </c>
      <c r="P140" s="57">
        <f>Table2234210234567891112[[#This Row],[dif rec]]^2</f>
        <v>0.16705306607234605</v>
      </c>
      <c r="Q140" s="57">
        <f>ABS(Table2234210234567891112[[#This Row],[diff-bias]])</f>
        <v>0.47878761999999142</v>
      </c>
      <c r="R140" s="57">
        <f ca="1">CELL("row",Table2234210234567891112[[#This Row],[Position]])</f>
        <v>140</v>
      </c>
      <c r="S140" s="4">
        <f>Table2234210234567891112[[#This Row],[REF]]-D$13</f>
        <v>1.6599998499999984</v>
      </c>
      <c r="T140" s="4">
        <f>ABS(Table2234210234567891112[[#This Row],[lab-med]])</f>
        <v>1.6599998499999984</v>
      </c>
      <c r="U140" s="4">
        <f>Table2234210234567891112[[#This Row],[mark w]]-F$13</f>
        <v>1.2309999999999999</v>
      </c>
      <c r="V140" s="4">
        <f>ABS(Table2234210234567891112[[#This Row],[anl-med]])</f>
        <v>1.2309999999999999</v>
      </c>
      <c r="W140" s="4">
        <f>Table2234210234567891112[[#This Row],[lab-med]]*Table2234210234567891112[[#This Row],[anl-med]]</f>
        <v>2.0434598153499977</v>
      </c>
    </row>
    <row r="141" spans="2:23" x14ac:dyDescent="0.25">
      <c r="B141" s="46">
        <f ca="1">VALUE((Table2234210234567891112[[#This Row],[Column3]]-62))</f>
        <v>79</v>
      </c>
      <c r="C141" t="s">
        <v>147</v>
      </c>
      <c r="D141">
        <v>12.699999800000001</v>
      </c>
      <c r="E141"/>
      <c r="F141">
        <v>12.685</v>
      </c>
      <c r="G141" s="29">
        <f>Table2234210234567891112[[#This Row],[mark w]]-Table2234210234567891112[[#This Row],[REF]]</f>
        <v>-1.4999800000000008E-2</v>
      </c>
      <c r="H141" s="29">
        <f>Table2234210234567891112[[#This Row],[X-Y]]-E$20</f>
        <v>-0.37178731999999215</v>
      </c>
      <c r="I141" s="29">
        <f>Table2234210234567891112[[#This Row],[mark w]]-E$20</f>
        <v>12.328212480000008</v>
      </c>
      <c r="J141" s="29">
        <f>Table2234210234567891112[[#This Row],[mark w]]*E$21+E$22</f>
        <v>12.358861683152819</v>
      </c>
      <c r="K141" s="56">
        <f>Table2234210234567891112[[#This Row],[Yest]]-Table2234210234567891112[[#This Row],[REF]]</f>
        <v>-0.34113811684718165</v>
      </c>
      <c r="L141" s="56">
        <f>ABS(Table2234210234567891112[[#This Row],[RESyx]])</f>
        <v>0.34113811684718165</v>
      </c>
      <c r="M141" s="29">
        <f>Table2234210234567891112[[#This Row],[mark w]]*E$25+E$26</f>
        <v>12.407152819689115</v>
      </c>
      <c r="N141" s="29">
        <f>Table2234210234567891112[[#This Row],[X-Y]]^2</f>
        <v>2.2499400004000024E-4</v>
      </c>
      <c r="O141" s="57">
        <f>Table2234210234567891112[[#This Row],[yest_rect]]-Table2234210234567891112[[#This Row],[REF]]</f>
        <v>-0.29284698031088574</v>
      </c>
      <c r="P141" s="57">
        <f>Table2234210234567891112[[#This Row],[dif rec]]^2</f>
        <v>8.5759353877204306E-2</v>
      </c>
      <c r="Q141" s="57">
        <f>ABS(Table2234210234567891112[[#This Row],[diff-bias]])</f>
        <v>0.37178731999999215</v>
      </c>
      <c r="R141" s="57">
        <f ca="1">CELL("row",Table2234210234567891112[[#This Row],[Position]])</f>
        <v>141</v>
      </c>
      <c r="S141" s="4">
        <f>Table2234210234567891112[[#This Row],[REF]]-D$13</f>
        <v>1.6899995499999996</v>
      </c>
      <c r="T141" s="4">
        <f>ABS(Table2234210234567891112[[#This Row],[lab-med]])</f>
        <v>1.6899995499999996</v>
      </c>
      <c r="U141" s="4">
        <f>Table2234210234567891112[[#This Row],[mark w]]-F$13</f>
        <v>1.3680000000000003</v>
      </c>
      <c r="V141" s="4">
        <f>ABS(Table2234210234567891112[[#This Row],[anl-med]])</f>
        <v>1.3680000000000003</v>
      </c>
      <c r="W141" s="4">
        <f>Table2234210234567891112[[#This Row],[lab-med]]*Table2234210234567891112[[#This Row],[anl-med]]</f>
        <v>2.3119193843999999</v>
      </c>
    </row>
    <row r="142" spans="2:23" x14ac:dyDescent="0.25">
      <c r="B142" s="46">
        <f ca="1">VALUE((Table2234210234567891112[[#This Row],[Column3]]-62))</f>
        <v>80</v>
      </c>
      <c r="C142" t="s">
        <v>148</v>
      </c>
      <c r="D142">
        <v>14.4300003</v>
      </c>
      <c r="E142"/>
      <c r="F142">
        <v>14.459</v>
      </c>
      <c r="G142" s="29">
        <f>Table2234210234567891112[[#This Row],[mark w]]-Table2234210234567891112[[#This Row],[REF]]</f>
        <v>2.8999699999999962E-2</v>
      </c>
      <c r="H142" s="29">
        <f>Table2234210234567891112[[#This Row],[X-Y]]-E$20</f>
        <v>-0.32778781999999218</v>
      </c>
      <c r="I142" s="29">
        <f>Table2234210234567891112[[#This Row],[mark w]]-E$20</f>
        <v>14.102212480000007</v>
      </c>
      <c r="J142" s="29">
        <f>Table2234210234567891112[[#This Row],[mark w]]*E$21+E$22</f>
        <v>14.177475721650893</v>
      </c>
      <c r="K142" s="56">
        <f>Table2234210234567891112[[#This Row],[Yest]]-Table2234210234567891112[[#This Row],[REF]]</f>
        <v>-0.25252457834910658</v>
      </c>
      <c r="L142" s="56">
        <f>ABS(Table2234210234567891112[[#This Row],[RESyx]])</f>
        <v>0.25252457834910658</v>
      </c>
      <c r="M142" s="29">
        <f>Table2234210234567891112[[#This Row],[mark w]]*E$25+E$26</f>
        <v>14.296061104135589</v>
      </c>
      <c r="N142" s="29">
        <f>Table2234210234567891112[[#This Row],[X-Y]]^2</f>
        <v>8.4098260008999776E-4</v>
      </c>
      <c r="O142" s="57">
        <f>Table2234210234567891112[[#This Row],[yest_rect]]-Table2234210234567891112[[#This Row],[REF]]</f>
        <v>-0.13393919586441072</v>
      </c>
      <c r="P142" s="57">
        <f>Table2234210234567891112[[#This Row],[dif rec]]^2</f>
        <v>1.7939708188804977E-2</v>
      </c>
      <c r="Q142" s="57">
        <f>ABS(Table2234210234567891112[[#This Row],[diff-bias]])</f>
        <v>0.32778781999999218</v>
      </c>
      <c r="R142" s="57">
        <f ca="1">CELL("row",Table2234210234567891112[[#This Row],[Position]])</f>
        <v>142</v>
      </c>
      <c r="S142" s="4">
        <f>Table2234210234567891112[[#This Row],[REF]]-D$13</f>
        <v>3.4200000499999987</v>
      </c>
      <c r="T142" s="4">
        <f>ABS(Table2234210234567891112[[#This Row],[lab-med]])</f>
        <v>3.4200000499999987</v>
      </c>
      <c r="U142" s="4">
        <f>Table2234210234567891112[[#This Row],[mark w]]-F$13</f>
        <v>3.1419999999999995</v>
      </c>
      <c r="V142" s="4">
        <f>ABS(Table2234210234567891112[[#This Row],[anl-med]])</f>
        <v>3.1419999999999995</v>
      </c>
      <c r="W142" s="4">
        <f>Table2234210234567891112[[#This Row],[lab-med]]*Table2234210234567891112[[#This Row],[anl-med]]</f>
        <v>10.745640157099993</v>
      </c>
    </row>
  </sheetData>
  <mergeCells count="1">
    <mergeCell ref="C3:K3"/>
  </mergeCells>
  <conditionalFormatting sqref="F63:F142">
    <cfRule type="expression" dxfId="58" priority="2" stopIfTrue="1">
      <formula>ABS(F63-#REF!)/#REF!&gt;3</formula>
    </cfRule>
  </conditionalFormatting>
  <conditionalFormatting sqref="D68:D72">
    <cfRule type="expression" dxfId="57" priority="1" stopIfTrue="1">
      <formula>ABS(D68-#REF!)/#REF!&gt;3</formula>
    </cfRule>
  </conditionalFormatting>
  <pageMargins left="0.75" right="0.75" top="1" bottom="1" header="0.5" footer="0.5"/>
  <pageSetup paperSize="9" scale="65" orientation="portrait" r:id="rId1"/>
  <headerFooter alignWithMargins="0">
    <oddHeader>&amp;A</oddHeader>
    <oddFooter>&amp;F</oddFooter>
  </headerFooter>
  <rowBreaks count="1" manualBreakCount="1">
    <brk id="58" max="16383" man="1"/>
  </rowBreaks>
  <drawing r:id="rId2"/>
  <legacyDrawing r:id="rId3"/>
  <tableParts count="1">
    <tablePart r:id="rId4"/>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07EA4-01D6-4A96-AE78-09E7B975E218}">
  <sheetPr>
    <pageSetUpPr fitToPage="1"/>
  </sheetPr>
  <dimension ref="B1:AB142"/>
  <sheetViews>
    <sheetView topLeftCell="A47" zoomScale="80" zoomScaleNormal="80" workbookViewId="0">
      <selection activeCell="D63" sqref="D63:D142"/>
    </sheetView>
  </sheetViews>
  <sheetFormatPr defaultColWidth="8.88671875" defaultRowHeight="13.2" x14ac:dyDescent="0.25"/>
  <cols>
    <col min="1" max="1" width="3.109375" style="2" customWidth="1"/>
    <col min="2" max="2" width="9.44140625" style="2" customWidth="1"/>
    <col min="3" max="3" width="20.88671875" style="2" customWidth="1"/>
    <col min="4" max="4" width="15.44140625" style="61" customWidth="1"/>
    <col min="5" max="5" width="10.88671875" style="61" customWidth="1"/>
    <col min="6" max="6" width="13.5546875" style="61" customWidth="1"/>
    <col min="7" max="7" width="10.33203125" style="2" customWidth="1"/>
    <col min="8" max="8" width="13.33203125" style="2" customWidth="1"/>
    <col min="9" max="9" width="10.5546875" style="2" customWidth="1"/>
    <col min="10" max="10" width="15" style="2" customWidth="1"/>
    <col min="11" max="11" width="12.109375" style="3" customWidth="1"/>
    <col min="12" max="12" width="9.109375" style="3" customWidth="1"/>
    <col min="13" max="13" width="7.6640625" style="2" customWidth="1"/>
    <col min="14" max="14" width="7" style="2" customWidth="1"/>
    <col min="15" max="15" width="11.109375" style="2" customWidth="1"/>
    <col min="16" max="16" width="10.109375" style="2" customWidth="1"/>
    <col min="17" max="17" width="6.33203125" style="2" customWidth="1"/>
    <col min="18" max="20" width="8.88671875" style="2"/>
    <col min="21" max="21" width="9.33203125" style="2" customWidth="1"/>
    <col min="22" max="23" width="8.88671875" style="2"/>
    <col min="24" max="24" width="9.109375" style="2" customWidth="1"/>
    <col min="25" max="16384" width="8.88671875" style="2"/>
  </cols>
  <sheetData>
    <row r="1" spans="2:28" ht="15.6" customHeight="1" x14ac:dyDescent="0.25">
      <c r="B1" s="1"/>
      <c r="C1" s="1"/>
      <c r="D1" s="2"/>
      <c r="E1" s="1"/>
      <c r="F1" s="2"/>
      <c r="M1" s="3"/>
      <c r="N1" s="3"/>
      <c r="O1" s="3"/>
      <c r="P1" s="3"/>
      <c r="Q1" s="3"/>
      <c r="R1" s="3"/>
      <c r="S1" s="3"/>
      <c r="T1" s="3"/>
      <c r="U1" s="3"/>
      <c r="V1" s="3"/>
      <c r="W1" s="1" t="s">
        <v>53</v>
      </c>
    </row>
    <row r="2" spans="2:28" ht="6.6" customHeight="1" x14ac:dyDescent="0.3">
      <c r="D2" s="4"/>
      <c r="E2" s="4"/>
      <c r="F2" s="4"/>
      <c r="G2" s="5"/>
      <c r="H2" s="4"/>
      <c r="I2" s="4"/>
      <c r="J2" s="4"/>
      <c r="K2" s="6"/>
      <c r="L2" s="6"/>
      <c r="M2" s="6"/>
      <c r="N2" s="6"/>
      <c r="O2" s="6"/>
      <c r="P2" s="6"/>
      <c r="Q2" s="6"/>
      <c r="R2" s="6"/>
      <c r="S2" s="6"/>
      <c r="T2" s="6"/>
      <c r="U2" s="6"/>
      <c r="V2" s="6"/>
      <c r="W2" s="3"/>
    </row>
    <row r="3" spans="2:28" ht="20.399999999999999" x14ac:dyDescent="0.35">
      <c r="C3" s="98" t="s">
        <v>231</v>
      </c>
      <c r="D3" s="98"/>
      <c r="E3" s="98"/>
      <c r="F3" s="98"/>
      <c r="G3" s="98"/>
      <c r="H3" s="98"/>
      <c r="I3" s="98"/>
      <c r="J3" s="98"/>
      <c r="K3" s="98"/>
      <c r="L3" s="6"/>
      <c r="M3" s="6"/>
      <c r="N3" s="6"/>
      <c r="O3" s="6"/>
      <c r="P3" s="6"/>
      <c r="Q3" s="6"/>
      <c r="R3" s="6"/>
      <c r="S3" s="6"/>
      <c r="T3" s="6"/>
      <c r="U3" s="6"/>
      <c r="V3" s="6"/>
      <c r="W3" s="3"/>
    </row>
    <row r="4" spans="2:28" ht="7.2" customHeight="1" x14ac:dyDescent="0.25">
      <c r="D4" s="4"/>
      <c r="E4" s="4"/>
      <c r="F4" s="4"/>
      <c r="G4" s="4"/>
      <c r="H4" s="4"/>
      <c r="I4" s="4"/>
      <c r="J4" s="4"/>
      <c r="K4" s="6"/>
      <c r="L4" s="6"/>
      <c r="M4" s="6"/>
      <c r="N4" s="6"/>
      <c r="O4" s="6"/>
      <c r="P4" s="6"/>
      <c r="Q4" s="6"/>
      <c r="R4" s="6"/>
      <c r="S4" s="6"/>
      <c r="T4" s="6"/>
      <c r="U4" s="6"/>
      <c r="V4" s="6"/>
      <c r="W4" s="36"/>
      <c r="X4" s="30"/>
      <c r="Y4" s="30"/>
      <c r="Z4" s="30"/>
      <c r="AA4" s="30"/>
      <c r="AB4" s="30"/>
    </row>
    <row r="5" spans="2:28" ht="7.95" customHeight="1" thickBot="1" x14ac:dyDescent="0.3">
      <c r="D5" s="4"/>
      <c r="E5" s="4"/>
      <c r="F5" s="4"/>
      <c r="G5" s="4"/>
      <c r="H5" s="4"/>
      <c r="I5" s="4"/>
      <c r="J5" s="4"/>
      <c r="K5" s="6"/>
      <c r="L5" s="6"/>
      <c r="M5" s="6"/>
      <c r="N5" s="6"/>
      <c r="O5" s="6"/>
      <c r="P5" s="6"/>
      <c r="Q5" s="6"/>
      <c r="R5" s="6"/>
      <c r="S5" s="6"/>
      <c r="T5" s="6"/>
      <c r="U5" s="6"/>
      <c r="V5" s="6"/>
      <c r="W5" s="36"/>
      <c r="X5" s="30"/>
      <c r="Y5" s="30"/>
      <c r="Z5" s="30"/>
      <c r="AA5" s="30"/>
      <c r="AB5" s="30"/>
    </row>
    <row r="6" spans="2:28" ht="17.399999999999999" x14ac:dyDescent="0.3">
      <c r="B6" s="47"/>
      <c r="C6" s="48" t="str">
        <f>CONCATENATE(D62," = f (",F62," )")</f>
        <v>REF = f (doug )</v>
      </c>
      <c r="D6" s="49"/>
      <c r="E6" s="48"/>
      <c r="F6" s="48"/>
      <c r="G6" s="8"/>
      <c r="H6" s="65" t="s">
        <v>38</v>
      </c>
      <c r="I6" s="7"/>
      <c r="J6" s="8"/>
      <c r="M6" s="3"/>
      <c r="N6" s="3"/>
      <c r="O6" s="3"/>
      <c r="P6" s="3"/>
      <c r="Q6" s="3"/>
      <c r="R6" s="3"/>
      <c r="S6" s="3"/>
      <c r="T6" s="3"/>
      <c r="U6" s="3"/>
      <c r="V6" s="3"/>
      <c r="W6" s="36"/>
      <c r="X6" s="30"/>
      <c r="Y6" s="30"/>
      <c r="Z6" s="30"/>
      <c r="AA6" s="30"/>
      <c r="AB6" s="30"/>
    </row>
    <row r="7" spans="2:28" ht="17.399999999999999" x14ac:dyDescent="0.3">
      <c r="B7" s="50"/>
      <c r="C7" s="36"/>
      <c r="D7" s="45" t="str">
        <f>D62</f>
        <v>REF</v>
      </c>
      <c r="E7" s="45"/>
      <c r="F7" s="45" t="str">
        <f>F62</f>
        <v>doug</v>
      </c>
      <c r="G7" s="10"/>
      <c r="H7" s="66" t="s">
        <v>22</v>
      </c>
      <c r="I7" s="9">
        <v>500</v>
      </c>
      <c r="J7" s="10"/>
      <c r="M7" s="3"/>
      <c r="N7" s="3"/>
      <c r="O7" s="3"/>
      <c r="P7" s="3"/>
      <c r="Q7" s="3"/>
      <c r="R7" s="3"/>
      <c r="S7" s="3"/>
      <c r="T7" s="3"/>
      <c r="U7" s="3"/>
      <c r="V7" s="3"/>
      <c r="W7" s="36"/>
      <c r="X7" s="30" t="s">
        <v>30</v>
      </c>
      <c r="Y7" s="30"/>
      <c r="Z7" s="30"/>
      <c r="AA7" s="30"/>
      <c r="AB7" s="30"/>
    </row>
    <row r="8" spans="2:28" ht="17.399999999999999" x14ac:dyDescent="0.3">
      <c r="B8" s="50"/>
      <c r="C8" s="51" t="s">
        <v>22</v>
      </c>
      <c r="D8" s="23"/>
      <c r="E8" s="45">
        <f>COUNT(Table223421023456789111213[REF])</f>
        <v>80</v>
      </c>
      <c r="F8" s="23"/>
      <c r="G8" s="10"/>
      <c r="H8" s="66" t="s">
        <v>39</v>
      </c>
      <c r="I8" s="9">
        <v>1.2</v>
      </c>
      <c r="J8" s="10"/>
      <c r="M8" s="3"/>
      <c r="N8" s="3"/>
      <c r="O8" s="3"/>
      <c r="P8" s="3"/>
      <c r="Q8" s="3"/>
      <c r="R8" s="3"/>
      <c r="S8" s="3"/>
      <c r="T8" s="3"/>
      <c r="U8" s="3"/>
      <c r="V8" s="3"/>
      <c r="W8" s="36"/>
      <c r="X8" s="37">
        <f>62+E8</f>
        <v>142</v>
      </c>
      <c r="Y8" s="30"/>
      <c r="Z8" s="38"/>
      <c r="AA8" s="30"/>
      <c r="AB8" s="30"/>
    </row>
    <row r="9" spans="2:28" ht="16.2" thickBot="1" x14ac:dyDescent="0.35">
      <c r="B9" s="50"/>
      <c r="C9" s="51" t="s">
        <v>6</v>
      </c>
      <c r="D9" s="24">
        <f>AVERAGE(Table223421023456789111213[REF])</f>
        <v>11.109499980000002</v>
      </c>
      <c r="E9" s="24"/>
      <c r="F9" s="24">
        <f>AVERAGE(Table223421023456789111213[doug])</f>
        <v>11.106724618749999</v>
      </c>
      <c r="G9" s="69"/>
      <c r="H9" s="67" t="s">
        <v>43</v>
      </c>
      <c r="I9" s="13"/>
      <c r="J9" s="14">
        <v>12</v>
      </c>
      <c r="M9" s="3"/>
      <c r="N9" s="3"/>
      <c r="O9" s="3"/>
      <c r="P9" s="3"/>
      <c r="Q9" s="3"/>
      <c r="R9" s="3"/>
      <c r="S9" s="3"/>
      <c r="T9" s="3"/>
      <c r="U9" s="3"/>
      <c r="V9" s="3"/>
      <c r="W9" s="56"/>
      <c r="X9" s="30"/>
      <c r="Y9" s="30"/>
      <c r="Z9" s="30"/>
      <c r="AA9" s="30"/>
      <c r="AB9" s="30"/>
    </row>
    <row r="10" spans="2:28" ht="16.2" thickBot="1" x14ac:dyDescent="0.35">
      <c r="B10" s="50"/>
      <c r="C10" s="51" t="s">
        <v>7</v>
      </c>
      <c r="D10" s="24">
        <f>MIN(Table223421023456789111213[REF])</f>
        <v>8.9700003000000006</v>
      </c>
      <c r="E10" s="24">
        <f>ROUNDDOWN(MIN(D10,F10),0)</f>
        <v>8</v>
      </c>
      <c r="F10" s="24">
        <f>MIN(Table223421023456789111213[doug])</f>
        <v>8.3143402999999996</v>
      </c>
      <c r="G10" s="70"/>
      <c r="H10" s="68" t="s">
        <v>40</v>
      </c>
      <c r="I10" s="15">
        <v>0.05</v>
      </c>
      <c r="J10" s="16"/>
      <c r="M10" s="3"/>
      <c r="N10" s="3"/>
      <c r="O10" s="3"/>
      <c r="P10" s="3"/>
      <c r="Q10" s="3"/>
      <c r="R10" s="3"/>
      <c r="S10" s="3"/>
      <c r="T10" s="3"/>
      <c r="U10" s="3"/>
      <c r="V10" s="3"/>
      <c r="W10" s="56">
        <f>E10+E20</f>
        <v>7.9972246387499961</v>
      </c>
      <c r="X10" s="30"/>
      <c r="Y10" s="30"/>
      <c r="Z10" s="30"/>
      <c r="AA10" s="30"/>
      <c r="AB10" s="30"/>
    </row>
    <row r="11" spans="2:28" ht="15.6" x14ac:dyDescent="0.3">
      <c r="B11" s="50"/>
      <c r="C11" s="51" t="s">
        <v>8</v>
      </c>
      <c r="D11" s="24">
        <f>MAX(Table223421023456789111213[REF])</f>
        <v>14.4300003</v>
      </c>
      <c r="E11" s="24">
        <f>ROUNDUP(MAX(D11,F11),0)+1</f>
        <v>16</v>
      </c>
      <c r="F11" s="24">
        <f>MAX(Table223421023456789111213[doug])</f>
        <v>14.519897</v>
      </c>
      <c r="G11" s="70"/>
      <c r="H11" s="28" t="s">
        <v>41</v>
      </c>
      <c r="I11" s="29">
        <f>TINV(I10,E8)</f>
        <v>1.9900634212544475</v>
      </c>
      <c r="J11" s="29"/>
      <c r="K11" s="36"/>
      <c r="M11" s="3"/>
      <c r="N11" s="3"/>
      <c r="O11" s="3"/>
      <c r="P11" s="3"/>
      <c r="Q11" s="3"/>
      <c r="R11" s="3"/>
      <c r="S11" s="3"/>
      <c r="T11" s="3"/>
      <c r="U11" s="3"/>
      <c r="V11" s="3"/>
      <c r="W11" s="56">
        <f>E11+E20</f>
        <v>15.997224638749996</v>
      </c>
      <c r="X11" s="30"/>
      <c r="Y11" s="30"/>
      <c r="Z11" s="30"/>
      <c r="AA11" s="30"/>
      <c r="AB11" s="30"/>
    </row>
    <row r="12" spans="2:28" ht="15.6" x14ac:dyDescent="0.3">
      <c r="B12" s="50"/>
      <c r="C12" s="51" t="s">
        <v>9</v>
      </c>
      <c r="D12" s="25">
        <f>STDEV(Table223421023456789111213[REF])</f>
        <v>1.1729049824811564</v>
      </c>
      <c r="E12" s="25"/>
      <c r="F12" s="24">
        <f>STDEV(Table223421023456789111213[doug])</f>
        <v>1.1960014271844934</v>
      </c>
      <c r="G12" s="69"/>
      <c r="H12" s="28" t="s">
        <v>42</v>
      </c>
      <c r="I12" s="29">
        <f>FINV(I10,E8-1,I7-1-J9)</f>
        <v>1.305795130911809</v>
      </c>
      <c r="J12" s="30"/>
      <c r="K12" s="36"/>
      <c r="M12" s="3"/>
      <c r="N12" s="3"/>
      <c r="O12" s="3"/>
      <c r="P12" s="3"/>
      <c r="Q12" s="3"/>
      <c r="R12" s="3"/>
      <c r="S12" s="3"/>
      <c r="T12" s="3"/>
      <c r="U12" s="3"/>
      <c r="V12" s="3"/>
      <c r="W12" s="36"/>
      <c r="X12" s="30"/>
      <c r="Y12" s="30"/>
      <c r="Z12" s="30"/>
      <c r="AA12" s="30"/>
      <c r="AB12" s="30"/>
    </row>
    <row r="13" spans="2:28" ht="15.6" x14ac:dyDescent="0.3">
      <c r="B13" s="50"/>
      <c r="C13" s="51" t="s">
        <v>56</v>
      </c>
      <c r="D13" s="24">
        <f>MEDIAN(Table223421023456789111213[REF])</f>
        <v>11.010000250000001</v>
      </c>
      <c r="E13" s="25"/>
      <c r="F13" s="24">
        <f>MEDIAN(Table223421023456789111213[doug])</f>
        <v>11.048443500000001</v>
      </c>
      <c r="G13" s="69"/>
      <c r="H13" s="28"/>
      <c r="I13" s="29"/>
      <c r="J13" s="30"/>
      <c r="K13" s="36"/>
      <c r="M13" s="3"/>
      <c r="N13" s="3"/>
      <c r="O13" s="3"/>
      <c r="P13" s="3"/>
      <c r="Q13" s="3"/>
      <c r="R13" s="3"/>
      <c r="S13" s="3"/>
      <c r="T13" s="3"/>
      <c r="U13" s="3"/>
      <c r="V13" s="3"/>
      <c r="W13" s="36"/>
      <c r="X13" s="30"/>
      <c r="Y13" s="30"/>
      <c r="Z13" s="30"/>
      <c r="AA13" s="30"/>
      <c r="AB13" s="30"/>
    </row>
    <row r="14" spans="2:28" ht="15.6" x14ac:dyDescent="0.3">
      <c r="B14" s="50"/>
      <c r="C14" s="51" t="s">
        <v>57</v>
      </c>
      <c r="D14" s="25">
        <f>1.4826*(MEDIAN(Table223421023456789111213[abs(lab)]))</f>
        <v>1.4677736293499986</v>
      </c>
      <c r="E14" s="25"/>
      <c r="F14" s="24">
        <f>1.4826*MEDIAN(Table223421023456789111213[abs(anl)])</f>
        <v>1.3352310425999987</v>
      </c>
      <c r="G14" s="75"/>
      <c r="H14" s="28"/>
      <c r="I14" s="29"/>
      <c r="J14" s="30"/>
      <c r="K14" s="36"/>
      <c r="M14" s="3"/>
      <c r="N14" s="3"/>
      <c r="O14" s="3"/>
      <c r="P14" s="3"/>
      <c r="Q14" s="3"/>
      <c r="R14" s="3"/>
      <c r="S14" s="3"/>
      <c r="T14" s="3"/>
      <c r="U14" s="3"/>
      <c r="V14" s="3"/>
      <c r="W14" s="36"/>
      <c r="X14" s="30"/>
      <c r="Y14" s="30"/>
      <c r="Z14" s="30"/>
      <c r="AA14" s="30"/>
      <c r="AB14" s="30"/>
    </row>
    <row r="15" spans="2:28" ht="15.6" x14ac:dyDescent="0.3">
      <c r="B15" s="50"/>
      <c r="C15" s="51"/>
      <c r="D15" s="25"/>
      <c r="E15" s="25"/>
      <c r="F15" s="24" t="s">
        <v>63</v>
      </c>
      <c r="G15" s="69"/>
      <c r="H15" s="28"/>
      <c r="I15" s="29"/>
      <c r="J15" s="30"/>
      <c r="K15" s="36"/>
      <c r="M15" s="3"/>
      <c r="N15" s="3"/>
      <c r="O15" s="3"/>
      <c r="P15" s="3"/>
      <c r="Q15" s="3"/>
      <c r="R15" s="3"/>
      <c r="S15" s="3"/>
      <c r="T15" s="3"/>
      <c r="U15" s="3"/>
      <c r="V15" s="3"/>
      <c r="W15" s="36"/>
      <c r="X15" s="30"/>
      <c r="Y15" s="30"/>
      <c r="Z15" s="30"/>
      <c r="AA15" s="30"/>
      <c r="AB15" s="30"/>
    </row>
    <row r="16" spans="2:28" ht="17.399999999999999" x14ac:dyDescent="0.3">
      <c r="B16" s="50"/>
      <c r="C16" s="51" t="s">
        <v>10</v>
      </c>
      <c r="D16" s="25"/>
      <c r="E16" s="26">
        <f>SQRT(AVERAGE(Table223421023456789111213[dif^2]))</f>
        <v>0.70982028783460627</v>
      </c>
      <c r="F16" s="72">
        <f>SQRT(F18^2+E20^2)</f>
        <v>0.73179660774057909</v>
      </c>
      <c r="G16" s="10"/>
      <c r="H16" s="31"/>
      <c r="I16" s="30"/>
      <c r="J16" s="31"/>
      <c r="K16" s="44"/>
      <c r="M16" s="3"/>
      <c r="N16" s="3"/>
      <c r="O16" s="3"/>
      <c r="P16" s="3"/>
      <c r="Q16" s="3"/>
      <c r="R16" s="3"/>
      <c r="S16" s="3"/>
      <c r="T16" s="3"/>
      <c r="U16" s="3"/>
      <c r="V16" s="3"/>
      <c r="W16" s="36"/>
      <c r="X16" s="30"/>
      <c r="Y16" s="30"/>
      <c r="Z16" s="30"/>
      <c r="AA16" s="30"/>
      <c r="AB16" s="30"/>
    </row>
    <row r="17" spans="2:28" ht="21" x14ac:dyDescent="0.4">
      <c r="B17" s="50"/>
      <c r="C17" s="51" t="s">
        <v>55</v>
      </c>
      <c r="D17" s="3"/>
      <c r="E17" s="26"/>
      <c r="F17" s="26">
        <f>MEDIAN(Table223421023456789111213[abs_errors])</f>
        <v>0.49358650000000015</v>
      </c>
      <c r="G17" s="10"/>
      <c r="H17" s="32"/>
      <c r="I17" s="33"/>
      <c r="J17" s="34"/>
      <c r="K17" s="54"/>
      <c r="M17" s="3"/>
      <c r="N17" s="3"/>
      <c r="O17" s="3"/>
      <c r="P17" s="3"/>
      <c r="Q17" s="3"/>
      <c r="R17" s="3"/>
      <c r="S17" s="3"/>
      <c r="T17" s="3"/>
      <c r="U17" s="3"/>
      <c r="V17" s="3"/>
      <c r="W17" s="36"/>
      <c r="X17" s="30"/>
      <c r="Y17" s="30"/>
      <c r="Z17" s="30"/>
      <c r="AA17" s="30"/>
      <c r="AB17" s="30"/>
    </row>
    <row r="18" spans="2:28" ht="21" x14ac:dyDescent="0.4">
      <c r="B18" s="50"/>
      <c r="C18" s="51" t="s">
        <v>11</v>
      </c>
      <c r="D18" s="25"/>
      <c r="E18" s="26">
        <f>STDEV(Table223421023456789111213[X-Y])</f>
        <v>0.71429323368461972</v>
      </c>
      <c r="F18" s="26">
        <f>1.4826*MEDIAN(Table223421023456789111213[abs_errors])</f>
        <v>0.7317913449000002</v>
      </c>
      <c r="G18" s="10"/>
      <c r="H18" s="32" t="s">
        <v>44</v>
      </c>
      <c r="I18" s="33">
        <f>I8*I12</f>
        <v>1.5669541570941707</v>
      </c>
      <c r="J18" s="34" t="str">
        <f>IF(E18&gt;I18,"S"," ns ")</f>
        <v xml:space="preserve"> ns </v>
      </c>
      <c r="K18" s="36"/>
      <c r="M18" s="3"/>
      <c r="N18" s="3"/>
      <c r="O18" s="3"/>
      <c r="P18" s="3"/>
      <c r="Q18" s="3"/>
      <c r="R18" s="3"/>
      <c r="S18" s="3"/>
      <c r="T18" s="3"/>
      <c r="U18" s="3"/>
      <c r="V18" s="3"/>
      <c r="W18" s="36"/>
      <c r="X18" s="30" t="s">
        <v>28</v>
      </c>
      <c r="Y18" s="30" t="s">
        <v>27</v>
      </c>
      <c r="Z18" s="30"/>
      <c r="AA18" s="30"/>
      <c r="AB18" s="30"/>
    </row>
    <row r="19" spans="2:28" ht="17.399999999999999" x14ac:dyDescent="0.3">
      <c r="B19" s="50"/>
      <c r="C19" s="51" t="s">
        <v>12</v>
      </c>
      <c r="D19" s="25"/>
      <c r="E19" s="26">
        <f>STEYX(Table223421023456789111213[REF],Table223421023456789111213[doug])</f>
        <v>0.67842680151651613</v>
      </c>
      <c r="F19" s="26">
        <f>1.4826*MEDIAN(Table223421023456789111213[Abs_erroryx])</f>
        <v>0.67802569679959679</v>
      </c>
      <c r="G19" s="10"/>
      <c r="H19" s="32"/>
      <c r="I19" s="33"/>
      <c r="J19" s="30"/>
      <c r="K19" s="36"/>
      <c r="M19" s="3"/>
      <c r="N19" s="3"/>
      <c r="O19" s="3"/>
      <c r="P19" s="3"/>
      <c r="Q19" s="3"/>
      <c r="R19" s="3"/>
      <c r="S19" s="3"/>
      <c r="T19" s="3"/>
      <c r="U19" s="3"/>
      <c r="V19" s="3"/>
      <c r="W19" s="36" t="s">
        <v>24</v>
      </c>
      <c r="X19" s="35">
        <f>E$26+E$25*E10</f>
        <v>8.0627705182243332</v>
      </c>
      <c r="Y19" s="30">
        <f>E10</f>
        <v>8</v>
      </c>
      <c r="Z19" s="30"/>
      <c r="AA19" s="30"/>
      <c r="AB19" s="30"/>
    </row>
    <row r="20" spans="2:28" ht="21" x14ac:dyDescent="0.4">
      <c r="B20" s="50"/>
      <c r="C20" s="51" t="s">
        <v>16</v>
      </c>
      <c r="D20" s="25"/>
      <c r="E20" s="72">
        <f>F9-D9</f>
        <v>-2.7753612500038827E-3</v>
      </c>
      <c r="F20" s="26">
        <f>F13-D13</f>
        <v>3.8443250000000262E-2</v>
      </c>
      <c r="G20" s="10"/>
      <c r="H20" s="32" t="s">
        <v>46</v>
      </c>
      <c r="I20" s="33">
        <f>ABS(E20/(SQRT(SUM(Table223421023456789111213[dif^2])/(E8*(E8-1)))))</f>
        <v>3.4752388444082273E-2</v>
      </c>
      <c r="J20" s="34" t="str">
        <f>IF(I20&gt;I11,"S","ns")</f>
        <v>ns</v>
      </c>
      <c r="K20" s="36"/>
      <c r="M20" s="3"/>
      <c r="N20" s="3"/>
      <c r="O20" s="3"/>
      <c r="P20" s="3"/>
      <c r="Q20" s="3"/>
      <c r="R20" s="3"/>
      <c r="S20" s="3"/>
      <c r="T20" s="3"/>
      <c r="U20" s="3"/>
      <c r="V20" s="3"/>
      <c r="W20" s="36" t="s">
        <v>25</v>
      </c>
      <c r="X20" s="35">
        <f>E$26+E$25*E11</f>
        <v>15.908279433659603</v>
      </c>
      <c r="Y20" s="30">
        <f>E11</f>
        <v>16</v>
      </c>
      <c r="Z20" s="30"/>
      <c r="AA20" s="30"/>
      <c r="AB20" s="30"/>
    </row>
    <row r="21" spans="2:28" ht="21" x14ac:dyDescent="0.4">
      <c r="B21" s="50"/>
      <c r="C21" s="51" t="s">
        <v>13</v>
      </c>
      <c r="D21" s="25"/>
      <c r="E21" s="26">
        <f>SLOPE(Table223421023456789111213[REF],Table223421023456789111213[doug])</f>
        <v>0.80253059552854422</v>
      </c>
      <c r="F21" s="26"/>
      <c r="G21" s="10"/>
      <c r="H21" s="32" t="s">
        <v>45</v>
      </c>
      <c r="I21" s="33">
        <f>ABS(E21-1)*SQRT((E8-1)*F12^2/E19^2)</f>
        <v>3.0941549839841387</v>
      </c>
      <c r="J21" s="34" t="str">
        <f>IF(I21&gt;I11,"S"," ns  ")</f>
        <v>S</v>
      </c>
      <c r="K21" s="55"/>
      <c r="M21" s="3"/>
      <c r="N21" s="3"/>
      <c r="O21" s="3"/>
      <c r="P21" s="3"/>
      <c r="Q21" s="3"/>
      <c r="R21" s="3"/>
      <c r="S21" s="3"/>
      <c r="T21" s="3"/>
      <c r="U21" s="3"/>
      <c r="V21" s="3"/>
      <c r="W21" s="36" t="s">
        <v>26</v>
      </c>
      <c r="X21" s="30">
        <f>E$26+E$25*F9</f>
        <v>11.109499980000002</v>
      </c>
      <c r="Y21" s="29">
        <f>F9</f>
        <v>11.106724618749999</v>
      </c>
      <c r="Z21" s="30"/>
      <c r="AA21" s="30"/>
      <c r="AB21" s="30"/>
    </row>
    <row r="22" spans="2:28" ht="17.399999999999999" x14ac:dyDescent="0.3">
      <c r="B22" s="50"/>
      <c r="C22" s="51" t="s">
        <v>14</v>
      </c>
      <c r="D22" s="25"/>
      <c r="E22" s="26">
        <f>INTERCEPT(Table223421023456789111213[REF],Table223421023456789111213[doug])</f>
        <v>2.1960136573430233</v>
      </c>
      <c r="F22" s="26"/>
      <c r="G22" s="10"/>
      <c r="H22" s="30"/>
      <c r="I22" s="30"/>
      <c r="J22" s="30"/>
      <c r="K22" s="36"/>
      <c r="M22" s="3"/>
      <c r="N22" s="3"/>
      <c r="O22" s="3"/>
      <c r="P22" s="3"/>
      <c r="Q22" s="3"/>
      <c r="R22" s="3"/>
      <c r="S22" s="3"/>
      <c r="T22" s="3"/>
      <c r="U22" s="3"/>
      <c r="V22" s="3"/>
      <c r="W22" s="36"/>
      <c r="X22" s="30"/>
      <c r="Y22" s="30"/>
      <c r="Z22" s="30"/>
      <c r="AA22" s="30"/>
      <c r="AB22" s="30"/>
    </row>
    <row r="23" spans="2:28" ht="22.8" x14ac:dyDescent="0.4">
      <c r="B23" s="50"/>
      <c r="C23" s="51" t="s">
        <v>15</v>
      </c>
      <c r="D23" s="25"/>
      <c r="E23" s="80">
        <f>RSQ(Table223421023456789111213[REF],Table223421023456789111213[doug])</f>
        <v>0.66967013323187419</v>
      </c>
      <c r="F23" s="26">
        <f>(D12^2-F19^2)/D12^2</f>
        <v>0.66583062602353593</v>
      </c>
      <c r="G23" s="10"/>
      <c r="H23" s="32"/>
      <c r="I23" s="33"/>
      <c r="J23" s="30"/>
      <c r="K23" s="36"/>
      <c r="M23" s="3"/>
      <c r="N23" s="3"/>
      <c r="O23" s="3"/>
      <c r="P23" s="3"/>
      <c r="Q23" s="3"/>
      <c r="R23" s="3"/>
      <c r="S23" s="3"/>
      <c r="T23" s="3"/>
      <c r="U23" s="3"/>
      <c r="V23" s="3"/>
      <c r="W23" s="36"/>
      <c r="X23" s="30"/>
      <c r="Y23" s="30"/>
      <c r="Z23" s="30"/>
      <c r="AA23" s="30"/>
      <c r="AB23" s="30"/>
    </row>
    <row r="24" spans="2:28" ht="17.399999999999999" x14ac:dyDescent="0.3">
      <c r="B24" s="50"/>
      <c r="C24" s="51" t="s">
        <v>29</v>
      </c>
      <c r="D24" s="23"/>
      <c r="E24" s="26">
        <f>1/SQRT(1-E23)</f>
        <v>1.7399071744029799</v>
      </c>
      <c r="F24" s="26">
        <f>1/SQRT(1-F23)</f>
        <v>1.7298827876546254</v>
      </c>
      <c r="G24" s="10"/>
      <c r="H24" s="76" t="s">
        <v>64</v>
      </c>
      <c r="I24" s="77">
        <f>D12/E19</f>
        <v>1.7288600330342379</v>
      </c>
      <c r="J24" s="30"/>
      <c r="K24" s="36"/>
      <c r="M24" s="3"/>
      <c r="N24" s="3"/>
      <c r="O24" s="3"/>
      <c r="P24" s="3"/>
      <c r="Q24" s="3"/>
      <c r="R24" s="3"/>
      <c r="S24" s="3"/>
      <c r="T24" s="3"/>
      <c r="U24" s="3"/>
      <c r="V24" s="3"/>
      <c r="W24" s="36"/>
      <c r="X24" s="30"/>
      <c r="Y24" s="30"/>
      <c r="Z24" s="30"/>
      <c r="AA24" s="30"/>
      <c r="AB24" s="30"/>
    </row>
    <row r="25" spans="2:28" ht="17.399999999999999" x14ac:dyDescent="0.3">
      <c r="B25" s="50"/>
      <c r="C25" s="51" t="s">
        <v>17</v>
      </c>
      <c r="D25" s="23"/>
      <c r="E25" s="26">
        <f>(D12/F12)</f>
        <v>0.9806886144294088</v>
      </c>
      <c r="F25" s="45"/>
      <c r="G25" s="10"/>
      <c r="H25" s="32" t="s">
        <v>47</v>
      </c>
      <c r="I25" s="62">
        <f>QUARTILE(Table223421023456789111213[abs_errors],3)</f>
        <v>0.79453931125000432</v>
      </c>
      <c r="J25" s="30"/>
      <c r="K25" s="36"/>
      <c r="M25" s="3"/>
      <c r="N25" s="3"/>
      <c r="O25" s="3"/>
      <c r="P25" s="3"/>
      <c r="Q25" s="3"/>
      <c r="R25" s="3"/>
      <c r="S25" s="3"/>
      <c r="T25" s="3"/>
      <c r="U25" s="3"/>
      <c r="V25" s="3"/>
      <c r="W25" s="36" t="s">
        <v>19</v>
      </c>
      <c r="X25" s="30">
        <f>COVAR(Table223421023456789111213[REF],Table223421023456789111213[doug])</f>
        <v>1.1336059022340137</v>
      </c>
      <c r="Y25" s="30"/>
      <c r="Z25" s="30"/>
      <c r="AA25" s="30"/>
      <c r="AB25" s="30"/>
    </row>
    <row r="26" spans="2:28" ht="17.399999999999999" x14ac:dyDescent="0.3">
      <c r="B26" s="50"/>
      <c r="C26" s="51" t="s">
        <v>18</v>
      </c>
      <c r="D26" s="23"/>
      <c r="E26" s="26">
        <f>D9-E25*F9</f>
        <v>0.21726160278906193</v>
      </c>
      <c r="F26" s="45"/>
      <c r="G26" s="10"/>
      <c r="M26" s="3"/>
      <c r="N26" s="3"/>
      <c r="O26" s="3"/>
      <c r="P26" s="3"/>
      <c r="Q26" s="3"/>
      <c r="R26" s="3"/>
      <c r="S26" s="3"/>
      <c r="T26" s="3"/>
      <c r="U26" s="3"/>
      <c r="V26" s="3"/>
      <c r="W26" s="36" t="s">
        <v>20</v>
      </c>
      <c r="X26" s="30">
        <f>SIGN(X25)</f>
        <v>1</v>
      </c>
      <c r="Y26" s="30"/>
      <c r="Z26" s="30"/>
      <c r="AA26" s="30"/>
      <c r="AB26" s="30"/>
    </row>
    <row r="27" spans="2:28" ht="18" thickBot="1" x14ac:dyDescent="0.35">
      <c r="B27" s="52"/>
      <c r="C27" s="53" t="s">
        <v>21</v>
      </c>
      <c r="D27" s="27"/>
      <c r="E27" s="73">
        <f>SQRT(AVERAGE(Table223421023456789111213[dif_rec^2]))</f>
        <v>0.70256013284865393</v>
      </c>
      <c r="F27" s="74"/>
      <c r="G27" s="71"/>
      <c r="M27" s="3"/>
      <c r="N27" s="3"/>
      <c r="O27" s="3"/>
      <c r="P27" s="3"/>
      <c r="Q27" s="3"/>
      <c r="R27" s="3"/>
      <c r="S27" s="3"/>
      <c r="T27" s="3"/>
      <c r="U27" s="3"/>
      <c r="V27" s="3"/>
      <c r="W27" s="36"/>
      <c r="X27" s="30"/>
      <c r="Y27" s="30"/>
      <c r="Z27" s="30"/>
      <c r="AA27" s="30"/>
      <c r="AB27" s="30"/>
    </row>
    <row r="28" spans="2:28" ht="15.6" x14ac:dyDescent="0.3">
      <c r="B28" s="3"/>
      <c r="C28" s="11"/>
      <c r="D28" s="12"/>
      <c r="E28" s="18"/>
      <c r="F28" s="12"/>
      <c r="M28" s="3"/>
      <c r="N28" s="3"/>
      <c r="O28" s="3"/>
      <c r="P28" s="3"/>
      <c r="Q28" s="3"/>
      <c r="R28" s="3"/>
      <c r="S28" s="3"/>
      <c r="T28" s="3"/>
      <c r="U28" s="3"/>
      <c r="V28" s="3"/>
      <c r="W28" s="36"/>
      <c r="X28" s="30"/>
      <c r="Y28" s="30"/>
      <c r="Z28" s="30"/>
      <c r="AA28" s="30"/>
      <c r="AB28" s="30"/>
    </row>
    <row r="29" spans="2:28" ht="17.399999999999999" x14ac:dyDescent="0.3">
      <c r="C29" s="19"/>
      <c r="D29" s="3"/>
      <c r="E29" s="17"/>
      <c r="F29" s="3"/>
      <c r="M29" s="3"/>
      <c r="N29" s="3"/>
      <c r="O29" s="3"/>
      <c r="P29" s="3"/>
      <c r="Q29" s="3"/>
      <c r="R29" s="3"/>
      <c r="S29" s="3"/>
      <c r="T29" s="3"/>
      <c r="U29" s="3"/>
      <c r="V29" s="3"/>
      <c r="W29" s="44" t="s">
        <v>54</v>
      </c>
      <c r="X29" s="37">
        <f>MIN(Table223421023456789111213[X-Y])</f>
        <v>-1.8202860999999988</v>
      </c>
      <c r="Y29" s="30">
        <f>X29</f>
        <v>-1.8202860999999988</v>
      </c>
      <c r="Z29" s="30"/>
      <c r="AA29" s="30"/>
      <c r="AB29" s="30"/>
    </row>
    <row r="30" spans="2:28" ht="17.399999999999999" x14ac:dyDescent="0.3">
      <c r="C30" s="19"/>
      <c r="D30" s="3"/>
      <c r="E30" s="17"/>
      <c r="F30" s="3"/>
      <c r="M30" s="3"/>
      <c r="N30" s="3"/>
      <c r="O30" s="3"/>
      <c r="P30" s="3"/>
      <c r="Q30" s="3"/>
      <c r="R30" s="3"/>
      <c r="S30" s="3"/>
      <c r="T30" s="3"/>
      <c r="U30" s="3"/>
      <c r="V30" s="3"/>
      <c r="W30" s="39" t="s">
        <v>37</v>
      </c>
      <c r="X30" s="63">
        <f>MAX(Table223421023456789111213[X-Y])</f>
        <v>1.5783526999999999</v>
      </c>
      <c r="Y30" s="30">
        <f>X30</f>
        <v>1.5783526999999999</v>
      </c>
      <c r="Z30" s="30"/>
      <c r="AA30" s="30"/>
      <c r="AB30" s="30"/>
    </row>
    <row r="31" spans="2:28" ht="15.6" x14ac:dyDescent="0.3">
      <c r="C31" s="19"/>
      <c r="D31" s="3"/>
      <c r="E31" s="17"/>
      <c r="F31" s="3"/>
      <c r="M31" s="3"/>
      <c r="N31" s="3"/>
      <c r="O31" s="3"/>
      <c r="P31" s="3"/>
      <c r="Q31" s="3"/>
      <c r="R31" s="3"/>
      <c r="S31" s="3"/>
      <c r="T31" s="3"/>
      <c r="U31" s="3"/>
      <c r="V31" s="3"/>
      <c r="W31" s="36"/>
      <c r="X31" s="30"/>
      <c r="Y31" s="30"/>
      <c r="Z31" s="40"/>
      <c r="AA31" s="30"/>
      <c r="AB31" s="30"/>
    </row>
    <row r="32" spans="2:28" x14ac:dyDescent="0.25">
      <c r="C32" s="19"/>
      <c r="D32" s="3"/>
      <c r="E32" s="17"/>
      <c r="F32" s="3"/>
      <c r="M32" s="3"/>
      <c r="N32" s="3"/>
      <c r="O32" s="3"/>
      <c r="P32" s="3"/>
      <c r="Q32" s="3"/>
      <c r="R32" s="3"/>
      <c r="S32" s="3"/>
      <c r="T32" s="3"/>
      <c r="U32" s="3"/>
      <c r="V32" s="3"/>
      <c r="W32" s="36"/>
      <c r="X32" s="30"/>
      <c r="Y32" s="30"/>
      <c r="Z32" s="30"/>
      <c r="AA32" s="30"/>
      <c r="AB32" s="30"/>
    </row>
    <row r="33" spans="3:28" x14ac:dyDescent="0.25">
      <c r="C33" s="19"/>
      <c r="D33" s="3"/>
      <c r="E33" s="17"/>
      <c r="F33" s="3"/>
      <c r="M33" s="3"/>
      <c r="N33" s="3"/>
      <c r="O33" s="3"/>
      <c r="P33" s="3"/>
      <c r="Q33" s="3"/>
      <c r="R33" s="3"/>
      <c r="S33" s="3"/>
      <c r="T33" s="3"/>
      <c r="U33" s="3"/>
      <c r="V33" s="3"/>
      <c r="W33" s="36"/>
      <c r="X33" s="30"/>
      <c r="Y33" s="30"/>
      <c r="Z33" s="30"/>
      <c r="AA33" s="30"/>
      <c r="AB33" s="30"/>
    </row>
    <row r="34" spans="3:28" x14ac:dyDescent="0.25">
      <c r="C34" s="19"/>
      <c r="D34" s="3"/>
      <c r="E34" s="17"/>
      <c r="F34" s="3"/>
      <c r="M34" s="3"/>
      <c r="N34" s="3"/>
      <c r="O34" s="3"/>
      <c r="P34" s="3"/>
      <c r="Q34" s="3"/>
      <c r="R34" s="3"/>
      <c r="S34" s="3"/>
      <c r="T34" s="3"/>
      <c r="U34" s="3"/>
      <c r="V34" s="3"/>
      <c r="W34" s="36"/>
      <c r="X34" s="30"/>
      <c r="Y34" s="30"/>
      <c r="Z34" s="30"/>
      <c r="AA34" s="30"/>
      <c r="AB34" s="30"/>
    </row>
    <row r="35" spans="3:28" x14ac:dyDescent="0.25">
      <c r="C35" s="19"/>
      <c r="D35" s="3"/>
      <c r="E35" s="17"/>
      <c r="F35" s="3"/>
      <c r="M35" s="3"/>
      <c r="N35" s="3"/>
      <c r="O35" s="3"/>
      <c r="P35" s="3"/>
      <c r="Q35" s="3"/>
      <c r="R35" s="3"/>
      <c r="S35" s="3"/>
      <c r="T35" s="3"/>
      <c r="U35" s="3"/>
      <c r="V35" s="3"/>
      <c r="W35" s="36"/>
      <c r="X35" s="30"/>
      <c r="Y35" s="30"/>
      <c r="Z35" s="30"/>
      <c r="AA35" s="30"/>
      <c r="AB35" s="30"/>
    </row>
    <row r="36" spans="3:28" x14ac:dyDescent="0.25">
      <c r="C36" s="19"/>
      <c r="D36" s="3"/>
      <c r="E36" s="17"/>
      <c r="F36" s="3"/>
      <c r="M36" s="3"/>
      <c r="N36" s="3"/>
      <c r="O36" s="3"/>
      <c r="P36" s="3"/>
      <c r="Q36" s="3"/>
      <c r="R36" s="3"/>
      <c r="S36" s="3"/>
      <c r="T36" s="3"/>
      <c r="U36" s="3"/>
      <c r="V36" s="3"/>
      <c r="W36" s="36"/>
      <c r="X36" s="30"/>
      <c r="Y36" s="30"/>
      <c r="Z36" s="30"/>
      <c r="AA36" s="30"/>
      <c r="AB36" s="30"/>
    </row>
    <row r="37" spans="3:28" x14ac:dyDescent="0.25">
      <c r="C37" s="19"/>
      <c r="D37" s="3"/>
      <c r="E37" s="17"/>
      <c r="F37" s="3"/>
      <c r="M37" s="3"/>
      <c r="N37" s="3"/>
      <c r="O37" s="3"/>
      <c r="P37" s="3"/>
      <c r="Q37" s="3"/>
      <c r="R37" s="3"/>
      <c r="S37" s="3"/>
      <c r="T37" s="3"/>
      <c r="U37" s="3"/>
      <c r="V37" s="3"/>
      <c r="W37" s="36"/>
      <c r="X37" s="30"/>
      <c r="Y37" s="30"/>
      <c r="Z37" s="30"/>
      <c r="AA37" s="30"/>
      <c r="AB37" s="30"/>
    </row>
    <row r="38" spans="3:28" x14ac:dyDescent="0.25">
      <c r="C38" s="19"/>
      <c r="D38" s="3"/>
      <c r="E38" s="17"/>
      <c r="F38" s="3"/>
      <c r="M38" s="3"/>
      <c r="N38" s="3"/>
      <c r="O38" s="3"/>
      <c r="P38" s="3"/>
      <c r="Q38" s="3"/>
      <c r="R38" s="3"/>
      <c r="S38" s="3"/>
      <c r="T38" s="3"/>
      <c r="U38" s="3"/>
      <c r="V38" s="3"/>
      <c r="W38" s="36"/>
      <c r="X38" s="30" t="s">
        <v>30</v>
      </c>
      <c r="Y38" s="30"/>
      <c r="Z38" s="30"/>
      <c r="AA38" s="30"/>
      <c r="AB38" s="30"/>
    </row>
    <row r="39" spans="3:28" ht="17.399999999999999" x14ac:dyDescent="0.3">
      <c r="C39" s="19"/>
      <c r="D39" s="3"/>
      <c r="E39" s="17"/>
      <c r="F39" s="3"/>
      <c r="M39" s="3"/>
      <c r="N39" s="3"/>
      <c r="O39" s="3"/>
      <c r="P39" s="3"/>
      <c r="Q39" s="3"/>
      <c r="R39" s="3"/>
      <c r="S39" s="3"/>
      <c r="T39" s="3"/>
      <c r="U39" s="3"/>
      <c r="V39" s="3"/>
      <c r="W39" s="36"/>
      <c r="X39" s="37">
        <f>X8</f>
        <v>142</v>
      </c>
      <c r="Y39" s="41" t="s">
        <v>34</v>
      </c>
      <c r="Z39" s="30"/>
      <c r="AA39" s="30"/>
      <c r="AB39" s="30"/>
    </row>
    <row r="40" spans="3:28" x14ac:dyDescent="0.25">
      <c r="C40" s="19"/>
      <c r="D40" s="3"/>
      <c r="E40" s="17"/>
      <c r="F40" s="3"/>
      <c r="M40" s="3"/>
      <c r="N40" s="3"/>
      <c r="O40" s="3"/>
      <c r="P40" s="3"/>
      <c r="Q40" s="3"/>
      <c r="R40" s="3"/>
      <c r="S40" s="3"/>
      <c r="T40" s="3"/>
      <c r="U40" s="3"/>
      <c r="V40" s="3"/>
      <c r="W40" s="36"/>
      <c r="X40" s="30"/>
      <c r="Y40" s="30" t="s">
        <v>35</v>
      </c>
      <c r="Z40" s="30"/>
      <c r="AA40" s="30"/>
      <c r="AB40" s="30"/>
    </row>
    <row r="41" spans="3:28" x14ac:dyDescent="0.25">
      <c r="C41" s="19"/>
      <c r="D41" s="3"/>
      <c r="E41" s="17"/>
      <c r="F41" s="3"/>
      <c r="M41" s="3"/>
      <c r="N41" s="3"/>
      <c r="O41" s="3"/>
      <c r="P41" s="3"/>
      <c r="Q41" s="3"/>
      <c r="R41" s="3"/>
      <c r="S41" s="3"/>
      <c r="T41" s="3"/>
      <c r="U41" s="3"/>
      <c r="V41" s="3"/>
      <c r="W41" s="36"/>
      <c r="X41" s="30"/>
      <c r="Y41" s="30" t="s">
        <v>36</v>
      </c>
      <c r="Z41" s="30"/>
      <c r="AA41" s="30"/>
      <c r="AB41" s="30"/>
    </row>
    <row r="42" spans="3:28" x14ac:dyDescent="0.25">
      <c r="C42" s="19"/>
      <c r="D42" s="3"/>
      <c r="E42" s="17"/>
      <c r="F42" s="3"/>
      <c r="M42" s="3"/>
      <c r="N42" s="3"/>
      <c r="O42" s="3"/>
      <c r="P42" s="3"/>
      <c r="Q42" s="3"/>
      <c r="R42" s="3"/>
      <c r="S42" s="3"/>
      <c r="T42" s="3"/>
      <c r="U42" s="3"/>
      <c r="V42" s="3"/>
      <c r="W42" s="36"/>
      <c r="X42" s="30"/>
      <c r="Y42" s="30"/>
      <c r="Z42" s="30"/>
      <c r="AA42" s="30"/>
      <c r="AB42" s="30"/>
    </row>
    <row r="43" spans="3:28" x14ac:dyDescent="0.25">
      <c r="C43" s="19"/>
      <c r="D43" s="3"/>
      <c r="E43" s="17"/>
      <c r="F43" s="3"/>
      <c r="M43" s="3"/>
      <c r="N43" s="3"/>
      <c r="O43" s="3"/>
      <c r="P43" s="3"/>
      <c r="Q43" s="3"/>
      <c r="R43" s="3"/>
      <c r="S43" s="3"/>
      <c r="T43" s="3"/>
      <c r="U43" s="3"/>
      <c r="V43" s="3"/>
      <c r="W43" s="36"/>
      <c r="X43" s="30"/>
      <c r="Y43" s="30"/>
      <c r="Z43" s="30"/>
      <c r="AA43" s="30"/>
      <c r="AB43" s="30"/>
    </row>
    <row r="44" spans="3:28" x14ac:dyDescent="0.25">
      <c r="C44" s="19"/>
      <c r="D44" s="3"/>
      <c r="E44" s="17"/>
      <c r="F44" s="3"/>
      <c r="M44" s="3"/>
      <c r="N44" s="3"/>
      <c r="O44" s="3"/>
      <c r="P44" s="3"/>
      <c r="Q44" s="3"/>
      <c r="R44" s="3"/>
      <c r="S44" s="3"/>
      <c r="T44" s="3"/>
      <c r="U44" s="3"/>
      <c r="V44" s="3"/>
      <c r="W44" s="36"/>
      <c r="X44" s="30"/>
      <c r="Y44" s="30"/>
      <c r="Z44" s="30"/>
      <c r="AA44" s="30"/>
      <c r="AB44" s="30"/>
    </row>
    <row r="45" spans="3:28" ht="15" x14ac:dyDescent="0.25">
      <c r="C45" s="19"/>
      <c r="D45" s="3"/>
      <c r="E45" s="17"/>
      <c r="F45" s="3"/>
      <c r="M45" s="3"/>
      <c r="N45" s="3"/>
      <c r="O45" s="3"/>
      <c r="P45" s="3"/>
      <c r="Q45" s="3"/>
      <c r="R45" s="3"/>
      <c r="S45" s="3"/>
      <c r="T45" s="3"/>
      <c r="U45" s="3"/>
      <c r="V45" s="3"/>
      <c r="W45" s="36"/>
      <c r="X45" s="58"/>
      <c r="Y45" s="30"/>
      <c r="Z45" s="30"/>
      <c r="AA45" s="30"/>
      <c r="AB45" s="30"/>
    </row>
    <row r="46" spans="3:28" x14ac:dyDescent="0.25">
      <c r="C46" s="19"/>
      <c r="D46" s="3"/>
      <c r="E46" s="17"/>
      <c r="F46" s="3"/>
      <c r="M46" s="3"/>
      <c r="N46" s="3"/>
      <c r="O46" s="3"/>
      <c r="P46" s="3"/>
      <c r="Q46" s="3"/>
      <c r="R46" s="3"/>
      <c r="S46" s="3"/>
      <c r="T46" s="3"/>
      <c r="U46" s="3"/>
      <c r="V46" s="3"/>
      <c r="W46" s="36"/>
      <c r="X46" s="30"/>
      <c r="Y46" s="30"/>
      <c r="Z46" s="30"/>
      <c r="AA46" s="30"/>
      <c r="AB46" s="30"/>
    </row>
    <row r="47" spans="3:28" x14ac:dyDescent="0.25">
      <c r="C47" s="19"/>
      <c r="D47" s="3"/>
      <c r="E47" s="17"/>
      <c r="F47" s="3"/>
      <c r="M47" s="3"/>
      <c r="N47" s="3"/>
      <c r="O47" s="3"/>
      <c r="P47" s="3"/>
      <c r="Q47" s="3"/>
      <c r="R47" s="3"/>
      <c r="S47" s="3"/>
      <c r="T47" s="3"/>
      <c r="U47" s="3"/>
      <c r="V47" s="3"/>
      <c r="W47" s="36"/>
      <c r="X47" s="30"/>
      <c r="Y47" s="30"/>
      <c r="Z47" s="30"/>
      <c r="AA47" s="30"/>
      <c r="AB47" s="30"/>
    </row>
    <row r="48" spans="3:28" x14ac:dyDescent="0.25">
      <c r="C48" s="19"/>
      <c r="D48" s="3"/>
      <c r="E48" s="17"/>
      <c r="F48" s="3"/>
      <c r="M48" s="3"/>
      <c r="N48" s="3"/>
      <c r="O48" s="3"/>
      <c r="P48" s="3"/>
      <c r="Q48" s="3"/>
      <c r="R48" s="3"/>
      <c r="S48" s="3"/>
      <c r="T48" s="3"/>
      <c r="U48" s="3"/>
      <c r="V48" s="3"/>
      <c r="W48" s="36"/>
      <c r="X48" s="30"/>
      <c r="Y48" s="30"/>
      <c r="Z48" s="30"/>
      <c r="AA48" s="30"/>
      <c r="AB48" s="30"/>
    </row>
    <row r="49" spans="2:28" x14ac:dyDescent="0.25">
      <c r="C49" s="19"/>
      <c r="D49" s="3"/>
      <c r="E49" s="17"/>
      <c r="F49" s="3"/>
      <c r="M49" s="3"/>
      <c r="N49" s="3"/>
      <c r="O49" s="3"/>
      <c r="P49" s="3"/>
      <c r="Q49" s="3"/>
      <c r="R49" s="3"/>
      <c r="S49" s="3"/>
      <c r="T49" s="3"/>
      <c r="U49" s="3"/>
      <c r="V49" s="3"/>
      <c r="W49" s="36"/>
      <c r="X49" s="30"/>
      <c r="Y49" s="30"/>
      <c r="Z49" s="30"/>
      <c r="AA49" s="30"/>
      <c r="AB49" s="30"/>
    </row>
    <row r="50" spans="2:28" x14ac:dyDescent="0.25">
      <c r="C50" s="19"/>
      <c r="D50" s="3"/>
      <c r="E50" s="17"/>
      <c r="F50" s="3"/>
      <c r="M50" s="3"/>
      <c r="N50" s="3"/>
      <c r="O50" s="3"/>
      <c r="P50" s="3"/>
      <c r="Q50" s="3"/>
      <c r="R50" s="3"/>
      <c r="S50" s="3"/>
      <c r="T50" s="3"/>
      <c r="U50" s="3"/>
      <c r="V50" s="3"/>
      <c r="W50" s="36"/>
      <c r="X50" s="30"/>
      <c r="Y50" s="30"/>
      <c r="Z50" s="30"/>
      <c r="AA50" s="30"/>
      <c r="AB50" s="30"/>
    </row>
    <row r="51" spans="2:28" x14ac:dyDescent="0.25">
      <c r="C51" s="19"/>
      <c r="D51" s="3"/>
      <c r="E51" s="17"/>
      <c r="F51" s="3"/>
      <c r="M51" s="3"/>
      <c r="N51" s="3"/>
      <c r="O51" s="3"/>
      <c r="P51" s="3"/>
      <c r="Q51" s="3"/>
      <c r="R51" s="3"/>
      <c r="S51" s="3"/>
      <c r="T51" s="3"/>
      <c r="U51" s="3"/>
      <c r="V51" s="3"/>
      <c r="W51" s="36"/>
      <c r="X51" s="30"/>
      <c r="Y51" s="30"/>
      <c r="Z51" s="30"/>
      <c r="AA51" s="30"/>
      <c r="AB51" s="30"/>
    </row>
    <row r="52" spans="2:28" x14ac:dyDescent="0.25">
      <c r="C52" s="19"/>
      <c r="D52" s="3"/>
      <c r="E52" s="17"/>
      <c r="F52" s="3"/>
      <c r="M52" s="3"/>
      <c r="N52" s="3"/>
      <c r="O52" s="3"/>
      <c r="P52" s="3"/>
      <c r="Q52" s="3"/>
      <c r="R52" s="3"/>
      <c r="S52" s="3"/>
      <c r="T52" s="3"/>
      <c r="U52" s="3"/>
      <c r="V52" s="3"/>
      <c r="W52" s="36"/>
      <c r="X52" s="30"/>
      <c r="Y52" s="30"/>
      <c r="Z52" s="30"/>
      <c r="AA52" s="30"/>
      <c r="AB52" s="30"/>
    </row>
    <row r="53" spans="2:28" x14ac:dyDescent="0.25">
      <c r="C53" s="19"/>
      <c r="D53" s="3"/>
      <c r="E53" s="17"/>
      <c r="F53" s="3"/>
      <c r="M53" s="3"/>
      <c r="N53" s="3"/>
      <c r="O53" s="3"/>
      <c r="P53" s="3"/>
      <c r="Q53" s="3"/>
      <c r="R53" s="3"/>
      <c r="S53" s="3"/>
      <c r="T53" s="3"/>
      <c r="U53" s="3"/>
      <c r="V53" s="3"/>
      <c r="W53" s="36"/>
      <c r="X53" s="30"/>
      <c r="Y53" s="30"/>
      <c r="Z53" s="30"/>
      <c r="AA53" s="30"/>
      <c r="AB53" s="30"/>
    </row>
    <row r="54" spans="2:28" x14ac:dyDescent="0.25">
      <c r="C54" s="19"/>
      <c r="D54" s="3"/>
      <c r="E54" s="17"/>
      <c r="F54" s="3"/>
      <c r="M54" s="3"/>
      <c r="N54" s="3"/>
      <c r="O54" s="3"/>
      <c r="P54" s="3"/>
      <c r="Q54" s="3"/>
      <c r="R54" s="3"/>
      <c r="S54" s="3"/>
      <c r="T54" s="3"/>
      <c r="U54" s="3"/>
      <c r="V54" s="3"/>
      <c r="W54" s="36"/>
      <c r="X54" s="30"/>
      <c r="Y54" s="30"/>
      <c r="Z54" s="30"/>
      <c r="AA54" s="30"/>
      <c r="AB54" s="30"/>
    </row>
    <row r="55" spans="2:28" ht="15.75" customHeight="1" x14ac:dyDescent="0.3">
      <c r="C55" s="19"/>
      <c r="D55" s="3"/>
      <c r="E55" s="17"/>
      <c r="F55" s="3"/>
      <c r="M55" s="3"/>
      <c r="N55" s="3"/>
      <c r="O55" s="3"/>
      <c r="P55" s="3"/>
      <c r="Q55" s="3"/>
      <c r="R55" s="3"/>
      <c r="S55" s="3"/>
      <c r="T55" s="3"/>
      <c r="U55" s="3"/>
      <c r="V55" s="3"/>
      <c r="W55" s="36"/>
      <c r="X55" s="30"/>
      <c r="Y55" s="30"/>
      <c r="Z55" s="40"/>
      <c r="AA55" s="30"/>
      <c r="AB55" s="30"/>
    </row>
    <row r="56" spans="2:28" ht="15.75" customHeight="1" x14ac:dyDescent="0.3">
      <c r="C56" s="19"/>
      <c r="D56" s="3"/>
      <c r="E56" s="17"/>
      <c r="F56" s="3"/>
      <c r="M56" s="3"/>
      <c r="N56" s="3"/>
      <c r="O56" s="3"/>
      <c r="P56" s="3"/>
      <c r="Q56" s="3"/>
      <c r="R56" s="3"/>
      <c r="S56" s="3"/>
      <c r="T56" s="3"/>
      <c r="U56" s="3"/>
      <c r="V56" s="3"/>
      <c r="W56" s="36"/>
      <c r="X56" s="30"/>
      <c r="Y56" s="30"/>
      <c r="Z56" s="59"/>
      <c r="AA56" s="30"/>
      <c r="AB56" s="30"/>
    </row>
    <row r="57" spans="2:28" ht="15.75" customHeight="1" x14ac:dyDescent="0.3">
      <c r="C57" s="19"/>
      <c r="D57" s="3"/>
      <c r="E57" s="17"/>
      <c r="F57" s="3"/>
      <c r="M57" s="3"/>
      <c r="N57" s="3"/>
      <c r="O57" s="3"/>
      <c r="P57" s="3"/>
      <c r="Q57" s="3"/>
      <c r="R57" s="3"/>
      <c r="S57" s="3"/>
      <c r="T57" s="3"/>
      <c r="U57" s="3"/>
      <c r="V57" s="3"/>
      <c r="W57" s="36"/>
      <c r="X57" s="30"/>
      <c r="Y57" s="30"/>
      <c r="Z57" s="59"/>
      <c r="AA57" s="30"/>
      <c r="AB57" s="30"/>
    </row>
    <row r="58" spans="2:28" ht="15.75" customHeight="1" x14ac:dyDescent="0.3">
      <c r="C58" s="19"/>
      <c r="D58" s="3"/>
      <c r="E58" s="17"/>
      <c r="F58" s="3"/>
      <c r="M58" s="3"/>
      <c r="N58" s="3"/>
      <c r="O58" s="3"/>
      <c r="P58" s="3"/>
      <c r="Q58" s="3"/>
      <c r="R58" s="3"/>
      <c r="S58" s="3"/>
      <c r="T58" s="3"/>
      <c r="U58" s="3"/>
      <c r="V58" s="3"/>
      <c r="W58" s="36"/>
      <c r="X58" s="30" t="s">
        <v>30</v>
      </c>
      <c r="Y58" s="30"/>
      <c r="Z58" s="60"/>
      <c r="AA58" s="30"/>
      <c r="AB58" s="30"/>
    </row>
    <row r="59" spans="2:28" ht="17.399999999999999" x14ac:dyDescent="0.3">
      <c r="C59" s="19"/>
      <c r="D59" s="3"/>
      <c r="E59" s="17"/>
      <c r="F59" s="3"/>
      <c r="M59" s="3"/>
      <c r="N59" s="3"/>
      <c r="O59" s="3"/>
      <c r="P59" s="3"/>
      <c r="Q59" s="3"/>
      <c r="R59" s="3"/>
      <c r="S59" s="3"/>
      <c r="T59" s="3"/>
      <c r="U59" s="3"/>
      <c r="V59" s="3"/>
      <c r="W59" s="36">
        <f>W60*E8</f>
        <v>42.944312959337125</v>
      </c>
      <c r="X59" s="37">
        <f>X39</f>
        <v>142</v>
      </c>
      <c r="Y59" s="30"/>
      <c r="Z59" s="30"/>
      <c r="AA59" s="30"/>
      <c r="AB59" s="30"/>
    </row>
    <row r="60" spans="2:28" ht="17.399999999999999" x14ac:dyDescent="0.3">
      <c r="C60" s="19"/>
      <c r="D60" s="3"/>
      <c r="E60" s="17"/>
      <c r="F60" s="3"/>
      <c r="M60" s="3"/>
      <c r="N60" s="42"/>
      <c r="O60" s="3"/>
      <c r="P60" s="3"/>
      <c r="Q60" s="3"/>
      <c r="R60" s="3"/>
      <c r="S60" s="3"/>
      <c r="T60" s="3">
        <f>MEDIAN(Table223421023456789111213[abs(lab)])</f>
        <v>0.98999974999999907</v>
      </c>
      <c r="U60" s="3"/>
      <c r="V60" s="3">
        <f>MEDIAN(Table223421023456789111213[abs(anl)])</f>
        <v>0.9006009999999991</v>
      </c>
      <c r="W60" s="2">
        <f>MEDIAN(Table223421023456789111213[Produits Lab x Anl])</f>
        <v>0.53680391199171407</v>
      </c>
      <c r="X60" s="37"/>
      <c r="Z60" s="60"/>
      <c r="AA60" s="30"/>
      <c r="AB60" s="30"/>
    </row>
    <row r="61" spans="2:28" ht="13.8" x14ac:dyDescent="0.25">
      <c r="D61" s="43" t="s">
        <v>1</v>
      </c>
      <c r="E61" s="1"/>
      <c r="F61" s="43" t="s">
        <v>2</v>
      </c>
      <c r="G61" s="4"/>
      <c r="M61" s="3"/>
      <c r="W61" s="22"/>
      <c r="Y61" s="22"/>
    </row>
    <row r="62" spans="2:28" s="22" customFormat="1" ht="42.75" customHeight="1" x14ac:dyDescent="0.25">
      <c r="B62" s="20" t="s">
        <v>0</v>
      </c>
      <c r="C62" t="s">
        <v>67</v>
      </c>
      <c r="D62" t="s">
        <v>65</v>
      </c>
      <c r="E62" t="s">
        <v>66</v>
      </c>
      <c r="F62" s="82" t="s">
        <v>230</v>
      </c>
      <c r="G62" s="20" t="s">
        <v>48</v>
      </c>
      <c r="H62" s="20" t="s">
        <v>3</v>
      </c>
      <c r="I62" s="20" t="s">
        <v>23</v>
      </c>
      <c r="J62" s="20" t="s">
        <v>4</v>
      </c>
      <c r="K62" s="20" t="s">
        <v>51</v>
      </c>
      <c r="L62" s="20" t="s">
        <v>52</v>
      </c>
      <c r="M62" s="21" t="s">
        <v>5</v>
      </c>
      <c r="N62" s="21" t="s">
        <v>32</v>
      </c>
      <c r="O62" s="21" t="s">
        <v>31</v>
      </c>
      <c r="P62" s="21" t="s">
        <v>33</v>
      </c>
      <c r="Q62" s="21" t="s">
        <v>50</v>
      </c>
      <c r="R62" s="21" t="s">
        <v>49</v>
      </c>
      <c r="S62" s="21" t="s">
        <v>58</v>
      </c>
      <c r="T62" s="21" t="s">
        <v>60</v>
      </c>
      <c r="U62" s="64" t="s">
        <v>59</v>
      </c>
      <c r="V62" s="64" t="s">
        <v>61</v>
      </c>
      <c r="W62" s="21" t="s">
        <v>62</v>
      </c>
      <c r="X62" s="22" t="str">
        <f>D62</f>
        <v>REF</v>
      </c>
      <c r="Z62" s="2"/>
      <c r="AA62" s="22" t="str">
        <f>F62</f>
        <v>doug</v>
      </c>
      <c r="AB62" s="2"/>
    </row>
    <row r="63" spans="2:28" x14ac:dyDescent="0.25">
      <c r="B63" s="46">
        <f ca="1">VALUE((Table223421023456789111213[[#This Row],[Column3]]-62))</f>
        <v>1</v>
      </c>
      <c r="C63" t="s">
        <v>69</v>
      </c>
      <c r="D63">
        <v>9.9399996000000002</v>
      </c>
      <c r="E63"/>
      <c r="F63" s="89">
        <v>10.145585000000001</v>
      </c>
      <c r="G63" s="29">
        <f>Table223421023456789111213[[#This Row],[doug]]-Table223421023456789111213[[#This Row],[REF]]</f>
        <v>0.20558540000000036</v>
      </c>
      <c r="H63" s="29">
        <f>Table223421023456789111213[[#This Row],[X-Y]]-E$20</f>
        <v>0.20836076125000424</v>
      </c>
      <c r="I63" s="29">
        <f>Table223421023456789111213[[#This Row],[doug]]-E$20</f>
        <v>10.148360361250004</v>
      </c>
      <c r="J63" s="29">
        <f>Table223421023456789111213[[#This Row],[doug]]*E$21+E$22</f>
        <v>10.338156029378489</v>
      </c>
      <c r="K63" s="56">
        <f>Table223421023456789111213[[#This Row],[Yest]]-Table223421023456789111213[[#This Row],[REF]]</f>
        <v>0.3981564293784885</v>
      </c>
      <c r="L63" s="56">
        <f>ABS(Table223421023456789111213[[#This Row],[RESyx]])</f>
        <v>0.3981564293784885</v>
      </c>
      <c r="M63" s="29">
        <f>Table223421023456789111213[[#This Row],[doug]]*E$25+E$26</f>
        <v>10.166921299014856</v>
      </c>
      <c r="N63" s="29">
        <f>Table223421023456789111213[[#This Row],[X-Y]]^2</f>
        <v>4.2265356693160151E-2</v>
      </c>
      <c r="O63" s="57">
        <f>Table223421023456789111213[[#This Row],[yest_rect]]-Table223421023456789111213[[#This Row],[REF]]</f>
        <v>0.2269216990148557</v>
      </c>
      <c r="P63" s="57">
        <f>Table223421023456789111213[[#This Row],[dif rec]]^2</f>
        <v>5.1493457483788765E-2</v>
      </c>
      <c r="Q63" s="57">
        <f>ABS(Table223421023456789111213[[#This Row],[diff-bias]])</f>
        <v>0.20836076125000424</v>
      </c>
      <c r="R63" s="57">
        <f ca="1">CELL("row",Table223421023456789111213[[#This Row],[Position]])</f>
        <v>63</v>
      </c>
      <c r="S63" s="4">
        <f>Table223421023456789111213[[#This Row],[REF]]-D$13</f>
        <v>-1.0700006500000008</v>
      </c>
      <c r="T63" s="4">
        <f>ABS(Table223421023456789111213[[#This Row],[lab-med]])</f>
        <v>1.0700006500000008</v>
      </c>
      <c r="U63" s="4">
        <f>Table223421023456789111213[[#This Row],[doug]]-F$13</f>
        <v>-0.90285850000000067</v>
      </c>
      <c r="V63" s="4">
        <f>ABS(Table223421023456789111213[[#This Row],[anl-med]])</f>
        <v>0.90285850000000067</v>
      </c>
      <c r="W63" s="4">
        <f>Table223421023456789111213[[#This Row],[lab-med]]*Table223421023456789111213[[#This Row],[anl-med]]</f>
        <v>0.96605918185802642</v>
      </c>
    </row>
    <row r="64" spans="2:28" x14ac:dyDescent="0.25">
      <c r="B64" s="46">
        <f ca="1">VALUE((Table223421023456789111213[[#This Row],[Column3]]-62))</f>
        <v>2</v>
      </c>
      <c r="C64" t="s">
        <v>70</v>
      </c>
      <c r="D64">
        <v>10.0200005</v>
      </c>
      <c r="E64"/>
      <c r="F64" s="89">
        <v>10.967974</v>
      </c>
      <c r="G64" s="29">
        <f>Table223421023456789111213[[#This Row],[doug]]-Table223421023456789111213[[#This Row],[REF]]</f>
        <v>0.9479734999999998</v>
      </c>
      <c r="H64" s="29">
        <f>Table223421023456789111213[[#This Row],[X-Y]]-E$20</f>
        <v>0.95074886125000369</v>
      </c>
      <c r="I64" s="29">
        <f>Table223421023456789111213[[#This Row],[doug]]-E$20</f>
        <v>10.970749361250004</v>
      </c>
      <c r="J64" s="29">
        <f>Table223421023456789111213[[#This Row],[doug]]*E$21+E$22</f>
        <v>10.998148363304612</v>
      </c>
      <c r="K64" s="56">
        <f>Table223421023456789111213[[#This Row],[Yest]]-Table223421023456789111213[[#This Row],[REF]]</f>
        <v>0.97814786330461168</v>
      </c>
      <c r="L64" s="56">
        <f>ABS(Table223421023456789111213[[#This Row],[RESyx]])</f>
        <v>0.97814786330461168</v>
      </c>
      <c r="M64" s="29">
        <f>Table223421023456789111213[[#This Row],[doug]]*E$25+E$26</f>
        <v>10.973428827946842</v>
      </c>
      <c r="N64" s="29">
        <f>Table223421023456789111213[[#This Row],[X-Y]]^2</f>
        <v>0.89865375670224967</v>
      </c>
      <c r="O64" s="57">
        <f>Table223421023456789111213[[#This Row],[yest_rect]]-Table223421023456789111213[[#This Row],[REF]]</f>
        <v>0.95342832794684185</v>
      </c>
      <c r="P64" s="57">
        <f>Table223421023456789111213[[#This Row],[dif rec]]^2</f>
        <v>0.90902557653151062</v>
      </c>
      <c r="Q64" s="57">
        <f>ABS(Table223421023456789111213[[#This Row],[diff-bias]])</f>
        <v>0.95074886125000369</v>
      </c>
      <c r="R64" s="57">
        <f ca="1">CELL("row",Table223421023456789111213[[#This Row],[Position]])</f>
        <v>64</v>
      </c>
      <c r="S64" s="4">
        <f>Table223421023456789111213[[#This Row],[REF]]-D$13</f>
        <v>-0.98999975000000084</v>
      </c>
      <c r="T64" s="4">
        <f>ABS(Table223421023456789111213[[#This Row],[lab-med]])</f>
        <v>0.98999975000000084</v>
      </c>
      <c r="U64" s="4">
        <f>Table223421023456789111213[[#This Row],[doug]]-F$13</f>
        <v>-8.0469500000001304E-2</v>
      </c>
      <c r="V64" s="4">
        <f>ABS(Table223421023456789111213[[#This Row],[anl-med]])</f>
        <v>8.0469500000001304E-2</v>
      </c>
      <c r="W64" s="4">
        <f>Table223421023456789111213[[#This Row],[lab-med]]*Table223421023456789111213[[#This Row],[anl-med]]</f>
        <v>7.9664784882626363E-2</v>
      </c>
    </row>
    <row r="65" spans="2:23" x14ac:dyDescent="0.25">
      <c r="B65" s="46">
        <f ca="1">VALUE((Table223421023456789111213[[#This Row],[Column3]]-62))</f>
        <v>3</v>
      </c>
      <c r="C65" t="s">
        <v>71</v>
      </c>
      <c r="D65">
        <v>10</v>
      </c>
      <c r="E65"/>
      <c r="F65" s="89">
        <v>9.6530714</v>
      </c>
      <c r="G65" s="29">
        <f>Table223421023456789111213[[#This Row],[doug]]-Table223421023456789111213[[#This Row],[REF]]</f>
        <v>-0.34692860000000003</v>
      </c>
      <c r="H65" s="29">
        <f>Table223421023456789111213[[#This Row],[X-Y]]-E$20</f>
        <v>-0.34415323874999615</v>
      </c>
      <c r="I65" s="29">
        <f>Table223421023456789111213[[#This Row],[doug]]-E$20</f>
        <v>9.6558467612500039</v>
      </c>
      <c r="J65" s="29">
        <f>Table223421023456789111213[[#This Row],[doug]]*E$21+E$22</f>
        <v>9.942898796664581</v>
      </c>
      <c r="K65" s="56">
        <f>Table223421023456789111213[[#This Row],[Yest]]-Table223421023456789111213[[#This Row],[REF]]</f>
        <v>-5.7101203335419015E-2</v>
      </c>
      <c r="L65" s="56">
        <f>ABS(Table223421023456789111213[[#This Row],[RESyx]])</f>
        <v>5.7101203335419015E-2</v>
      </c>
      <c r="M65" s="29">
        <f>Table223421023456789111213[[#This Row],[doug]]*E$25+E$26</f>
        <v>9.6839188190432157</v>
      </c>
      <c r="N65" s="29">
        <f>Table223421023456789111213[[#This Row],[X-Y]]^2</f>
        <v>0.12035945349796003</v>
      </c>
      <c r="O65" s="57">
        <f>Table223421023456789111213[[#This Row],[yest_rect]]-Table223421023456789111213[[#This Row],[REF]]</f>
        <v>-0.31608118095678428</v>
      </c>
      <c r="P65" s="57">
        <f>Table223421023456789111213[[#This Row],[dif rec]]^2</f>
        <v>9.990731295503541E-2</v>
      </c>
      <c r="Q65" s="57">
        <f>ABS(Table223421023456789111213[[#This Row],[diff-bias]])</f>
        <v>0.34415323874999615</v>
      </c>
      <c r="R65" s="57">
        <f ca="1">CELL("row",Table223421023456789111213[[#This Row],[Position]])</f>
        <v>65</v>
      </c>
      <c r="S65" s="4">
        <f>Table223421023456789111213[[#This Row],[REF]]-D$13</f>
        <v>-1.0100002500000009</v>
      </c>
      <c r="T65" s="4">
        <f>ABS(Table223421023456789111213[[#This Row],[lab-med]])</f>
        <v>1.0100002500000009</v>
      </c>
      <c r="U65" s="4">
        <f>Table223421023456789111213[[#This Row],[doug]]-F$13</f>
        <v>-1.3953721000000012</v>
      </c>
      <c r="V65" s="4">
        <f>ABS(Table223421023456789111213[[#This Row],[anl-med]])</f>
        <v>1.3953721000000012</v>
      </c>
      <c r="W65" s="4">
        <f>Table223421023456789111213[[#This Row],[lab-med]]*Table223421023456789111213[[#This Row],[anl-med]]</f>
        <v>1.4093261698430275</v>
      </c>
    </row>
    <row r="66" spans="2:23" x14ac:dyDescent="0.25">
      <c r="B66" s="46">
        <f ca="1">VALUE((Table223421023456789111213[[#This Row],[Column3]]-62))</f>
        <v>4</v>
      </c>
      <c r="C66" t="s">
        <v>72</v>
      </c>
      <c r="D66">
        <v>10.5</v>
      </c>
      <c r="E66"/>
      <c r="F66" s="89">
        <v>10.965744000000001</v>
      </c>
      <c r="G66" s="29">
        <f>Table223421023456789111213[[#This Row],[doug]]-Table223421023456789111213[[#This Row],[REF]]</f>
        <v>0.46574400000000082</v>
      </c>
      <c r="H66" s="29">
        <f>Table223421023456789111213[[#This Row],[X-Y]]-E$20</f>
        <v>0.46851936125000471</v>
      </c>
      <c r="I66" s="29">
        <f>Table223421023456789111213[[#This Row],[doug]]-E$20</f>
        <v>10.968519361250005</v>
      </c>
      <c r="J66" s="29">
        <f>Table223421023456789111213[[#This Row],[doug]]*E$21+E$22</f>
        <v>10.996358720076584</v>
      </c>
      <c r="K66" s="56">
        <f>Table223421023456789111213[[#This Row],[Yest]]-Table223421023456789111213[[#This Row],[REF]]</f>
        <v>0.49635872007658399</v>
      </c>
      <c r="L66" s="56">
        <f>ABS(Table223421023456789111213[[#This Row],[RESyx]])</f>
        <v>0.49635872007658399</v>
      </c>
      <c r="M66" s="29">
        <f>Table223421023456789111213[[#This Row],[doug]]*E$25+E$26</f>
        <v>10.971241892336666</v>
      </c>
      <c r="N66" s="29">
        <f>Table223421023456789111213[[#This Row],[X-Y]]^2</f>
        <v>0.21691747353600077</v>
      </c>
      <c r="O66" s="57">
        <f>Table223421023456789111213[[#This Row],[yest_rect]]-Table223421023456789111213[[#This Row],[REF]]</f>
        <v>0.47124189233666591</v>
      </c>
      <c r="P66" s="57">
        <f>Table223421023456789111213[[#This Row],[dif rec]]^2</f>
        <v>0.22206892109304183</v>
      </c>
      <c r="Q66" s="57">
        <f>ABS(Table223421023456789111213[[#This Row],[diff-bias]])</f>
        <v>0.46851936125000471</v>
      </c>
      <c r="R66" s="57">
        <f ca="1">CELL("row",Table223421023456789111213[[#This Row],[Position]])</f>
        <v>66</v>
      </c>
      <c r="S66" s="4">
        <f>Table223421023456789111213[[#This Row],[REF]]-D$13</f>
        <v>-0.51000025000000093</v>
      </c>
      <c r="T66" s="4">
        <f>ABS(Table223421023456789111213[[#This Row],[lab-med]])</f>
        <v>0.51000025000000093</v>
      </c>
      <c r="U66" s="4">
        <f>Table223421023456789111213[[#This Row],[doug]]-F$13</f>
        <v>-8.269950000000037E-2</v>
      </c>
      <c r="V66" s="4">
        <f>ABS(Table223421023456789111213[[#This Row],[anl-med]])</f>
        <v>8.269950000000037E-2</v>
      </c>
      <c r="W66" s="4">
        <f>Table223421023456789111213[[#This Row],[lab-med]]*Table223421023456789111213[[#This Row],[anl-med]]</f>
        <v>4.2176765674875265E-2</v>
      </c>
    </row>
    <row r="67" spans="2:23" x14ac:dyDescent="0.25">
      <c r="B67" s="46">
        <f ca="1">VALUE((Table223421023456789111213[[#This Row],[Column3]]-62))</f>
        <v>5</v>
      </c>
      <c r="C67" t="s">
        <v>73</v>
      </c>
      <c r="D67">
        <v>10.779999699999999</v>
      </c>
      <c r="E67"/>
      <c r="F67" s="89">
        <v>10.204038000000001</v>
      </c>
      <c r="G67" s="29">
        <f>Table223421023456789111213[[#This Row],[doug]]-Table223421023456789111213[[#This Row],[REF]]</f>
        <v>-0.5759616999999988</v>
      </c>
      <c r="H67" s="29">
        <f>Table223421023456789111213[[#This Row],[X-Y]]-E$20</f>
        <v>-0.57318633874999492</v>
      </c>
      <c r="I67" s="29">
        <f>Table223421023456789111213[[#This Row],[doug]]-E$20</f>
        <v>10.206813361250004</v>
      </c>
      <c r="J67" s="29">
        <f>Table223421023456789111213[[#This Row],[doug]]*E$21+E$22</f>
        <v>10.385066350278919</v>
      </c>
      <c r="K67" s="56">
        <f>Table223421023456789111213[[#This Row],[Yest]]-Table223421023456789111213[[#This Row],[REF]]</f>
        <v>-0.39493334972108052</v>
      </c>
      <c r="L67" s="56">
        <f>ABS(Table223421023456789111213[[#This Row],[RESyx]])</f>
        <v>0.39493334972108052</v>
      </c>
      <c r="M67" s="29">
        <f>Table223421023456789111213[[#This Row],[doug]]*E$25+E$26</f>
        <v>10.224245490594098</v>
      </c>
      <c r="N67" s="29">
        <f>Table223421023456789111213[[#This Row],[X-Y]]^2</f>
        <v>0.33173187986688862</v>
      </c>
      <c r="O67" s="57">
        <f>Table223421023456789111213[[#This Row],[yest_rect]]-Table223421023456789111213[[#This Row],[REF]]</f>
        <v>-0.55575420940590092</v>
      </c>
      <c r="P67" s="57">
        <f>Table223421023456789111213[[#This Row],[dif rec]]^2</f>
        <v>0.30886274127237795</v>
      </c>
      <c r="Q67" s="57">
        <f>ABS(Table223421023456789111213[[#This Row],[diff-bias]])</f>
        <v>0.57318633874999492</v>
      </c>
      <c r="R67" s="57">
        <f ca="1">CELL("row",Table223421023456789111213[[#This Row],[Position]])</f>
        <v>67</v>
      </c>
      <c r="S67" s="4">
        <f>Table223421023456789111213[[#This Row],[REF]]-D$13</f>
        <v>-0.23000055000000152</v>
      </c>
      <c r="T67" s="4">
        <f>ABS(Table223421023456789111213[[#This Row],[lab-med]])</f>
        <v>0.23000055000000152</v>
      </c>
      <c r="U67" s="4">
        <f>Table223421023456789111213[[#This Row],[doug]]-F$13</f>
        <v>-0.84440550000000059</v>
      </c>
      <c r="V67" s="4">
        <f>ABS(Table223421023456789111213[[#This Row],[anl-med]])</f>
        <v>0.84440550000000059</v>
      </c>
      <c r="W67" s="4">
        <f>Table223421023456789111213[[#This Row],[lab-med]]*Table223421023456789111213[[#This Row],[anl-med]]</f>
        <v>0.19421372942302642</v>
      </c>
    </row>
    <row r="68" spans="2:23" x14ac:dyDescent="0.25">
      <c r="B68" s="46">
        <f ca="1">VALUE((Table223421023456789111213[[#This Row],[Column3]]-62))</f>
        <v>6</v>
      </c>
      <c r="C68" t="s">
        <v>74</v>
      </c>
      <c r="D68">
        <v>10.449999800000001</v>
      </c>
      <c r="E68"/>
      <c r="F68" s="89">
        <v>11.170874</v>
      </c>
      <c r="G68" s="29">
        <f>Table223421023456789111213[[#This Row],[doug]]-Table223421023456789111213[[#This Row],[REF]]</f>
        <v>0.72087419999999902</v>
      </c>
      <c r="H68" s="29">
        <f>Table223421023456789111213[[#This Row],[X-Y]]-E$20</f>
        <v>0.7236495612500029</v>
      </c>
      <c r="I68" s="29">
        <f>Table223421023456789111213[[#This Row],[doug]]-E$20</f>
        <v>11.173649361250003</v>
      </c>
      <c r="J68" s="29">
        <f>Table223421023456789111213[[#This Row],[doug]]*E$21+E$22</f>
        <v>11.160981821137353</v>
      </c>
      <c r="K68" s="56">
        <f>Table223421023456789111213[[#This Row],[Yest]]-Table223421023456789111213[[#This Row],[REF]]</f>
        <v>0.71098202113735276</v>
      </c>
      <c r="L68" s="56">
        <f>ABS(Table223421023456789111213[[#This Row],[RESyx]])</f>
        <v>0.71098202113735276</v>
      </c>
      <c r="M68" s="29">
        <f>Table223421023456789111213[[#This Row],[doug]]*E$25+E$26</f>
        <v>11.17241054781457</v>
      </c>
      <c r="N68" s="29">
        <f>Table223421023456789111213[[#This Row],[X-Y]]^2</f>
        <v>0.51965961222563861</v>
      </c>
      <c r="O68" s="57">
        <f>Table223421023456789111213[[#This Row],[yest_rect]]-Table223421023456789111213[[#This Row],[REF]]</f>
        <v>0.72241074781456938</v>
      </c>
      <c r="P68" s="57">
        <f>Table223421023456789111213[[#This Row],[dif rec]]^2</f>
        <v>0.5218772885580053</v>
      </c>
      <c r="Q68" s="57">
        <f>ABS(Table223421023456789111213[[#This Row],[diff-bias]])</f>
        <v>0.7236495612500029</v>
      </c>
      <c r="R68" s="57">
        <f ca="1">CELL("row",Table223421023456789111213[[#This Row],[Position]])</f>
        <v>68</v>
      </c>
      <c r="S68" s="4">
        <f>Table223421023456789111213[[#This Row],[REF]]-D$13</f>
        <v>-0.56000045000000043</v>
      </c>
      <c r="T68" s="4">
        <f>ABS(Table223421023456789111213[[#This Row],[lab-med]])</f>
        <v>0.56000045000000043</v>
      </c>
      <c r="U68" s="4">
        <f>Table223421023456789111213[[#This Row],[doug]]-F$13</f>
        <v>0.12243049999999833</v>
      </c>
      <c r="V68" s="4">
        <f>ABS(Table223421023456789111213[[#This Row],[anl-med]])</f>
        <v>0.12243049999999833</v>
      </c>
      <c r="W68" s="4">
        <f>Table223421023456789111213[[#This Row],[lab-med]]*Table223421023456789111213[[#This Row],[anl-med]]</f>
        <v>-6.8561135093724121E-2</v>
      </c>
    </row>
    <row r="69" spans="2:23" x14ac:dyDescent="0.25">
      <c r="B69" s="46">
        <f ca="1">VALUE((Table223421023456789111213[[#This Row],[Column3]]-62))</f>
        <v>7</v>
      </c>
      <c r="C69" t="s">
        <v>75</v>
      </c>
      <c r="D69">
        <v>11.0200005</v>
      </c>
      <c r="E69"/>
      <c r="F69" s="89">
        <v>9.2850447000000003</v>
      </c>
      <c r="G69" s="29">
        <f>Table223421023456789111213[[#This Row],[doug]]-Table223421023456789111213[[#This Row],[REF]]</f>
        <v>-1.7349557999999998</v>
      </c>
      <c r="H69" s="29">
        <f>Table223421023456789111213[[#This Row],[X-Y]]-E$20</f>
        <v>-1.7321804387499959</v>
      </c>
      <c r="I69" s="29">
        <f>Table223421023456789111213[[#This Row],[doug]]-E$20</f>
        <v>9.2878200612500041</v>
      </c>
      <c r="J69" s="29">
        <f>Table223421023456789111213[[#This Row],[doug]]*E$21+E$22</f>
        <v>9.6475461099431765</v>
      </c>
      <c r="K69" s="56">
        <f>Table223421023456789111213[[#This Row],[Yest]]-Table223421023456789111213[[#This Row],[REF]]</f>
        <v>-1.3724543900568236</v>
      </c>
      <c r="L69" s="56">
        <f>ABS(Table223421023456789111213[[#This Row],[RESyx]])</f>
        <v>1.3724543900568236</v>
      </c>
      <c r="M69" s="29">
        <f>Table223421023456789111213[[#This Row],[doug]]*E$25+E$26</f>
        <v>9.3229992245471873</v>
      </c>
      <c r="N69" s="29">
        <f>Table223421023456789111213[[#This Row],[X-Y]]^2</f>
        <v>3.0100716279536393</v>
      </c>
      <c r="O69" s="57">
        <f>Table223421023456789111213[[#This Row],[yest_rect]]-Table223421023456789111213[[#This Row],[REF]]</f>
        <v>-1.6970012754528128</v>
      </c>
      <c r="P69" s="57">
        <f>Table223421023456789111213[[#This Row],[dif rec]]^2</f>
        <v>2.8798133288884733</v>
      </c>
      <c r="Q69" s="57">
        <f>ABS(Table223421023456789111213[[#This Row],[diff-bias]])</f>
        <v>1.7321804387499959</v>
      </c>
      <c r="R69" s="57">
        <f ca="1">CELL("row",Table223421023456789111213[[#This Row],[Position]])</f>
        <v>69</v>
      </c>
      <c r="S69" s="4">
        <f>Table223421023456789111213[[#This Row],[REF]]-D$13</f>
        <v>1.0000249999999156E-2</v>
      </c>
      <c r="T69" s="4">
        <f>ABS(Table223421023456789111213[[#This Row],[lab-med]])</f>
        <v>1.0000249999999156E-2</v>
      </c>
      <c r="U69" s="4">
        <f>Table223421023456789111213[[#This Row],[doug]]-F$13</f>
        <v>-1.7633988000000009</v>
      </c>
      <c r="V69" s="4">
        <f>ABS(Table223421023456789111213[[#This Row],[anl-med]])</f>
        <v>1.7633988000000009</v>
      </c>
      <c r="W69" s="4">
        <f>Table223421023456789111213[[#This Row],[lab-med]]*Table223421023456789111213[[#This Row],[anl-med]]</f>
        <v>-1.763442884969852E-2</v>
      </c>
    </row>
    <row r="70" spans="2:23" x14ac:dyDescent="0.25">
      <c r="B70" s="46">
        <f ca="1">VALUE((Table223421023456789111213[[#This Row],[Column3]]-62))</f>
        <v>8</v>
      </c>
      <c r="C70" t="s">
        <v>76</v>
      </c>
      <c r="D70">
        <v>10.800000199999999</v>
      </c>
      <c r="E70"/>
      <c r="F70" s="89">
        <v>10.620988000000001</v>
      </c>
      <c r="G70" s="29">
        <f>Table223421023456789111213[[#This Row],[doug]]-Table223421023456789111213[[#This Row],[REF]]</f>
        <v>-0.17901219999999896</v>
      </c>
      <c r="H70" s="29">
        <f>Table223421023456789111213[[#This Row],[X-Y]]-E$20</f>
        <v>-0.17623683874999507</v>
      </c>
      <c r="I70" s="29">
        <f>Table223421023456789111213[[#This Row],[doug]]-E$20</f>
        <v>10.623763361250004</v>
      </c>
      <c r="J70" s="29">
        <f>Table223421023456789111213[[#This Row],[doug]]*E$21+E$22</f>
        <v>10.719681482084546</v>
      </c>
      <c r="K70" s="56">
        <f>Table223421023456789111213[[#This Row],[Yest]]-Table223421023456789111213[[#This Row],[REF]]</f>
        <v>-8.0318717915453419E-2</v>
      </c>
      <c r="L70" s="56">
        <f>ABS(Table223421023456789111213[[#This Row],[RESyx]])</f>
        <v>8.0318717915453419E-2</v>
      </c>
      <c r="M70" s="29">
        <f>Table223421023456789111213[[#This Row],[doug]]*E$25+E$26</f>
        <v>10.63314360838044</v>
      </c>
      <c r="N70" s="29">
        <f>Table223421023456789111213[[#This Row],[X-Y]]^2</f>
        <v>3.2045367748839627E-2</v>
      </c>
      <c r="O70" s="57">
        <f>Table223421023456789111213[[#This Row],[yest_rect]]-Table223421023456789111213[[#This Row],[REF]]</f>
        <v>-0.16685659161955968</v>
      </c>
      <c r="P70" s="57">
        <f>Table223421023456789111213[[#This Row],[dif rec]]^2</f>
        <v>2.7841122166896513E-2</v>
      </c>
      <c r="Q70" s="57">
        <f>ABS(Table223421023456789111213[[#This Row],[diff-bias]])</f>
        <v>0.17623683874999507</v>
      </c>
      <c r="R70" s="57">
        <f ca="1">CELL("row",Table223421023456789111213[[#This Row],[Position]])</f>
        <v>70</v>
      </c>
      <c r="S70" s="4">
        <f>Table223421023456789111213[[#This Row],[REF]]-D$13</f>
        <v>-0.21000005000000144</v>
      </c>
      <c r="T70" s="4">
        <f>ABS(Table223421023456789111213[[#This Row],[lab-med]])</f>
        <v>0.21000005000000144</v>
      </c>
      <c r="U70" s="4">
        <f>Table223421023456789111213[[#This Row],[doug]]-F$13</f>
        <v>-0.42745550000000065</v>
      </c>
      <c r="V70" s="4">
        <f>ABS(Table223421023456789111213[[#This Row],[anl-med]])</f>
        <v>0.42745550000000065</v>
      </c>
      <c r="W70" s="4">
        <f>Table223421023456789111213[[#This Row],[lab-med]]*Table223421023456789111213[[#This Row],[anl-med]]</f>
        <v>8.9765676372775757E-2</v>
      </c>
    </row>
    <row r="71" spans="2:23" x14ac:dyDescent="0.25">
      <c r="B71" s="46">
        <f ca="1">VALUE((Table223421023456789111213[[#This Row],[Column3]]-62))</f>
        <v>9</v>
      </c>
      <c r="C71" t="s">
        <v>77</v>
      </c>
      <c r="D71">
        <v>10.8800001</v>
      </c>
      <c r="E71"/>
      <c r="F71" s="89">
        <v>11.739637</v>
      </c>
      <c r="G71" s="29">
        <f>Table223421023456789111213[[#This Row],[doug]]-Table223421023456789111213[[#This Row],[REF]]</f>
        <v>0.85963689999999993</v>
      </c>
      <c r="H71" s="29">
        <f>Table223421023456789111213[[#This Row],[X-Y]]-E$20</f>
        <v>0.86241226125000381</v>
      </c>
      <c r="I71" s="29">
        <f>Table223421023456789111213[[#This Row],[doug]]-E$20</f>
        <v>11.742412361250004</v>
      </c>
      <c r="J71" s="29">
        <f>Table223421023456789111213[[#This Row],[doug]]*E$21+E$22</f>
        <v>11.617431530241955</v>
      </c>
      <c r="K71" s="56">
        <f>Table223421023456789111213[[#This Row],[Yest]]-Table223421023456789111213[[#This Row],[REF]]</f>
        <v>0.7374314302419549</v>
      </c>
      <c r="L71" s="56">
        <f>ABS(Table223421023456789111213[[#This Row],[RESyx]])</f>
        <v>0.7374314302419549</v>
      </c>
      <c r="M71" s="29">
        <f>Table223421023456789111213[[#This Row],[doug]]*E$25+E$26</f>
        <v>11.730189946223284</v>
      </c>
      <c r="N71" s="29">
        <f>Table223421023456789111213[[#This Row],[X-Y]]^2</f>
        <v>0.73897559984160988</v>
      </c>
      <c r="O71" s="57">
        <f>Table223421023456789111213[[#This Row],[yest_rect]]-Table223421023456789111213[[#This Row],[REF]]</f>
        <v>0.85018984622328375</v>
      </c>
      <c r="P71" s="57">
        <f>Table223421023456789111213[[#This Row],[dif rec]]^2</f>
        <v>0.72282277462117084</v>
      </c>
      <c r="Q71" s="57">
        <f>ABS(Table223421023456789111213[[#This Row],[diff-bias]])</f>
        <v>0.86241226125000381</v>
      </c>
      <c r="R71" s="57">
        <f ca="1">CELL("row",Table223421023456789111213[[#This Row],[Position]])</f>
        <v>71</v>
      </c>
      <c r="S71" s="4">
        <f>Table223421023456789111213[[#This Row],[REF]]-D$13</f>
        <v>-0.13000015000000076</v>
      </c>
      <c r="T71" s="4">
        <f>ABS(Table223421023456789111213[[#This Row],[lab-med]])</f>
        <v>0.13000015000000076</v>
      </c>
      <c r="U71" s="4">
        <f>Table223421023456789111213[[#This Row],[doug]]-F$13</f>
        <v>0.69119349999999891</v>
      </c>
      <c r="V71" s="4">
        <f>ABS(Table223421023456789111213[[#This Row],[anl-med]])</f>
        <v>0.69119349999999891</v>
      </c>
      <c r="W71" s="4">
        <f>Table223421023456789111213[[#This Row],[lab-med]]*Table223421023456789111213[[#This Row],[anl-med]]</f>
        <v>-8.9855258679025385E-2</v>
      </c>
    </row>
    <row r="72" spans="2:23" x14ac:dyDescent="0.25">
      <c r="B72" s="46">
        <f ca="1">VALUE((Table223421023456789111213[[#This Row],[Column3]]-62))</f>
        <v>10</v>
      </c>
      <c r="C72" t="s">
        <v>78</v>
      </c>
      <c r="D72">
        <v>11.0600004</v>
      </c>
      <c r="E72"/>
      <c r="F72" s="89">
        <v>10.677352000000001</v>
      </c>
      <c r="G72" s="29">
        <f>Table223421023456789111213[[#This Row],[doug]]-Table223421023456789111213[[#This Row],[REF]]</f>
        <v>-0.382648399999999</v>
      </c>
      <c r="H72" s="29">
        <f>Table223421023456789111213[[#This Row],[X-Y]]-E$20</f>
        <v>-0.37987303874999512</v>
      </c>
      <c r="I72" s="29">
        <f>Table223421023456789111213[[#This Row],[doug]]-E$20</f>
        <v>10.680127361250005</v>
      </c>
      <c r="J72" s="29">
        <f>Table223421023456789111213[[#This Row],[doug]]*E$21+E$22</f>
        <v>10.764915316570917</v>
      </c>
      <c r="K72" s="56">
        <f>Table223421023456789111213[[#This Row],[Yest]]-Table223421023456789111213[[#This Row],[REF]]</f>
        <v>-0.29508508342908257</v>
      </c>
      <c r="L72" s="56">
        <f>ABS(Table223421023456789111213[[#This Row],[RESyx]])</f>
        <v>0.29508508342908257</v>
      </c>
      <c r="M72" s="29">
        <f>Table223421023456789111213[[#This Row],[doug]]*E$25+E$26</f>
        <v>10.68841914144414</v>
      </c>
      <c r="N72" s="29">
        <f>Table223421023456789111213[[#This Row],[X-Y]]^2</f>
        <v>0.14641979802255922</v>
      </c>
      <c r="O72" s="57">
        <f>Table223421023456789111213[[#This Row],[yest_rect]]-Table223421023456789111213[[#This Row],[REF]]</f>
        <v>-0.37158125855586022</v>
      </c>
      <c r="P72" s="57">
        <f>Table223421023456789111213[[#This Row],[dif rec]]^2</f>
        <v>0.13807263170995704</v>
      </c>
      <c r="Q72" s="57">
        <f>ABS(Table223421023456789111213[[#This Row],[diff-bias]])</f>
        <v>0.37987303874999512</v>
      </c>
      <c r="R72" s="57">
        <f ca="1">CELL("row",Table223421023456789111213[[#This Row],[Position]])</f>
        <v>72</v>
      </c>
      <c r="S72" s="4">
        <f>Table223421023456789111213[[#This Row],[REF]]-D$13</f>
        <v>5.0000149999998911E-2</v>
      </c>
      <c r="T72" s="4">
        <f>ABS(Table223421023456789111213[[#This Row],[lab-med]])</f>
        <v>5.0000149999998911E-2</v>
      </c>
      <c r="U72" s="4">
        <f>Table223421023456789111213[[#This Row],[doug]]-F$13</f>
        <v>-0.37109150000000035</v>
      </c>
      <c r="V72" s="4">
        <f>ABS(Table223421023456789111213[[#This Row],[anl-med]])</f>
        <v>0.37109150000000035</v>
      </c>
      <c r="W72" s="4">
        <f>Table223421023456789111213[[#This Row],[lab-med]]*Table223421023456789111213[[#This Row],[anl-med]]</f>
        <v>-1.8554630663724613E-2</v>
      </c>
    </row>
    <row r="73" spans="2:23" x14ac:dyDescent="0.25">
      <c r="B73" s="46">
        <f ca="1">VALUE((Table223421023456789111213[[#This Row],[Column3]]-62))</f>
        <v>11</v>
      </c>
      <c r="C73" t="s">
        <v>79</v>
      </c>
      <c r="D73">
        <v>11.0900002</v>
      </c>
      <c r="E73"/>
      <c r="F73" s="89">
        <v>11.950561</v>
      </c>
      <c r="G73" s="29">
        <f>Table223421023456789111213[[#This Row],[doug]]-Table223421023456789111213[[#This Row],[REF]]</f>
        <v>0.86056080000000001</v>
      </c>
      <c r="H73" s="29">
        <f>Table223421023456789111213[[#This Row],[X-Y]]-E$20</f>
        <v>0.8633361612500039</v>
      </c>
      <c r="I73" s="29">
        <f>Table223421023456789111213[[#This Row],[doug]]-E$20</f>
        <v>11.953336361250004</v>
      </c>
      <c r="J73" s="29">
        <f>Table223421023456789111213[[#This Row],[doug]]*E$21+E$22</f>
        <v>11.786704493573218</v>
      </c>
      <c r="K73" s="56">
        <f>Table223421023456789111213[[#This Row],[Yest]]-Table223421023456789111213[[#This Row],[REF]]</f>
        <v>0.69670429357321773</v>
      </c>
      <c r="L73" s="56">
        <f>ABS(Table223421023456789111213[[#This Row],[RESyx]])</f>
        <v>0.69670429357321773</v>
      </c>
      <c r="M73" s="29">
        <f>Table223421023456789111213[[#This Row],[doug]]*E$25+E$26</f>
        <v>11.937040711533193</v>
      </c>
      <c r="N73" s="29">
        <f>Table223421023456789111213[[#This Row],[X-Y]]^2</f>
        <v>0.74056489049663998</v>
      </c>
      <c r="O73" s="57">
        <f>Table223421023456789111213[[#This Row],[yest_rect]]-Table223421023456789111213[[#This Row],[REF]]</f>
        <v>0.84704051153319249</v>
      </c>
      <c r="P73" s="57">
        <f>Table223421023456789111213[[#This Row],[dif rec]]^2</f>
        <v>0.71747762817841243</v>
      </c>
      <c r="Q73" s="57">
        <f>ABS(Table223421023456789111213[[#This Row],[diff-bias]])</f>
        <v>0.8633361612500039</v>
      </c>
      <c r="R73" s="57">
        <f ca="1">CELL("row",Table223421023456789111213[[#This Row],[Position]])</f>
        <v>73</v>
      </c>
      <c r="S73" s="4">
        <f>Table223421023456789111213[[#This Row],[REF]]-D$13</f>
        <v>7.9999949999999487E-2</v>
      </c>
      <c r="T73" s="4">
        <f>ABS(Table223421023456789111213[[#This Row],[lab-med]])</f>
        <v>7.9999949999999487E-2</v>
      </c>
      <c r="U73" s="4">
        <f>Table223421023456789111213[[#This Row],[doug]]-F$13</f>
        <v>0.90211749999999924</v>
      </c>
      <c r="V73" s="4">
        <f>ABS(Table223421023456789111213[[#This Row],[anl-med]])</f>
        <v>0.90211749999999924</v>
      </c>
      <c r="W73" s="4">
        <f>Table223421023456789111213[[#This Row],[lab-med]]*Table223421023456789111213[[#This Row],[anl-med]]</f>
        <v>7.2169354894124474E-2</v>
      </c>
    </row>
    <row r="74" spans="2:23" x14ac:dyDescent="0.25">
      <c r="B74" s="46">
        <f ca="1">VALUE((Table223421023456789111213[[#This Row],[Column3]]-62))</f>
        <v>12</v>
      </c>
      <c r="C74" t="s">
        <v>80</v>
      </c>
      <c r="D74">
        <v>11.6199999</v>
      </c>
      <c r="E74"/>
      <c r="F74" s="89">
        <v>11.947528</v>
      </c>
      <c r="G74" s="29">
        <f>Table223421023456789111213[[#This Row],[doug]]-Table223421023456789111213[[#This Row],[REF]]</f>
        <v>0.32752810000000032</v>
      </c>
      <c r="H74" s="29">
        <f>Table223421023456789111213[[#This Row],[X-Y]]-E$20</f>
        <v>0.3303034612500042</v>
      </c>
      <c r="I74" s="29">
        <f>Table223421023456789111213[[#This Row],[doug]]-E$20</f>
        <v>11.950303361250004</v>
      </c>
      <c r="J74" s="29">
        <f>Table223421023456789111213[[#This Row],[doug]]*E$21+E$22</f>
        <v>11.78427041827698</v>
      </c>
      <c r="K74" s="56">
        <f>Table223421023456789111213[[#This Row],[Yest]]-Table223421023456789111213[[#This Row],[REF]]</f>
        <v>0.16427051827698058</v>
      </c>
      <c r="L74" s="56">
        <f>ABS(Table223421023456789111213[[#This Row],[RESyx]])</f>
        <v>0.16427051827698058</v>
      </c>
      <c r="M74" s="29">
        <f>Table223421023456789111213[[#This Row],[doug]]*E$25+E$26</f>
        <v>11.934066282965627</v>
      </c>
      <c r="N74" s="29">
        <f>Table223421023456789111213[[#This Row],[X-Y]]^2</f>
        <v>0.10727465628961021</v>
      </c>
      <c r="O74" s="57">
        <f>Table223421023456789111213[[#This Row],[yest_rect]]-Table223421023456789111213[[#This Row],[REF]]</f>
        <v>0.31406638296562761</v>
      </c>
      <c r="P74" s="57">
        <f>Table223421023456789111213[[#This Row],[dif rec]]^2</f>
        <v>9.8637692909112271E-2</v>
      </c>
      <c r="Q74" s="57">
        <f>ABS(Table223421023456789111213[[#This Row],[diff-bias]])</f>
        <v>0.3303034612500042</v>
      </c>
      <c r="R74" s="57">
        <f ca="1">CELL("row",Table223421023456789111213[[#This Row],[Position]])</f>
        <v>74</v>
      </c>
      <c r="S74" s="4">
        <f>Table223421023456789111213[[#This Row],[REF]]-D$13</f>
        <v>0.60999964999999889</v>
      </c>
      <c r="T74" s="4">
        <f>ABS(Table223421023456789111213[[#This Row],[lab-med]])</f>
        <v>0.60999964999999889</v>
      </c>
      <c r="U74" s="4">
        <f>Table223421023456789111213[[#This Row],[doug]]-F$13</f>
        <v>0.89908449999999895</v>
      </c>
      <c r="V74" s="4">
        <f>ABS(Table223421023456789111213[[#This Row],[anl-med]])</f>
        <v>0.89908449999999895</v>
      </c>
      <c r="W74" s="4">
        <f>Table223421023456789111213[[#This Row],[lab-med]]*Table223421023456789111213[[#This Row],[anl-med]]</f>
        <v>0.54844123032042336</v>
      </c>
    </row>
    <row r="75" spans="2:23" x14ac:dyDescent="0.25">
      <c r="B75" s="46">
        <f ca="1">VALUE((Table223421023456789111213[[#This Row],[Column3]]-62))</f>
        <v>13</v>
      </c>
      <c r="C75" t="s">
        <v>81</v>
      </c>
      <c r="D75">
        <v>9.9600000000000009</v>
      </c>
      <c r="E75"/>
      <c r="F75" s="89">
        <v>11.276165000000001</v>
      </c>
      <c r="G75" s="29">
        <f>Table223421023456789111213[[#This Row],[doug]]-Table223421023456789111213[[#This Row],[REF]]</f>
        <v>1.3161649999999998</v>
      </c>
      <c r="H75" s="29">
        <f>Table223421023456789111213[[#This Row],[X-Y]]-E$20</f>
        <v>1.3189403612500037</v>
      </c>
      <c r="I75" s="29">
        <f>Table223421023456789111213[[#This Row],[doug]]-E$20</f>
        <v>11.278940361250005</v>
      </c>
      <c r="J75" s="29">
        <f>Table223421023456789111213[[#This Row],[doug]]*E$21+E$22</f>
        <v>11.24548107007115</v>
      </c>
      <c r="K75" s="56">
        <f>Table223421023456789111213[[#This Row],[Yest]]-Table223421023456789111213[[#This Row],[REF]]</f>
        <v>1.2854810700711496</v>
      </c>
      <c r="L75" s="56">
        <f>ABS(Table223421023456789111213[[#This Row],[RESyx]])</f>
        <v>1.2854810700711496</v>
      </c>
      <c r="M75" s="29">
        <f>Table223421023456789111213[[#This Row],[doug]]*E$25+E$26</f>
        <v>11.275668232716457</v>
      </c>
      <c r="N75" s="29">
        <f>Table223421023456789111213[[#This Row],[X-Y]]^2</f>
        <v>1.7322903072249995</v>
      </c>
      <c r="O75" s="57">
        <f>Table223421023456789111213[[#This Row],[yest_rect]]-Table223421023456789111213[[#This Row],[REF]]</f>
        <v>1.3156682327164564</v>
      </c>
      <c r="P75" s="57">
        <f>Table223421023456789111213[[#This Row],[dif rec]]^2</f>
        <v>1.7309828985792437</v>
      </c>
      <c r="Q75" s="57">
        <f>ABS(Table223421023456789111213[[#This Row],[diff-bias]])</f>
        <v>1.3189403612500037</v>
      </c>
      <c r="R75" s="57">
        <f ca="1">CELL("row",Table223421023456789111213[[#This Row],[Position]])</f>
        <v>75</v>
      </c>
      <c r="S75" s="4">
        <f>Table223421023456789111213[[#This Row],[REF]]-D$13</f>
        <v>-1.0500002500000001</v>
      </c>
      <c r="T75" s="4">
        <f>ABS(Table223421023456789111213[[#This Row],[lab-med]])</f>
        <v>1.0500002500000001</v>
      </c>
      <c r="U75" s="4">
        <f>Table223421023456789111213[[#This Row],[doug]]-F$13</f>
        <v>0.22772149999999947</v>
      </c>
      <c r="V75" s="4">
        <f>ABS(Table223421023456789111213[[#This Row],[anl-med]])</f>
        <v>0.22772149999999947</v>
      </c>
      <c r="W75" s="4">
        <f>Table223421023456789111213[[#This Row],[lab-med]]*Table223421023456789111213[[#This Row],[anl-med]]</f>
        <v>-0.23910763193037446</v>
      </c>
    </row>
    <row r="76" spans="2:23" x14ac:dyDescent="0.25">
      <c r="B76" s="46">
        <f ca="1">VALUE((Table223421023456789111213[[#This Row],[Column3]]-62))</f>
        <v>14</v>
      </c>
      <c r="C76" t="s">
        <v>82</v>
      </c>
      <c r="D76">
        <v>9.5</v>
      </c>
      <c r="E76"/>
      <c r="F76" s="89">
        <v>10.327201000000001</v>
      </c>
      <c r="G76" s="29">
        <f>Table223421023456789111213[[#This Row],[doug]]-Table223421023456789111213[[#This Row],[REF]]</f>
        <v>0.82720100000000052</v>
      </c>
      <c r="H76" s="29">
        <f>Table223421023456789111213[[#This Row],[X-Y]]-E$20</f>
        <v>0.8299763612500044</v>
      </c>
      <c r="I76" s="29">
        <f>Table223421023456789111213[[#This Row],[doug]]-E$20</f>
        <v>10.329976361250004</v>
      </c>
      <c r="J76" s="29">
        <f>Table223421023456789111213[[#This Row],[doug]]*E$21+E$22</f>
        <v>10.483908426016001</v>
      </c>
      <c r="K76" s="56">
        <f>Table223421023456789111213[[#This Row],[Yest]]-Table223421023456789111213[[#This Row],[REF]]</f>
        <v>0.9839084260160007</v>
      </c>
      <c r="L76" s="56">
        <f>ABS(Table223421023456789111213[[#This Row],[RESyx]])</f>
        <v>0.9839084260160007</v>
      </c>
      <c r="M76" s="29">
        <f>Table223421023456789111213[[#This Row],[doug]]*E$25+E$26</f>
        <v>10.345030042413068</v>
      </c>
      <c r="N76" s="29">
        <f>Table223421023456789111213[[#This Row],[X-Y]]^2</f>
        <v>0.68426149440100081</v>
      </c>
      <c r="O76" s="57">
        <f>Table223421023456789111213[[#This Row],[yest_rect]]-Table223421023456789111213[[#This Row],[REF]]</f>
        <v>0.84503004241306812</v>
      </c>
      <c r="P76" s="57">
        <f>Table223421023456789111213[[#This Row],[dif rec]]^2</f>
        <v>0.71407577258063171</v>
      </c>
      <c r="Q76" s="57">
        <f>ABS(Table223421023456789111213[[#This Row],[diff-bias]])</f>
        <v>0.8299763612500044</v>
      </c>
      <c r="R76" s="57">
        <f ca="1">CELL("row",Table223421023456789111213[[#This Row],[Position]])</f>
        <v>76</v>
      </c>
      <c r="S76" s="4">
        <f>Table223421023456789111213[[#This Row],[REF]]-D$13</f>
        <v>-1.5100002500000009</v>
      </c>
      <c r="T76" s="4">
        <f>ABS(Table223421023456789111213[[#This Row],[lab-med]])</f>
        <v>1.5100002500000009</v>
      </c>
      <c r="U76" s="4">
        <f>Table223421023456789111213[[#This Row],[doug]]-F$13</f>
        <v>-0.72124250000000067</v>
      </c>
      <c r="V76" s="4">
        <f>ABS(Table223421023456789111213[[#This Row],[anl-med]])</f>
        <v>0.72124250000000067</v>
      </c>
      <c r="W76" s="4">
        <f>Table223421023456789111213[[#This Row],[lab-med]]*Table223421023456789111213[[#This Row],[anl-med]]</f>
        <v>1.0890763553106266</v>
      </c>
    </row>
    <row r="77" spans="2:23" x14ac:dyDescent="0.25">
      <c r="B77" s="46">
        <f ca="1">VALUE((Table223421023456789111213[[#This Row],[Column3]]-62))</f>
        <v>15</v>
      </c>
      <c r="C77" t="s">
        <v>83</v>
      </c>
      <c r="D77">
        <v>9.9899997999999997</v>
      </c>
      <c r="E77"/>
      <c r="F77" s="89">
        <v>10.522550000000001</v>
      </c>
      <c r="G77" s="29">
        <f>Table223421023456789111213[[#This Row],[doug]]-Table223421023456789111213[[#This Row],[REF]]</f>
        <v>0.53255020000000108</v>
      </c>
      <c r="H77" s="29">
        <f>Table223421023456789111213[[#This Row],[X-Y]]-E$20</f>
        <v>0.53532556125000497</v>
      </c>
      <c r="I77" s="29">
        <f>Table223421023456789111213[[#This Row],[doug]]-E$20</f>
        <v>10.525325361250005</v>
      </c>
      <c r="J77" s="29">
        <f>Table223421023456789111213[[#This Row],[doug]]*E$21+E$22</f>
        <v>10.640681975321908</v>
      </c>
      <c r="K77" s="56">
        <f>Table223421023456789111213[[#This Row],[Yest]]-Table223421023456789111213[[#This Row],[REF]]</f>
        <v>0.65068217532190786</v>
      </c>
      <c r="L77" s="56">
        <f>ABS(Table223421023456789111213[[#This Row],[RESyx]])</f>
        <v>0.65068217532190786</v>
      </c>
      <c r="M77" s="29">
        <f>Table223421023456789111213[[#This Row],[doug]]*E$25+E$26</f>
        <v>10.536606582553238</v>
      </c>
      <c r="N77" s="29">
        <f>Table223421023456789111213[[#This Row],[X-Y]]^2</f>
        <v>0.28360971552004116</v>
      </c>
      <c r="O77" s="57">
        <f>Table223421023456789111213[[#This Row],[yest_rect]]-Table223421023456789111213[[#This Row],[REF]]</f>
        <v>0.5466067825532388</v>
      </c>
      <c r="P77" s="57">
        <f>Table223421023456789111213[[#This Row],[dif rec]]^2</f>
        <v>0.29877897473320369</v>
      </c>
      <c r="Q77" s="57">
        <f>ABS(Table223421023456789111213[[#This Row],[diff-bias]])</f>
        <v>0.53532556125000497</v>
      </c>
      <c r="R77" s="57">
        <f ca="1">CELL("row",Table223421023456789111213[[#This Row],[Position]])</f>
        <v>77</v>
      </c>
      <c r="S77" s="4">
        <f>Table223421023456789111213[[#This Row],[REF]]-D$13</f>
        <v>-1.0200004500000013</v>
      </c>
      <c r="T77" s="4">
        <f>ABS(Table223421023456789111213[[#This Row],[lab-med]])</f>
        <v>1.0200004500000013</v>
      </c>
      <c r="U77" s="4">
        <f>Table223421023456789111213[[#This Row],[doug]]-F$13</f>
        <v>-0.52589350000000046</v>
      </c>
      <c r="V77" s="4">
        <f>ABS(Table223421023456789111213[[#This Row],[anl-med]])</f>
        <v>0.52589350000000046</v>
      </c>
      <c r="W77" s="4">
        <f>Table223421023456789111213[[#This Row],[lab-med]]*Table223421023456789111213[[#This Row],[anl-med]]</f>
        <v>0.5364116066520761</v>
      </c>
    </row>
    <row r="78" spans="2:23" x14ac:dyDescent="0.25">
      <c r="B78" s="46">
        <f ca="1">VALUE((Table223421023456789111213[[#This Row],[Column3]]-62))</f>
        <v>16</v>
      </c>
      <c r="C78" t="s">
        <v>84</v>
      </c>
      <c r="D78">
        <v>10.0100002</v>
      </c>
      <c r="E78"/>
      <c r="F78" s="89">
        <v>10.910275</v>
      </c>
      <c r="G78" s="29">
        <f>Table223421023456789111213[[#This Row],[doug]]-Table223421023456789111213[[#This Row],[REF]]</f>
        <v>0.90027480000000004</v>
      </c>
      <c r="H78" s="29">
        <f>Table223421023456789111213[[#This Row],[X-Y]]-E$20</f>
        <v>0.90305016125000392</v>
      </c>
      <c r="I78" s="29">
        <f>Table223421023456789111213[[#This Row],[doug]]-E$20</f>
        <v>10.913050361250004</v>
      </c>
      <c r="J78" s="29">
        <f>Table223421023456789111213[[#This Row],[doug]]*E$21+E$22</f>
        <v>10.951843150473211</v>
      </c>
      <c r="K78" s="56">
        <f>Table223421023456789111213[[#This Row],[Yest]]-Table223421023456789111213[[#This Row],[REF]]</f>
        <v>0.94184295047321065</v>
      </c>
      <c r="L78" s="56">
        <f>ABS(Table223421023456789111213[[#This Row],[RESyx]])</f>
        <v>0.94184295047321065</v>
      </c>
      <c r="M78" s="29">
        <f>Table223421023456789111213[[#This Row],[doug]]*E$25+E$26</f>
        <v>10.91684407558288</v>
      </c>
      <c r="N78" s="29">
        <f>Table223421023456789111213[[#This Row],[X-Y]]^2</f>
        <v>0.81049471551504004</v>
      </c>
      <c r="O78" s="57">
        <f>Table223421023456789111213[[#This Row],[yest_rect]]-Table223421023456789111213[[#This Row],[REF]]</f>
        <v>0.90684387558287938</v>
      </c>
      <c r="P78" s="57">
        <f>Table223421023456789111213[[#This Row],[dif rec]]^2</f>
        <v>0.82236581468217684</v>
      </c>
      <c r="Q78" s="57">
        <f>ABS(Table223421023456789111213[[#This Row],[diff-bias]])</f>
        <v>0.90305016125000392</v>
      </c>
      <c r="R78" s="57">
        <f ca="1">CELL("row",Table223421023456789111213[[#This Row],[Position]])</f>
        <v>78</v>
      </c>
      <c r="S78" s="4">
        <f>Table223421023456789111213[[#This Row],[REF]]-D$13</f>
        <v>-1.0000000500000006</v>
      </c>
      <c r="T78" s="4">
        <f>ABS(Table223421023456789111213[[#This Row],[lab-med]])</f>
        <v>1.0000000500000006</v>
      </c>
      <c r="U78" s="4">
        <f>Table223421023456789111213[[#This Row],[doug]]-F$13</f>
        <v>-0.1381685000000008</v>
      </c>
      <c r="V78" s="4">
        <f>ABS(Table223421023456789111213[[#This Row],[anl-med]])</f>
        <v>0.1381685000000008</v>
      </c>
      <c r="W78" s="4">
        <f>Table223421023456789111213[[#This Row],[lab-med]]*Table223421023456789111213[[#This Row],[anl-med]]</f>
        <v>0.13816850690842589</v>
      </c>
    </row>
    <row r="79" spans="2:23" x14ac:dyDescent="0.25">
      <c r="B79" s="46">
        <f ca="1">VALUE((Table223421023456789111213[[#This Row],[Column3]]-62))</f>
        <v>17</v>
      </c>
      <c r="C79" t="s">
        <v>85</v>
      </c>
      <c r="D79">
        <v>9.8299999000000007</v>
      </c>
      <c r="E79"/>
      <c r="F79" s="89">
        <v>10.936845</v>
      </c>
      <c r="G79" s="29">
        <f>Table223421023456789111213[[#This Row],[doug]]-Table223421023456789111213[[#This Row],[REF]]</f>
        <v>1.1068450999999992</v>
      </c>
      <c r="H79" s="29">
        <f>Table223421023456789111213[[#This Row],[X-Y]]-E$20</f>
        <v>1.1096204612500031</v>
      </c>
      <c r="I79" s="29">
        <f>Table223421023456789111213[[#This Row],[doug]]-E$20</f>
        <v>10.939620361250004</v>
      </c>
      <c r="J79" s="29">
        <f>Table223421023456789111213[[#This Row],[doug]]*E$21+E$22</f>
        <v>10.973166388396404</v>
      </c>
      <c r="K79" s="56">
        <f>Table223421023456789111213[[#This Row],[Yest]]-Table223421023456789111213[[#This Row],[REF]]</f>
        <v>1.1431664883964032</v>
      </c>
      <c r="L79" s="56">
        <f>ABS(Table223421023456789111213[[#This Row],[RESyx]])</f>
        <v>1.1431664883964032</v>
      </c>
      <c r="M79" s="29">
        <f>Table223421023456789111213[[#This Row],[doug]]*E$25+E$26</f>
        <v>10.942900972068269</v>
      </c>
      <c r="N79" s="29">
        <f>Table223421023456789111213[[#This Row],[X-Y]]^2</f>
        <v>1.2251060753940084</v>
      </c>
      <c r="O79" s="57">
        <f>Table223421023456789111213[[#This Row],[yest_rect]]-Table223421023456789111213[[#This Row],[REF]]</f>
        <v>1.1129010720682686</v>
      </c>
      <c r="P79" s="57">
        <f>Table223421023456789111213[[#This Row],[dif rec]]^2</f>
        <v>1.2385487962107016</v>
      </c>
      <c r="Q79" s="57">
        <f>ABS(Table223421023456789111213[[#This Row],[diff-bias]])</f>
        <v>1.1096204612500031</v>
      </c>
      <c r="R79" s="57">
        <f ca="1">CELL("row",Table223421023456789111213[[#This Row],[Position]])</f>
        <v>79</v>
      </c>
      <c r="S79" s="4">
        <f>Table223421023456789111213[[#This Row],[REF]]-D$13</f>
        <v>-1.1800003500000003</v>
      </c>
      <c r="T79" s="4">
        <f>ABS(Table223421023456789111213[[#This Row],[lab-med]])</f>
        <v>1.1800003500000003</v>
      </c>
      <c r="U79" s="4">
        <f>Table223421023456789111213[[#This Row],[doug]]-F$13</f>
        <v>-0.11159850000000127</v>
      </c>
      <c r="V79" s="4">
        <f>ABS(Table223421023456789111213[[#This Row],[anl-med]])</f>
        <v>0.11159850000000127</v>
      </c>
      <c r="W79" s="4">
        <f>Table223421023456789111213[[#This Row],[lab-med]]*Table223421023456789111213[[#This Row],[anl-med]]</f>
        <v>0.13168626905947653</v>
      </c>
    </row>
    <row r="80" spans="2:23" x14ac:dyDescent="0.25">
      <c r="B80" s="46">
        <f ca="1">VALUE((Table223421023456789111213[[#This Row],[Column3]]-62))</f>
        <v>18</v>
      </c>
      <c r="C80" t="s">
        <v>86</v>
      </c>
      <c r="D80">
        <v>9.5699997000000003</v>
      </c>
      <c r="E80"/>
      <c r="F80" s="89">
        <v>8.3143402999999996</v>
      </c>
      <c r="G80" s="29">
        <f>Table223421023456789111213[[#This Row],[doug]]-Table223421023456789111213[[#This Row],[REF]]</f>
        <v>-1.2556594000000008</v>
      </c>
      <c r="H80" s="29">
        <f>Table223421023456789111213[[#This Row],[X-Y]]-E$20</f>
        <v>-1.2528840387499969</v>
      </c>
      <c r="I80" s="29">
        <f>Table223421023456789111213[[#This Row],[doug]]-E$20</f>
        <v>8.3171156612500035</v>
      </c>
      <c r="J80" s="29">
        <f>Table223421023456789111213[[#This Row],[doug]]*E$21+E$22</f>
        <v>8.8685261297289983</v>
      </c>
      <c r="K80" s="56">
        <f>Table223421023456789111213[[#This Row],[Yest]]-Table223421023456789111213[[#This Row],[REF]]</f>
        <v>-0.70147357027100199</v>
      </c>
      <c r="L80" s="56">
        <f>ABS(Table223421023456789111213[[#This Row],[RESyx]])</f>
        <v>0.70147357027100199</v>
      </c>
      <c r="M80" s="29">
        <f>Table223421023456789111213[[#This Row],[doug]]*E$25+E$26</f>
        <v>8.371040471490657</v>
      </c>
      <c r="N80" s="29">
        <f>Table223421023456789111213[[#This Row],[X-Y]]^2</f>
        <v>1.5766805288083618</v>
      </c>
      <c r="O80" s="57">
        <f>Table223421023456789111213[[#This Row],[yest_rect]]-Table223421023456789111213[[#This Row],[REF]]</f>
        <v>-1.1989592285093433</v>
      </c>
      <c r="P80" s="57">
        <f>Table223421023456789111213[[#This Row],[dif rec]]^2</f>
        <v>1.4375032316277199</v>
      </c>
      <c r="Q80" s="57">
        <f>ABS(Table223421023456789111213[[#This Row],[diff-bias]])</f>
        <v>1.2528840387499969</v>
      </c>
      <c r="R80" s="57">
        <f ca="1">CELL("row",Table223421023456789111213[[#This Row],[Position]])</f>
        <v>80</v>
      </c>
      <c r="S80" s="4">
        <f>Table223421023456789111213[[#This Row],[REF]]-D$13</f>
        <v>-1.4400005500000006</v>
      </c>
      <c r="T80" s="4">
        <f>ABS(Table223421023456789111213[[#This Row],[lab-med]])</f>
        <v>1.4400005500000006</v>
      </c>
      <c r="U80" s="4">
        <f>Table223421023456789111213[[#This Row],[doug]]-F$13</f>
        <v>-2.7341032000000016</v>
      </c>
      <c r="V80" s="4">
        <f>ABS(Table223421023456789111213[[#This Row],[anl-med]])</f>
        <v>2.7341032000000016</v>
      </c>
      <c r="W80" s="4">
        <f>Table223421023456789111213[[#This Row],[lab-med]]*Table223421023456789111213[[#This Row],[anl-med]]</f>
        <v>3.937110111756764</v>
      </c>
    </row>
    <row r="81" spans="2:23" x14ac:dyDescent="0.25">
      <c r="B81" s="46">
        <f ca="1">VALUE((Table223421023456789111213[[#This Row],[Column3]]-62))</f>
        <v>19</v>
      </c>
      <c r="C81" t="s">
        <v>87</v>
      </c>
      <c r="D81">
        <v>9.9200000999999993</v>
      </c>
      <c r="E81"/>
      <c r="F81" s="89">
        <v>10.691554</v>
      </c>
      <c r="G81" s="29">
        <f>Table223421023456789111213[[#This Row],[doug]]-Table223421023456789111213[[#This Row],[REF]]</f>
        <v>0.77155390000000068</v>
      </c>
      <c r="H81" s="29">
        <f>Table223421023456789111213[[#This Row],[X-Y]]-E$20</f>
        <v>0.77432926125000456</v>
      </c>
      <c r="I81" s="29">
        <f>Table223421023456789111213[[#This Row],[doug]]-E$20</f>
        <v>10.694329361250004</v>
      </c>
      <c r="J81" s="29">
        <f>Table223421023456789111213[[#This Row],[doug]]*E$21+E$22</f>
        <v>10.776312856088612</v>
      </c>
      <c r="K81" s="56">
        <f>Table223421023456789111213[[#This Row],[Yest]]-Table223421023456789111213[[#This Row],[REF]]</f>
        <v>0.85631275608861301</v>
      </c>
      <c r="L81" s="56">
        <f>ABS(Table223421023456789111213[[#This Row],[RESyx]])</f>
        <v>0.85631275608861301</v>
      </c>
      <c r="M81" s="29">
        <f>Table223421023456789111213[[#This Row],[doug]]*E$25+E$26</f>
        <v>10.702346881146266</v>
      </c>
      <c r="N81" s="29">
        <f>Table223421023456789111213[[#This Row],[X-Y]]^2</f>
        <v>0.59529542060521101</v>
      </c>
      <c r="O81" s="57">
        <f>Table223421023456789111213[[#This Row],[yest_rect]]-Table223421023456789111213[[#This Row],[REF]]</f>
        <v>0.78234678114626632</v>
      </c>
      <c r="P81" s="57">
        <f>Table223421023456789111213[[#This Row],[dif rec]]^2</f>
        <v>0.61206648596992397</v>
      </c>
      <c r="Q81" s="57">
        <f>ABS(Table223421023456789111213[[#This Row],[diff-bias]])</f>
        <v>0.77432926125000456</v>
      </c>
      <c r="R81" s="57">
        <f ca="1">CELL("row",Table223421023456789111213[[#This Row],[Position]])</f>
        <v>81</v>
      </c>
      <c r="S81" s="4">
        <f>Table223421023456789111213[[#This Row],[REF]]-D$13</f>
        <v>-1.0900001500000016</v>
      </c>
      <c r="T81" s="4">
        <f>ABS(Table223421023456789111213[[#This Row],[lab-med]])</f>
        <v>1.0900001500000016</v>
      </c>
      <c r="U81" s="4">
        <f>Table223421023456789111213[[#This Row],[doug]]-F$13</f>
        <v>-0.35688950000000119</v>
      </c>
      <c r="V81" s="4">
        <f>ABS(Table223421023456789111213[[#This Row],[anl-med]])</f>
        <v>0.35688950000000119</v>
      </c>
      <c r="W81" s="4">
        <f>Table223421023456789111213[[#This Row],[lab-med]]*Table223421023456789111213[[#This Row],[anl-med]]</f>
        <v>0.38900960853342686</v>
      </c>
    </row>
    <row r="82" spans="2:23" x14ac:dyDescent="0.25">
      <c r="B82" s="46">
        <f ca="1">VALUE((Table223421023456789111213[[#This Row],[Column3]]-62))</f>
        <v>20</v>
      </c>
      <c r="C82" t="s">
        <v>88</v>
      </c>
      <c r="D82">
        <v>11.670000099999999</v>
      </c>
      <c r="E82"/>
      <c r="F82" s="89">
        <v>11.032344</v>
      </c>
      <c r="G82" s="29">
        <f>Table223421023456789111213[[#This Row],[doug]]-Table223421023456789111213[[#This Row],[REF]]</f>
        <v>-0.63765609999999917</v>
      </c>
      <c r="H82" s="29">
        <f>Table223421023456789111213[[#This Row],[X-Y]]-E$20</f>
        <v>-0.63488073874999529</v>
      </c>
      <c r="I82" s="29">
        <f>Table223421023456789111213[[#This Row],[doug]]-E$20</f>
        <v>11.035119361250004</v>
      </c>
      <c r="J82" s="29">
        <f>Table223421023456789111213[[#This Row],[doug]]*E$21+E$22</f>
        <v>11.049807257738784</v>
      </c>
      <c r="K82" s="56">
        <f>Table223421023456789111213[[#This Row],[Yest]]-Table223421023456789111213[[#This Row],[REF]]</f>
        <v>-0.62019284226121485</v>
      </c>
      <c r="L82" s="56">
        <f>ABS(Table223421023456789111213[[#This Row],[RESyx]])</f>
        <v>0.62019284226121485</v>
      </c>
      <c r="M82" s="29">
        <f>Table223421023456789111213[[#This Row],[doug]]*E$25+E$26</f>
        <v>11.036555754057664</v>
      </c>
      <c r="N82" s="29">
        <f>Table223421023456789111213[[#This Row],[X-Y]]^2</f>
        <v>0.40660530186720895</v>
      </c>
      <c r="O82" s="57">
        <f>Table223421023456789111213[[#This Row],[yest_rect]]-Table223421023456789111213[[#This Row],[REF]]</f>
        <v>-0.63344434594233512</v>
      </c>
      <c r="P82" s="57">
        <f>Table223421023456789111213[[#This Row],[dif rec]]^2</f>
        <v>0.40125173940631276</v>
      </c>
      <c r="Q82" s="57">
        <f>ABS(Table223421023456789111213[[#This Row],[diff-bias]])</f>
        <v>0.63488073874999529</v>
      </c>
      <c r="R82" s="57">
        <f ca="1">CELL("row",Table223421023456789111213[[#This Row],[Position]])</f>
        <v>82</v>
      </c>
      <c r="S82" s="4">
        <f>Table223421023456789111213[[#This Row],[REF]]-D$13</f>
        <v>0.65999984999999839</v>
      </c>
      <c r="T82" s="4">
        <f>ABS(Table223421023456789111213[[#This Row],[lab-med]])</f>
        <v>0.65999984999999839</v>
      </c>
      <c r="U82" s="4">
        <f>Table223421023456789111213[[#This Row],[doug]]-F$13</f>
        <v>-1.6099500000001044E-2</v>
      </c>
      <c r="V82" s="4">
        <f>ABS(Table223421023456789111213[[#This Row],[anl-med]])</f>
        <v>1.6099500000001044E-2</v>
      </c>
      <c r="W82" s="4">
        <f>Table223421023456789111213[[#This Row],[lab-med]]*Table223421023456789111213[[#This Row],[anl-med]]</f>
        <v>-1.0625667585075663E-2</v>
      </c>
    </row>
    <row r="83" spans="2:23" x14ac:dyDescent="0.25">
      <c r="B83" s="46">
        <f ca="1">VALUE((Table223421023456789111213[[#This Row],[Column3]]-62))</f>
        <v>21</v>
      </c>
      <c r="C83" t="s">
        <v>89</v>
      </c>
      <c r="D83">
        <v>11.5</v>
      </c>
      <c r="E83"/>
      <c r="F83" s="89">
        <v>11.496608999999999</v>
      </c>
      <c r="G83" s="29">
        <f>Table223421023456789111213[[#This Row],[doug]]-Table223421023456789111213[[#This Row],[REF]]</f>
        <v>-3.391000000000588E-3</v>
      </c>
      <c r="H83" s="29">
        <f>Table223421023456789111213[[#This Row],[X-Y]]-E$20</f>
        <v>-6.1563874999670531E-4</v>
      </c>
      <c r="I83" s="29">
        <f>Table223421023456789111213[[#This Row],[doug]]-E$20</f>
        <v>11.499384361250003</v>
      </c>
      <c r="J83" s="29">
        <f>Table223421023456789111213[[#This Row],[doug]]*E$21+E$22</f>
        <v>11.422394124671845</v>
      </c>
      <c r="K83" s="56">
        <f>Table223421023456789111213[[#This Row],[Yest]]-Table223421023456789111213[[#This Row],[REF]]</f>
        <v>-7.7605875328154994E-2</v>
      </c>
      <c r="L83" s="56">
        <f>ABS(Table223421023456789111213[[#This Row],[RESyx]])</f>
        <v>7.7605875328154994E-2</v>
      </c>
      <c r="M83" s="29">
        <f>Table223421023456789111213[[#This Row],[doug]]*E$25+E$26</f>
        <v>11.491855153635733</v>
      </c>
      <c r="N83" s="29">
        <f>Table223421023456789111213[[#This Row],[X-Y]]^2</f>
        <v>1.1498881000003989E-5</v>
      </c>
      <c r="O83" s="57">
        <f>Table223421023456789111213[[#This Row],[yest_rect]]-Table223421023456789111213[[#This Row],[REF]]</f>
        <v>-8.1448463642672664E-3</v>
      </c>
      <c r="P83" s="57">
        <f>Table223421023456789111213[[#This Row],[dif rec]]^2</f>
        <v>6.6338522297517709E-5</v>
      </c>
      <c r="Q83" s="57">
        <f>ABS(Table223421023456789111213[[#This Row],[diff-bias]])</f>
        <v>6.1563874999670531E-4</v>
      </c>
      <c r="R83" s="57">
        <f ca="1">CELL("row",Table223421023456789111213[[#This Row],[Position]])</f>
        <v>83</v>
      </c>
      <c r="S83" s="4">
        <f>Table223421023456789111213[[#This Row],[REF]]-D$13</f>
        <v>0.48999974999999907</v>
      </c>
      <c r="T83" s="4">
        <f>ABS(Table223421023456789111213[[#This Row],[lab-med]])</f>
        <v>0.48999974999999907</v>
      </c>
      <c r="U83" s="4">
        <f>Table223421023456789111213[[#This Row],[doug]]-F$13</f>
        <v>0.44816549999999822</v>
      </c>
      <c r="V83" s="4">
        <f>ABS(Table223421023456789111213[[#This Row],[anl-med]])</f>
        <v>0.44816549999999822</v>
      </c>
      <c r="W83" s="4">
        <f>Table223421023456789111213[[#This Row],[lab-med]]*Table223421023456789111213[[#This Row],[anl-med]]</f>
        <v>0.21960098295862371</v>
      </c>
    </row>
    <row r="84" spans="2:23" x14ac:dyDescent="0.25">
      <c r="B84" s="46">
        <f ca="1">VALUE((Table223421023456789111213[[#This Row],[Column3]]-62))</f>
        <v>22</v>
      </c>
      <c r="C84" t="s">
        <v>90</v>
      </c>
      <c r="D84">
        <v>11.3699999</v>
      </c>
      <c r="E84"/>
      <c r="F84" s="89">
        <v>12.116168999999999</v>
      </c>
      <c r="G84" s="29">
        <f>Table223421023456789111213[[#This Row],[doug]]-Table223421023456789111213[[#This Row],[REF]]</f>
        <v>0.74616909999999947</v>
      </c>
      <c r="H84" s="29">
        <f>Table223421023456789111213[[#This Row],[X-Y]]-E$20</f>
        <v>0.74894446125000336</v>
      </c>
      <c r="I84" s="29">
        <f>Table223421023456789111213[[#This Row],[doug]]-E$20</f>
        <v>12.118944361250003</v>
      </c>
      <c r="J84" s="29">
        <f>Table223421023456789111213[[#This Row],[doug]]*E$21+E$22</f>
        <v>11.919609980437508</v>
      </c>
      <c r="K84" s="56">
        <f>Table223421023456789111213[[#This Row],[Yest]]-Table223421023456789111213[[#This Row],[REF]]</f>
        <v>0.54961008043750859</v>
      </c>
      <c r="L84" s="56">
        <f>ABS(Table223421023456789111213[[#This Row],[RESyx]])</f>
        <v>0.54961008043750859</v>
      </c>
      <c r="M84" s="29">
        <f>Table223421023456789111213[[#This Row],[doug]]*E$25+E$26</f>
        <v>12.099450591591618</v>
      </c>
      <c r="N84" s="29">
        <f>Table223421023456789111213[[#This Row],[X-Y]]^2</f>
        <v>0.55676832579480917</v>
      </c>
      <c r="O84" s="57">
        <f>Table223421023456789111213[[#This Row],[yest_rect]]-Table223421023456789111213[[#This Row],[REF]]</f>
        <v>0.72945069159161768</v>
      </c>
      <c r="P84" s="57">
        <f>Table223421023456789111213[[#This Row],[dif rec]]^2</f>
        <v>0.53209831146348929</v>
      </c>
      <c r="Q84" s="57">
        <f>ABS(Table223421023456789111213[[#This Row],[diff-bias]])</f>
        <v>0.74894446125000336</v>
      </c>
      <c r="R84" s="57">
        <f ca="1">CELL("row",Table223421023456789111213[[#This Row],[Position]])</f>
        <v>84</v>
      </c>
      <c r="S84" s="4">
        <f>Table223421023456789111213[[#This Row],[REF]]-D$13</f>
        <v>0.35999964999999889</v>
      </c>
      <c r="T84" s="4">
        <f>ABS(Table223421023456789111213[[#This Row],[lab-med]])</f>
        <v>0.35999964999999889</v>
      </c>
      <c r="U84" s="4">
        <f>Table223421023456789111213[[#This Row],[doug]]-F$13</f>
        <v>1.0677254999999981</v>
      </c>
      <c r="V84" s="4">
        <f>ABS(Table223421023456789111213[[#This Row],[anl-med]])</f>
        <v>1.0677254999999981</v>
      </c>
      <c r="W84" s="4">
        <f>Table223421023456789111213[[#This Row],[lab-med]]*Table223421023456789111213[[#This Row],[anl-med]]</f>
        <v>0.38438080629607313</v>
      </c>
    </row>
    <row r="85" spans="2:23" x14ac:dyDescent="0.25">
      <c r="B85" s="46">
        <f ca="1">VALUE((Table223421023456789111213[[#This Row],[Column3]]-62))</f>
        <v>23</v>
      </c>
      <c r="C85" t="s">
        <v>91</v>
      </c>
      <c r="D85">
        <v>11.5900002</v>
      </c>
      <c r="E85"/>
      <c r="F85" s="89">
        <v>11.294841</v>
      </c>
      <c r="G85" s="29">
        <f>Table223421023456789111213[[#This Row],[doug]]-Table223421023456789111213[[#This Row],[REF]]</f>
        <v>-0.29515920000000051</v>
      </c>
      <c r="H85" s="29">
        <f>Table223421023456789111213[[#This Row],[X-Y]]-E$20</f>
        <v>-0.29238383874999663</v>
      </c>
      <c r="I85" s="29">
        <f>Table223421023456789111213[[#This Row],[doug]]-E$20</f>
        <v>11.297616361250004</v>
      </c>
      <c r="J85" s="29">
        <f>Table223421023456789111213[[#This Row],[doug]]*E$21+E$22</f>
        <v>11.260469131473242</v>
      </c>
      <c r="K85" s="56">
        <f>Table223421023456789111213[[#This Row],[Yest]]-Table223421023456789111213[[#This Row],[REF]]</f>
        <v>-0.32953106852675873</v>
      </c>
      <c r="L85" s="56">
        <f>ABS(Table223421023456789111213[[#This Row],[RESyx]])</f>
        <v>0.32953106852675873</v>
      </c>
      <c r="M85" s="29">
        <f>Table223421023456789111213[[#This Row],[doug]]*E$25+E$26</f>
        <v>11.29398357327954</v>
      </c>
      <c r="N85" s="29">
        <f>Table223421023456789111213[[#This Row],[X-Y]]^2</f>
        <v>8.7118953344640301E-2</v>
      </c>
      <c r="O85" s="57">
        <f>Table223421023456789111213[[#This Row],[yest_rect]]-Table223421023456789111213[[#This Row],[REF]]</f>
        <v>-0.29601662672046025</v>
      </c>
      <c r="P85" s="57">
        <f>Table223421023456789111213[[#This Row],[dif rec]]^2</f>
        <v>8.7625843294960301E-2</v>
      </c>
      <c r="Q85" s="57">
        <f>ABS(Table223421023456789111213[[#This Row],[diff-bias]])</f>
        <v>0.29238383874999663</v>
      </c>
      <c r="R85" s="57">
        <f ca="1">CELL("row",Table223421023456789111213[[#This Row],[Position]])</f>
        <v>85</v>
      </c>
      <c r="S85" s="4">
        <f>Table223421023456789111213[[#This Row],[REF]]-D$13</f>
        <v>0.57999994999999949</v>
      </c>
      <c r="T85" s="4">
        <f>ABS(Table223421023456789111213[[#This Row],[lab-med]])</f>
        <v>0.57999994999999949</v>
      </c>
      <c r="U85" s="4">
        <f>Table223421023456789111213[[#This Row],[doug]]-F$13</f>
        <v>0.24639749999999871</v>
      </c>
      <c r="V85" s="4">
        <f>ABS(Table223421023456789111213[[#This Row],[anl-med]])</f>
        <v>0.24639749999999871</v>
      </c>
      <c r="W85" s="4">
        <f>Table223421023456789111213[[#This Row],[lab-med]]*Table223421023456789111213[[#This Row],[anl-med]]</f>
        <v>0.14291053768012413</v>
      </c>
    </row>
    <row r="86" spans="2:23" x14ac:dyDescent="0.25">
      <c r="B86" s="46">
        <f ca="1">VALUE((Table223421023456789111213[[#This Row],[Column3]]-62))</f>
        <v>24</v>
      </c>
      <c r="C86" t="s">
        <v>92</v>
      </c>
      <c r="D86">
        <v>9.8800001000000002</v>
      </c>
      <c r="E86"/>
      <c r="F86" s="89">
        <v>8.9914255999999995</v>
      </c>
      <c r="G86" s="29">
        <f>Table223421023456789111213[[#This Row],[doug]]-Table223421023456789111213[[#This Row],[REF]]</f>
        <v>-0.88857450000000071</v>
      </c>
      <c r="H86" s="29">
        <f>Table223421023456789111213[[#This Row],[X-Y]]-E$20</f>
        <v>-0.88579913874999683</v>
      </c>
      <c r="I86" s="29">
        <f>Table223421023456789111213[[#This Row],[doug]]-E$20</f>
        <v>8.9942009612500033</v>
      </c>
      <c r="J86" s="29">
        <f>Table223421023456789111213[[#This Row],[doug]]*E$21+E$22</f>
        <v>9.4119077987616215</v>
      </c>
      <c r="K86" s="56">
        <f>Table223421023456789111213[[#This Row],[Yest]]-Table223421023456789111213[[#This Row],[REF]]</f>
        <v>-0.46809230123837864</v>
      </c>
      <c r="L86" s="56">
        <f>ABS(Table223421023456789111213[[#This Row],[RESyx]])</f>
        <v>0.46809230123837864</v>
      </c>
      <c r="M86" s="29">
        <f>Table223421023456789111213[[#This Row],[doug]]*E$25+E$26</f>
        <v>9.035050316198177</v>
      </c>
      <c r="N86" s="29">
        <f>Table223421023456789111213[[#This Row],[X-Y]]^2</f>
        <v>0.78956464205025123</v>
      </c>
      <c r="O86" s="57">
        <f>Table223421023456789111213[[#This Row],[yest_rect]]-Table223421023456789111213[[#This Row],[REF]]</f>
        <v>-0.84494978380182317</v>
      </c>
      <c r="P86" s="57">
        <f>Table223421023456789111213[[#This Row],[dif rec]]^2</f>
        <v>0.71394013714674776</v>
      </c>
      <c r="Q86" s="57">
        <f>ABS(Table223421023456789111213[[#This Row],[diff-bias]])</f>
        <v>0.88579913874999683</v>
      </c>
      <c r="R86" s="57">
        <f ca="1">CELL("row",Table223421023456789111213[[#This Row],[Position]])</f>
        <v>86</v>
      </c>
      <c r="S86" s="4">
        <f>Table223421023456789111213[[#This Row],[REF]]-D$13</f>
        <v>-1.1300001500000008</v>
      </c>
      <c r="T86" s="4">
        <f>ABS(Table223421023456789111213[[#This Row],[lab-med]])</f>
        <v>1.1300001500000008</v>
      </c>
      <c r="U86" s="4">
        <f>Table223421023456789111213[[#This Row],[doug]]-F$13</f>
        <v>-2.0570179000000017</v>
      </c>
      <c r="V86" s="4">
        <f>ABS(Table223421023456789111213[[#This Row],[anl-med]])</f>
        <v>2.0570179000000017</v>
      </c>
      <c r="W86" s="4">
        <f>Table223421023456789111213[[#This Row],[lab-med]]*Table223421023456789111213[[#This Row],[anl-med]]</f>
        <v>2.3244305355526884</v>
      </c>
    </row>
    <row r="87" spans="2:23" x14ac:dyDescent="0.25">
      <c r="B87" s="46">
        <f ca="1">VALUE((Table223421023456789111213[[#This Row],[Column3]]-62))</f>
        <v>25</v>
      </c>
      <c r="C87" t="s">
        <v>93</v>
      </c>
      <c r="D87">
        <v>11.8400002</v>
      </c>
      <c r="E87"/>
      <c r="F87" s="89">
        <v>11.964447</v>
      </c>
      <c r="G87" s="29">
        <f>Table223421023456789111213[[#This Row],[doug]]-Table223421023456789111213[[#This Row],[REF]]</f>
        <v>0.12444679999999941</v>
      </c>
      <c r="H87" s="29">
        <f>Table223421023456789111213[[#This Row],[X-Y]]-E$20</f>
        <v>0.1272221612500033</v>
      </c>
      <c r="I87" s="29">
        <f>Table223421023456789111213[[#This Row],[doug]]-E$20</f>
        <v>11.967222361250004</v>
      </c>
      <c r="J87" s="29">
        <f>Table223421023456789111213[[#This Row],[doug]]*E$21+E$22</f>
        <v>11.797848433422727</v>
      </c>
      <c r="K87" s="56">
        <f>Table223421023456789111213[[#This Row],[Yest]]-Table223421023456789111213[[#This Row],[REF]]</f>
        <v>-4.2151766577273264E-2</v>
      </c>
      <c r="L87" s="56">
        <f>ABS(Table223421023456789111213[[#This Row],[RESyx]])</f>
        <v>4.2151766577273264E-2</v>
      </c>
      <c r="M87" s="29">
        <f>Table223421023456789111213[[#This Row],[doug]]*E$25+E$26</f>
        <v>11.950658553633158</v>
      </c>
      <c r="N87" s="29">
        <f>Table223421023456789111213[[#This Row],[X-Y]]^2</f>
        <v>1.5487006030239853E-2</v>
      </c>
      <c r="O87" s="57">
        <f>Table223421023456789111213[[#This Row],[yest_rect]]-Table223421023456789111213[[#This Row],[REF]]</f>
        <v>0.11065835363315735</v>
      </c>
      <c r="P87" s="57">
        <f>Table223421023456789111213[[#This Row],[dif rec]]^2</f>
        <v>1.2245271228800907E-2</v>
      </c>
      <c r="Q87" s="57">
        <f>ABS(Table223421023456789111213[[#This Row],[diff-bias]])</f>
        <v>0.1272221612500033</v>
      </c>
      <c r="R87" s="57">
        <f ca="1">CELL("row",Table223421023456789111213[[#This Row],[Position]])</f>
        <v>87</v>
      </c>
      <c r="S87" s="4">
        <f>Table223421023456789111213[[#This Row],[REF]]-D$13</f>
        <v>0.82999994999999949</v>
      </c>
      <c r="T87" s="4">
        <f>ABS(Table223421023456789111213[[#This Row],[lab-med]])</f>
        <v>0.82999994999999949</v>
      </c>
      <c r="U87" s="4">
        <f>Table223421023456789111213[[#This Row],[doug]]-F$13</f>
        <v>0.91600349999999864</v>
      </c>
      <c r="V87" s="4">
        <f>ABS(Table223421023456789111213[[#This Row],[anl-med]])</f>
        <v>0.91600349999999864</v>
      </c>
      <c r="W87" s="4">
        <f>Table223421023456789111213[[#This Row],[lab-med]]*Table223421023456789111213[[#This Row],[anl-med]]</f>
        <v>0.76028285919982341</v>
      </c>
    </row>
    <row r="88" spans="2:23" x14ac:dyDescent="0.25">
      <c r="B88" s="46">
        <f ca="1">VALUE((Table223421023456789111213[[#This Row],[Column3]]-62))</f>
        <v>26</v>
      </c>
      <c r="C88" t="s">
        <v>94</v>
      </c>
      <c r="D88">
        <v>10</v>
      </c>
      <c r="E88"/>
      <c r="F88" s="89">
        <v>9.8438514999999995</v>
      </c>
      <c r="G88" s="29">
        <f>Table223421023456789111213[[#This Row],[doug]]-Table223421023456789111213[[#This Row],[REF]]</f>
        <v>-0.15614850000000047</v>
      </c>
      <c r="H88" s="29">
        <f>Table223421023456789111213[[#This Row],[X-Y]]-E$20</f>
        <v>-0.15337313874999658</v>
      </c>
      <c r="I88" s="29">
        <f>Table223421023456789111213[[#This Row],[doug]]-E$20</f>
        <v>9.8466268612500034</v>
      </c>
      <c r="J88" s="29">
        <f>Table223421023456789111213[[#This Row],[doug]]*E$21+E$22</f>
        <v>10.096005663932576</v>
      </c>
      <c r="K88" s="56">
        <f>Table223421023456789111213[[#This Row],[Yest]]-Table223421023456789111213[[#This Row],[REF]]</f>
        <v>9.6005663932576368E-2</v>
      </c>
      <c r="L88" s="56">
        <f>ABS(Table223421023456789111213[[#This Row],[RESyx]])</f>
        <v>9.6005663932576368E-2</v>
      </c>
      <c r="M88" s="29">
        <f>Table223421023456789111213[[#This Row],[doug]]*E$25+E$26</f>
        <v>9.8710146909729186</v>
      </c>
      <c r="N88" s="29">
        <f>Table223421023456789111213[[#This Row],[X-Y]]^2</f>
        <v>2.4382354052250147E-2</v>
      </c>
      <c r="O88" s="57">
        <f>Table223421023456789111213[[#This Row],[yest_rect]]-Table223421023456789111213[[#This Row],[REF]]</f>
        <v>-0.12898530902708139</v>
      </c>
      <c r="P88" s="57">
        <f>Table223421023456789111213[[#This Row],[dif rec]]^2</f>
        <v>1.6637209944811684E-2</v>
      </c>
      <c r="Q88" s="57">
        <f>ABS(Table223421023456789111213[[#This Row],[diff-bias]])</f>
        <v>0.15337313874999658</v>
      </c>
      <c r="R88" s="57">
        <f ca="1">CELL("row",Table223421023456789111213[[#This Row],[Position]])</f>
        <v>88</v>
      </c>
      <c r="S88" s="4">
        <f>Table223421023456789111213[[#This Row],[REF]]-D$13</f>
        <v>-1.0100002500000009</v>
      </c>
      <c r="T88" s="4">
        <f>ABS(Table223421023456789111213[[#This Row],[lab-med]])</f>
        <v>1.0100002500000009</v>
      </c>
      <c r="U88" s="4">
        <f>Table223421023456789111213[[#This Row],[doug]]-F$13</f>
        <v>-1.2045920000000017</v>
      </c>
      <c r="V88" s="4">
        <f>ABS(Table223421023456789111213[[#This Row],[anl-med]])</f>
        <v>1.2045920000000017</v>
      </c>
      <c r="W88" s="4">
        <f>Table223421023456789111213[[#This Row],[lab-med]]*Table223421023456789111213[[#This Row],[anl-med]]</f>
        <v>1.2166382211480029</v>
      </c>
    </row>
    <row r="89" spans="2:23" x14ac:dyDescent="0.25">
      <c r="B89" s="46">
        <f ca="1">VALUE((Table223421023456789111213[[#This Row],[Column3]]-62))</f>
        <v>27</v>
      </c>
      <c r="C89" t="s">
        <v>95</v>
      </c>
      <c r="D89">
        <v>10.100000400000001</v>
      </c>
      <c r="E89"/>
      <c r="F89" s="89">
        <v>9.0712516999999995</v>
      </c>
      <c r="G89" s="29">
        <f>Table223421023456789111213[[#This Row],[doug]]-Table223421023456789111213[[#This Row],[REF]]</f>
        <v>-1.0287487000000013</v>
      </c>
      <c r="H89" s="29">
        <f>Table223421023456789111213[[#This Row],[X-Y]]-E$20</f>
        <v>-1.0259733387499974</v>
      </c>
      <c r="I89" s="29">
        <f>Table223421023456789111213[[#This Row],[doug]]-E$20</f>
        <v>9.0740270612500034</v>
      </c>
      <c r="J89" s="29">
        <f>Table223421023456789111213[[#This Row],[doug]]*E$21+E$22</f>
        <v>9.4759706863333424</v>
      </c>
      <c r="K89" s="56">
        <f>Table223421023456789111213[[#This Row],[Yest]]-Table223421023456789111213[[#This Row],[REF]]</f>
        <v>-0.62402971366665838</v>
      </c>
      <c r="L89" s="56">
        <f>ABS(Table223421023456789111213[[#This Row],[RESyx]])</f>
        <v>0.62402971366665838</v>
      </c>
      <c r="M89" s="29">
        <f>Table223421023456789111213[[#This Row],[doug]]*E$25+E$26</f>
        <v>9.1133348636024802</v>
      </c>
      <c r="N89" s="29">
        <f>Table223421023456789111213[[#This Row],[X-Y]]^2</f>
        <v>1.0583238877516927</v>
      </c>
      <c r="O89" s="57">
        <f>Table223421023456789111213[[#This Row],[yest_rect]]-Table223421023456789111213[[#This Row],[REF]]</f>
        <v>-0.98666553639752053</v>
      </c>
      <c r="P89" s="57">
        <f>Table223421023456789111213[[#This Row],[dif rec]]^2</f>
        <v>0.97350888071460695</v>
      </c>
      <c r="Q89" s="57">
        <f>ABS(Table223421023456789111213[[#This Row],[diff-bias]])</f>
        <v>1.0259733387499974</v>
      </c>
      <c r="R89" s="57">
        <f ca="1">CELL("row",Table223421023456789111213[[#This Row],[Position]])</f>
        <v>89</v>
      </c>
      <c r="S89" s="4">
        <f>Table223421023456789111213[[#This Row],[REF]]-D$13</f>
        <v>-0.90999985000000017</v>
      </c>
      <c r="T89" s="4">
        <f>ABS(Table223421023456789111213[[#This Row],[lab-med]])</f>
        <v>0.90999985000000017</v>
      </c>
      <c r="U89" s="4">
        <f>Table223421023456789111213[[#This Row],[doug]]-F$13</f>
        <v>-1.9771918000000017</v>
      </c>
      <c r="V89" s="4">
        <f>ABS(Table223421023456789111213[[#This Row],[anl-med]])</f>
        <v>1.9771918000000017</v>
      </c>
      <c r="W89" s="4">
        <f>Table223421023456789111213[[#This Row],[lab-med]]*Table223421023456789111213[[#This Row],[anl-med]]</f>
        <v>1.799244241421232</v>
      </c>
    </row>
    <row r="90" spans="2:23" x14ac:dyDescent="0.25">
      <c r="B90" s="46">
        <f ca="1">VALUE((Table223421023456789111213[[#This Row],[Column3]]-62))</f>
        <v>28</v>
      </c>
      <c r="C90" t="s">
        <v>96</v>
      </c>
      <c r="D90">
        <v>11.399999599999999</v>
      </c>
      <c r="E90"/>
      <c r="F90" s="89">
        <v>12.316875</v>
      </c>
      <c r="G90" s="29">
        <f>Table223421023456789111213[[#This Row],[doug]]-Table223421023456789111213[[#This Row],[REF]]</f>
        <v>0.91687540000000034</v>
      </c>
      <c r="H90" s="29">
        <f>Table223421023456789111213[[#This Row],[X-Y]]-E$20</f>
        <v>0.91965076125000422</v>
      </c>
      <c r="I90" s="29">
        <f>Table223421023456789111213[[#This Row],[doug]]-E$20</f>
        <v>12.319650361250003</v>
      </c>
      <c r="J90" s="29">
        <f>Table223421023456789111213[[#This Row],[doug]]*E$21+E$22</f>
        <v>12.08068268614366</v>
      </c>
      <c r="K90" s="56">
        <f>Table223421023456789111213[[#This Row],[Yest]]-Table223421023456789111213[[#This Row],[REF]]</f>
        <v>0.68068308614366124</v>
      </c>
      <c r="L90" s="56">
        <f>ABS(Table223421023456789111213[[#This Row],[RESyx]])</f>
        <v>0.68068308614366124</v>
      </c>
      <c r="M90" s="29">
        <f>Table223421023456789111213[[#This Row],[doug]]*E$25+E$26</f>
        <v>12.296280680639287</v>
      </c>
      <c r="N90" s="29">
        <f>Table223421023456789111213[[#This Row],[X-Y]]^2</f>
        <v>0.84066049912516061</v>
      </c>
      <c r="O90" s="57">
        <f>Table223421023456789111213[[#This Row],[yest_rect]]-Table223421023456789111213[[#This Row],[REF]]</f>
        <v>0.89628108063928735</v>
      </c>
      <c r="P90" s="57">
        <f>Table223421023456789111213[[#This Row],[dif rec]]^2</f>
        <v>0.80331977551192868</v>
      </c>
      <c r="Q90" s="57">
        <f>ABS(Table223421023456789111213[[#This Row],[diff-bias]])</f>
        <v>0.91965076125000422</v>
      </c>
      <c r="R90" s="57">
        <f ca="1">CELL("row",Table223421023456789111213[[#This Row],[Position]])</f>
        <v>90</v>
      </c>
      <c r="S90" s="4">
        <f>Table223421023456789111213[[#This Row],[REF]]-D$13</f>
        <v>0.3899993499999983</v>
      </c>
      <c r="T90" s="4">
        <f>ABS(Table223421023456789111213[[#This Row],[lab-med]])</f>
        <v>0.3899993499999983</v>
      </c>
      <c r="U90" s="4">
        <f>Table223421023456789111213[[#This Row],[doug]]-F$13</f>
        <v>1.2684314999999984</v>
      </c>
      <c r="V90" s="4">
        <f>ABS(Table223421023456789111213[[#This Row],[anl-med]])</f>
        <v>1.2684314999999984</v>
      </c>
      <c r="W90" s="4">
        <f>Table223421023456789111213[[#This Row],[lab-med]]*Table223421023456789111213[[#This Row],[anl-med]]</f>
        <v>0.49468746051952223</v>
      </c>
    </row>
    <row r="91" spans="2:23" x14ac:dyDescent="0.25">
      <c r="B91" s="46">
        <f ca="1">VALUE((Table223421023456789111213[[#This Row],[Column3]]-62))</f>
        <v>29</v>
      </c>
      <c r="C91" t="s">
        <v>97</v>
      </c>
      <c r="D91">
        <v>10.279999699999999</v>
      </c>
      <c r="E91"/>
      <c r="F91" s="89">
        <v>9.7997935999999992</v>
      </c>
      <c r="G91" s="29">
        <f>Table223421023456789111213[[#This Row],[doug]]-Table223421023456789111213[[#This Row],[REF]]</f>
        <v>-0.48020610000000019</v>
      </c>
      <c r="H91" s="29">
        <f>Table223421023456789111213[[#This Row],[X-Y]]-E$20</f>
        <v>-0.47743073874999631</v>
      </c>
      <c r="I91" s="29">
        <f>Table223421023456789111213[[#This Row],[doug]]-E$20</f>
        <v>9.8025689612500031</v>
      </c>
      <c r="J91" s="29">
        <f>Table223421023456789111213[[#This Row],[doug]]*E$21+E$22</f>
        <v>10.06064785120784</v>
      </c>
      <c r="K91" s="56">
        <f>Table223421023456789111213[[#This Row],[Yest]]-Table223421023456789111213[[#This Row],[REF]]</f>
        <v>-0.21935184879215974</v>
      </c>
      <c r="L91" s="56">
        <f>ABS(Table223421023456789111213[[#This Row],[RESyx]])</f>
        <v>0.21935184879215974</v>
      </c>
      <c r="M91" s="29">
        <f>Table223421023456789111213[[#This Row],[doug]]*E$25+E$26</f>
        <v>9.82780761006725</v>
      </c>
      <c r="N91" s="29">
        <f>Table223421023456789111213[[#This Row],[X-Y]]^2</f>
        <v>0.23059789847721018</v>
      </c>
      <c r="O91" s="57">
        <f>Table223421023456789111213[[#This Row],[yest_rect]]-Table223421023456789111213[[#This Row],[REF]]</f>
        <v>-0.4521920899327494</v>
      </c>
      <c r="P91" s="57">
        <f>Table223421023456789111213[[#This Row],[dif rec]]^2</f>
        <v>0.20447768619774773</v>
      </c>
      <c r="Q91" s="57">
        <f>ABS(Table223421023456789111213[[#This Row],[diff-bias]])</f>
        <v>0.47743073874999631</v>
      </c>
      <c r="R91" s="57">
        <f ca="1">CELL("row",Table223421023456789111213[[#This Row],[Position]])</f>
        <v>91</v>
      </c>
      <c r="S91" s="4">
        <f>Table223421023456789111213[[#This Row],[REF]]-D$13</f>
        <v>-0.73000055000000152</v>
      </c>
      <c r="T91" s="4">
        <f>ABS(Table223421023456789111213[[#This Row],[lab-med]])</f>
        <v>0.73000055000000152</v>
      </c>
      <c r="U91" s="4">
        <f>Table223421023456789111213[[#This Row],[doug]]-F$13</f>
        <v>-1.248649900000002</v>
      </c>
      <c r="V91" s="4">
        <f>ABS(Table223421023456789111213[[#This Row],[anl-med]])</f>
        <v>1.248649900000002</v>
      </c>
      <c r="W91" s="4">
        <f>Table223421023456789111213[[#This Row],[lab-med]]*Table223421023456789111213[[#This Row],[anl-med]]</f>
        <v>0.91151511375744831</v>
      </c>
    </row>
    <row r="92" spans="2:23" x14ac:dyDescent="0.25">
      <c r="B92" s="46">
        <f ca="1">VALUE((Table223421023456789111213[[#This Row],[Column3]]-62))</f>
        <v>30</v>
      </c>
      <c r="C92" t="s">
        <v>98</v>
      </c>
      <c r="D92">
        <v>12.21</v>
      </c>
      <c r="E92"/>
      <c r="F92" s="89">
        <v>12.541176</v>
      </c>
      <c r="G92" s="29">
        <f>Table223421023456789111213[[#This Row],[doug]]-Table223421023456789111213[[#This Row],[REF]]</f>
        <v>0.33117599999999925</v>
      </c>
      <c r="H92" s="29">
        <f>Table223421023456789111213[[#This Row],[X-Y]]-E$20</f>
        <v>0.33395136125000313</v>
      </c>
      <c r="I92" s="29">
        <f>Table223421023456789111213[[#This Row],[doug]]-E$20</f>
        <v>12.543951361250004</v>
      </c>
      <c r="J92" s="29">
        <f>Table223421023456789111213[[#This Row],[doug]]*E$21+E$22</f>
        <v>12.260691101251309</v>
      </c>
      <c r="K92" s="56">
        <f>Table223421023456789111213[[#This Row],[Yest]]-Table223421023456789111213[[#This Row],[REF]]</f>
        <v>5.0691101251308268E-2</v>
      </c>
      <c r="L92" s="56">
        <f>ABS(Table223421023456789111213[[#This Row],[RESyx]])</f>
        <v>5.0691101251308268E-2</v>
      </c>
      <c r="M92" s="29">
        <f>Table223421023456789111213[[#This Row],[doug]]*E$25+E$26</f>
        <v>12.516250117544418</v>
      </c>
      <c r="N92" s="29">
        <f>Table223421023456789111213[[#This Row],[X-Y]]^2</f>
        <v>0.10967754297599951</v>
      </c>
      <c r="O92" s="57">
        <f>Table223421023456789111213[[#This Row],[yest_rect]]-Table223421023456789111213[[#This Row],[REF]]</f>
        <v>0.30625011754441722</v>
      </c>
      <c r="P92" s="57">
        <f>Table223421023456789111213[[#This Row],[dif rec]]^2</f>
        <v>9.3789134495969359E-2</v>
      </c>
      <c r="Q92" s="57">
        <f>ABS(Table223421023456789111213[[#This Row],[diff-bias]])</f>
        <v>0.33395136125000313</v>
      </c>
      <c r="R92" s="57">
        <f ca="1">CELL("row",Table223421023456789111213[[#This Row],[Position]])</f>
        <v>92</v>
      </c>
      <c r="S92" s="4">
        <f>Table223421023456789111213[[#This Row],[REF]]-D$13</f>
        <v>1.1999997499999999</v>
      </c>
      <c r="T92" s="4">
        <f>ABS(Table223421023456789111213[[#This Row],[lab-med]])</f>
        <v>1.1999997499999999</v>
      </c>
      <c r="U92" s="4">
        <f>Table223421023456789111213[[#This Row],[doug]]-F$13</f>
        <v>1.4927324999999989</v>
      </c>
      <c r="V92" s="4">
        <f>ABS(Table223421023456789111213[[#This Row],[anl-med]])</f>
        <v>1.4927324999999989</v>
      </c>
      <c r="W92" s="4">
        <f>Table223421023456789111213[[#This Row],[lab-med]]*Table223421023456789111213[[#This Row],[anl-med]]</f>
        <v>1.7912786268168737</v>
      </c>
    </row>
    <row r="93" spans="2:23" x14ac:dyDescent="0.25">
      <c r="B93" s="46">
        <f ca="1">VALUE((Table223421023456789111213[[#This Row],[Column3]]-62))</f>
        <v>31</v>
      </c>
      <c r="C93" t="s">
        <v>99</v>
      </c>
      <c r="D93">
        <v>11.9399996</v>
      </c>
      <c r="E93"/>
      <c r="F93" s="89">
        <v>12.518743000000001</v>
      </c>
      <c r="G93" s="29">
        <f>Table223421023456789111213[[#This Row],[doug]]-Table223421023456789111213[[#This Row],[REF]]</f>
        <v>0.57874340000000046</v>
      </c>
      <c r="H93" s="29">
        <f>Table223421023456789111213[[#This Row],[X-Y]]-E$20</f>
        <v>0.58151876125000435</v>
      </c>
      <c r="I93" s="29">
        <f>Table223421023456789111213[[#This Row],[doug]]-E$20</f>
        <v>12.521518361250005</v>
      </c>
      <c r="J93" s="29">
        <f>Table223421023456789111213[[#This Row],[doug]]*E$21+E$22</f>
        <v>12.242687932401818</v>
      </c>
      <c r="K93" s="56">
        <f>Table223421023456789111213[[#This Row],[Yest]]-Table223421023456789111213[[#This Row],[REF]]</f>
        <v>0.30268833240181792</v>
      </c>
      <c r="L93" s="56">
        <f>ABS(Table223421023456789111213[[#This Row],[RESyx]])</f>
        <v>0.30268833240181792</v>
      </c>
      <c r="M93" s="29">
        <f>Table223421023456789111213[[#This Row],[doug]]*E$25+E$26</f>
        <v>12.494250329856923</v>
      </c>
      <c r="N93" s="29">
        <f>Table223421023456789111213[[#This Row],[X-Y]]^2</f>
        <v>0.33494392304356052</v>
      </c>
      <c r="O93" s="57">
        <f>Table223421023456789111213[[#This Row],[yest_rect]]-Table223421023456789111213[[#This Row],[REF]]</f>
        <v>0.55425072985692303</v>
      </c>
      <c r="P93" s="57">
        <f>Table223421023456789111213[[#This Row],[dif rec]]^2</f>
        <v>0.3071938715469319</v>
      </c>
      <c r="Q93" s="57">
        <f>ABS(Table223421023456789111213[[#This Row],[diff-bias]])</f>
        <v>0.58151876125000435</v>
      </c>
      <c r="R93" s="57">
        <f ca="1">CELL("row",Table223421023456789111213[[#This Row],[Position]])</f>
        <v>93</v>
      </c>
      <c r="S93" s="4">
        <f>Table223421023456789111213[[#This Row],[REF]]-D$13</f>
        <v>0.92999934999999923</v>
      </c>
      <c r="T93" s="4">
        <f>ABS(Table223421023456789111213[[#This Row],[lab-med]])</f>
        <v>0.92999934999999923</v>
      </c>
      <c r="U93" s="4">
        <f>Table223421023456789111213[[#This Row],[doug]]-F$13</f>
        <v>1.4702994999999994</v>
      </c>
      <c r="V93" s="4">
        <f>ABS(Table223421023456789111213[[#This Row],[anl-med]])</f>
        <v>1.4702994999999994</v>
      </c>
      <c r="W93" s="4">
        <f>Table223421023456789111213[[#This Row],[lab-med]]*Table223421023456789111213[[#This Row],[anl-med]]</f>
        <v>1.3673775793053233</v>
      </c>
    </row>
    <row r="94" spans="2:23" x14ac:dyDescent="0.25">
      <c r="B94" s="46">
        <f ca="1">VALUE((Table223421023456789111213[[#This Row],[Column3]]-62))</f>
        <v>32</v>
      </c>
      <c r="C94" t="s">
        <v>100</v>
      </c>
      <c r="D94">
        <v>10.3699999</v>
      </c>
      <c r="E94"/>
      <c r="F94" s="89">
        <v>10.1172</v>
      </c>
      <c r="G94" s="29">
        <f>Table223421023456789111213[[#This Row],[doug]]-Table223421023456789111213[[#This Row],[REF]]</f>
        <v>-0.25279989999999941</v>
      </c>
      <c r="H94" s="29">
        <f>Table223421023456789111213[[#This Row],[X-Y]]-E$20</f>
        <v>-0.25002453874999553</v>
      </c>
      <c r="I94" s="29">
        <f>Table223421023456789111213[[#This Row],[doug]]-E$20</f>
        <v>10.119975361250004</v>
      </c>
      <c r="J94" s="29">
        <f>Table223421023456789111213[[#This Row],[doug]]*E$21+E$22</f>
        <v>10.315376198424412</v>
      </c>
      <c r="K94" s="56">
        <f>Table223421023456789111213[[#This Row],[Yest]]-Table223421023456789111213[[#This Row],[REF]]</f>
        <v>-5.4623701575588157E-2</v>
      </c>
      <c r="L94" s="56">
        <f>ABS(Table223421023456789111213[[#This Row],[RESyx]])</f>
        <v>5.4623701575588157E-2</v>
      </c>
      <c r="M94" s="29">
        <f>Table223421023456789111213[[#This Row],[doug]]*E$25+E$26</f>
        <v>10.139084452694277</v>
      </c>
      <c r="N94" s="29">
        <f>Table223421023456789111213[[#This Row],[X-Y]]^2</f>
        <v>6.3907789440009702E-2</v>
      </c>
      <c r="O94" s="57">
        <f>Table223421023456789111213[[#This Row],[yest_rect]]-Table223421023456789111213[[#This Row],[REF]]</f>
        <v>-0.23091544730572267</v>
      </c>
      <c r="P94" s="57">
        <f>Table223421023456789111213[[#This Row],[dif rec]]^2</f>
        <v>5.3321943804401979E-2</v>
      </c>
      <c r="Q94" s="57">
        <f>ABS(Table223421023456789111213[[#This Row],[diff-bias]])</f>
        <v>0.25002453874999553</v>
      </c>
      <c r="R94" s="57">
        <f ca="1">CELL("row",Table223421023456789111213[[#This Row],[Position]])</f>
        <v>94</v>
      </c>
      <c r="S94" s="4">
        <f>Table223421023456789111213[[#This Row],[REF]]-D$13</f>
        <v>-0.64000035000000111</v>
      </c>
      <c r="T94" s="4">
        <f>ABS(Table223421023456789111213[[#This Row],[lab-med]])</f>
        <v>0.64000035000000111</v>
      </c>
      <c r="U94" s="4">
        <f>Table223421023456789111213[[#This Row],[doug]]-F$13</f>
        <v>-0.93124350000000078</v>
      </c>
      <c r="V94" s="4">
        <f>ABS(Table223421023456789111213[[#This Row],[anl-med]])</f>
        <v>0.93124350000000078</v>
      </c>
      <c r="W94" s="4">
        <f>Table223421023456789111213[[#This Row],[lab-med]]*Table223421023456789111213[[#This Row],[anl-med]]</f>
        <v>0.59599616593522653</v>
      </c>
    </row>
    <row r="95" spans="2:23" x14ac:dyDescent="0.25">
      <c r="B95" s="46">
        <f ca="1">VALUE((Table223421023456789111213[[#This Row],[Column3]]-62))</f>
        <v>33</v>
      </c>
      <c r="C95" t="s">
        <v>101</v>
      </c>
      <c r="D95">
        <v>10.3800001</v>
      </c>
      <c r="E95"/>
      <c r="F95" s="89">
        <v>9.9468923999999994</v>
      </c>
      <c r="G95" s="29">
        <f>Table223421023456789111213[[#This Row],[doug]]-Table223421023456789111213[[#This Row],[REF]]</f>
        <v>-0.43310770000000076</v>
      </c>
      <c r="H95" s="29">
        <f>Table223421023456789111213[[#This Row],[X-Y]]-E$20</f>
        <v>-0.43033233874999688</v>
      </c>
      <c r="I95" s="29">
        <f>Table223421023456789111213[[#This Row],[doug]]-E$20</f>
        <v>9.9496677612500033</v>
      </c>
      <c r="J95" s="29">
        <f>Table223421023456789111213[[#This Row],[doug]]*E$21+E$22</f>
        <v>10.178699138773373</v>
      </c>
      <c r="K95" s="56">
        <f>Table223421023456789111213[[#This Row],[Yest]]-Table223421023456789111213[[#This Row],[REF]]</f>
        <v>-0.201300961226627</v>
      </c>
      <c r="L95" s="56">
        <f>ABS(Table223421023456789111213[[#This Row],[RESyx]])</f>
        <v>0.201300961226627</v>
      </c>
      <c r="M95" s="29">
        <f>Table223421023456789111213[[#This Row],[doug]]*E$25+E$26</f>
        <v>9.9720657284234786</v>
      </c>
      <c r="N95" s="29">
        <f>Table223421023456789111213[[#This Row],[X-Y]]^2</f>
        <v>0.18758227979929065</v>
      </c>
      <c r="O95" s="57">
        <f>Table223421023456789111213[[#This Row],[yest_rect]]-Table223421023456789111213[[#This Row],[REF]]</f>
        <v>-0.40793437157652157</v>
      </c>
      <c r="P95" s="57">
        <f>Table223421023456789111213[[#This Row],[dif rec]]^2</f>
        <v>0.16641045151353157</v>
      </c>
      <c r="Q95" s="57">
        <f>ABS(Table223421023456789111213[[#This Row],[diff-bias]])</f>
        <v>0.43033233874999688</v>
      </c>
      <c r="R95" s="57">
        <f ca="1">CELL("row",Table223421023456789111213[[#This Row],[Position]])</f>
        <v>95</v>
      </c>
      <c r="S95" s="4">
        <f>Table223421023456789111213[[#This Row],[REF]]-D$13</f>
        <v>-0.63000015000000076</v>
      </c>
      <c r="T95" s="4">
        <f>ABS(Table223421023456789111213[[#This Row],[lab-med]])</f>
        <v>0.63000015000000076</v>
      </c>
      <c r="U95" s="4">
        <f>Table223421023456789111213[[#This Row],[doug]]-F$13</f>
        <v>-1.1015511000000018</v>
      </c>
      <c r="V95" s="4">
        <f>ABS(Table223421023456789111213[[#This Row],[anl-med]])</f>
        <v>1.1015511000000018</v>
      </c>
      <c r="W95" s="4">
        <f>Table223421023456789111213[[#This Row],[lab-med]]*Table223421023456789111213[[#This Row],[anl-med]]</f>
        <v>0.69397735823266693</v>
      </c>
    </row>
    <row r="96" spans="2:23" x14ac:dyDescent="0.25">
      <c r="B96" s="46">
        <f ca="1">VALUE((Table223421023456789111213[[#This Row],[Column3]]-62))</f>
        <v>34</v>
      </c>
      <c r="C96" t="s">
        <v>102</v>
      </c>
      <c r="D96">
        <v>9.8800001000000002</v>
      </c>
      <c r="E96"/>
      <c r="F96" s="89">
        <v>10.641629999999999</v>
      </c>
      <c r="G96" s="29">
        <f>Table223421023456789111213[[#This Row],[doug]]-Table223421023456789111213[[#This Row],[REF]]</f>
        <v>0.76162989999999908</v>
      </c>
      <c r="H96" s="29">
        <f>Table223421023456789111213[[#This Row],[X-Y]]-E$20</f>
        <v>0.76440526125000297</v>
      </c>
      <c r="I96" s="29">
        <f>Table223421023456789111213[[#This Row],[doug]]-E$20</f>
        <v>10.644405361250003</v>
      </c>
      <c r="J96" s="29">
        <f>Table223421023456789111213[[#This Row],[doug]]*E$21+E$22</f>
        <v>10.736247318637444</v>
      </c>
      <c r="K96" s="56">
        <f>Table223421023456789111213[[#This Row],[Yest]]-Table223421023456789111213[[#This Row],[REF]]</f>
        <v>0.85624721863744391</v>
      </c>
      <c r="L96" s="56">
        <f>ABS(Table223421023456789111213[[#This Row],[RESyx]])</f>
        <v>0.85624721863744391</v>
      </c>
      <c r="M96" s="29">
        <f>Table223421023456789111213[[#This Row],[doug]]*E$25+E$26</f>
        <v>10.653386982759491</v>
      </c>
      <c r="N96" s="29">
        <f>Table223421023456789111213[[#This Row],[X-Y]]^2</f>
        <v>0.5800801045740086</v>
      </c>
      <c r="O96" s="57">
        <f>Table223421023456789111213[[#This Row],[yest_rect]]-Table223421023456789111213[[#This Row],[REF]]</f>
        <v>0.77338688275949075</v>
      </c>
      <c r="P96" s="57">
        <f>Table223421023456789111213[[#This Row],[dif rec]]^2</f>
        <v>0.59812727042444225</v>
      </c>
      <c r="Q96" s="57">
        <f>ABS(Table223421023456789111213[[#This Row],[diff-bias]])</f>
        <v>0.76440526125000297</v>
      </c>
      <c r="R96" s="57">
        <f ca="1">CELL("row",Table223421023456789111213[[#This Row],[Position]])</f>
        <v>96</v>
      </c>
      <c r="S96" s="4">
        <f>Table223421023456789111213[[#This Row],[REF]]-D$13</f>
        <v>-1.1300001500000008</v>
      </c>
      <c r="T96" s="4">
        <f>ABS(Table223421023456789111213[[#This Row],[lab-med]])</f>
        <v>1.1300001500000008</v>
      </c>
      <c r="U96" s="4">
        <f>Table223421023456789111213[[#This Row],[doug]]-F$13</f>
        <v>-0.40681350000000194</v>
      </c>
      <c r="V96" s="4">
        <f>ABS(Table223421023456789111213[[#This Row],[anl-med]])</f>
        <v>0.40681350000000194</v>
      </c>
      <c r="W96" s="4">
        <f>Table223421023456789111213[[#This Row],[lab-med]]*Table223421023456789111213[[#This Row],[anl-med]]</f>
        <v>0.45969931602202752</v>
      </c>
    </row>
    <row r="97" spans="2:23" x14ac:dyDescent="0.25">
      <c r="B97" s="46">
        <f ca="1">VALUE((Table223421023456789111213[[#This Row],[Column3]]-62))</f>
        <v>35</v>
      </c>
      <c r="C97" t="s">
        <v>103</v>
      </c>
      <c r="D97">
        <v>12.079999900000001</v>
      </c>
      <c r="E97"/>
      <c r="F97" s="89">
        <v>11.436615</v>
      </c>
      <c r="G97" s="29">
        <f>Table223421023456789111213[[#This Row],[doug]]-Table223421023456789111213[[#This Row],[REF]]</f>
        <v>-0.64338490000000093</v>
      </c>
      <c r="H97" s="29">
        <f>Table223421023456789111213[[#This Row],[X-Y]]-E$20</f>
        <v>-0.64060953874999704</v>
      </c>
      <c r="I97" s="29">
        <f>Table223421023456789111213[[#This Row],[doug]]-E$20</f>
        <v>11.439390361250004</v>
      </c>
      <c r="J97" s="29">
        <f>Table223421023456789111213[[#This Row],[doug]]*E$21+E$22</f>
        <v>11.374247104123706</v>
      </c>
      <c r="K97" s="56">
        <f>Table223421023456789111213[[#This Row],[Yest]]-Table223421023456789111213[[#This Row],[REF]]</f>
        <v>-0.70575279587629502</v>
      </c>
      <c r="L97" s="56">
        <f>ABS(Table223421023456789111213[[#This Row],[RESyx]])</f>
        <v>0.70575279587629502</v>
      </c>
      <c r="M97" s="29">
        <f>Table223421023456789111213[[#This Row],[doug]]*E$25+E$26</f>
        <v>11.433019720901655</v>
      </c>
      <c r="N97" s="29">
        <f>Table223421023456789111213[[#This Row],[X-Y]]^2</f>
        <v>0.41394412954801119</v>
      </c>
      <c r="O97" s="57">
        <f>Table223421023456789111213[[#This Row],[yest_rect]]-Table223421023456789111213[[#This Row],[REF]]</f>
        <v>-0.64698017909834604</v>
      </c>
      <c r="P97" s="57">
        <f>Table223421023456789111213[[#This Row],[dif rec]]^2</f>
        <v>0.41858335214612791</v>
      </c>
      <c r="Q97" s="57">
        <f>ABS(Table223421023456789111213[[#This Row],[diff-bias]])</f>
        <v>0.64060953874999704</v>
      </c>
      <c r="R97" s="57">
        <f ca="1">CELL("row",Table223421023456789111213[[#This Row],[Position]])</f>
        <v>97</v>
      </c>
      <c r="S97" s="4">
        <f>Table223421023456789111213[[#This Row],[REF]]-D$13</f>
        <v>1.0699996499999997</v>
      </c>
      <c r="T97" s="4">
        <f>ABS(Table223421023456789111213[[#This Row],[lab-med]])</f>
        <v>1.0699996499999997</v>
      </c>
      <c r="U97" s="4">
        <f>Table223421023456789111213[[#This Row],[doug]]-F$13</f>
        <v>0.38817149999999856</v>
      </c>
      <c r="V97" s="4">
        <f>ABS(Table223421023456789111213[[#This Row],[anl-med]])</f>
        <v>0.38817149999999856</v>
      </c>
      <c r="W97" s="4">
        <f>Table223421023456789111213[[#This Row],[lab-med]]*Table223421023456789111213[[#This Row],[anl-med]]</f>
        <v>0.41534336913997338</v>
      </c>
    </row>
    <row r="98" spans="2:23" x14ac:dyDescent="0.25">
      <c r="B98" s="46">
        <f ca="1">VALUE((Table223421023456789111213[[#This Row],[Column3]]-62))</f>
        <v>36</v>
      </c>
      <c r="C98" t="s">
        <v>104</v>
      </c>
      <c r="D98">
        <v>9.0799999000000007</v>
      </c>
      <c r="E98"/>
      <c r="F98" s="89">
        <v>8.8885594000000001</v>
      </c>
      <c r="G98" s="29">
        <f>Table223421023456789111213[[#This Row],[doug]]-Table223421023456789111213[[#This Row],[REF]]</f>
        <v>-0.19144050000000057</v>
      </c>
      <c r="H98" s="29">
        <f>Table223421023456789111213[[#This Row],[X-Y]]-E$20</f>
        <v>-0.18866513874999669</v>
      </c>
      <c r="I98" s="29">
        <f>Table223421023456789111213[[#This Row],[doug]]-E$20</f>
        <v>8.891334761250004</v>
      </c>
      <c r="J98" s="29">
        <f>Table223421023456789111213[[#This Row],[doug]]*E$21+E$22</f>
        <v>9.3293545260158623</v>
      </c>
      <c r="K98" s="56">
        <f>Table223421023456789111213[[#This Row],[Yest]]-Table223421023456789111213[[#This Row],[REF]]</f>
        <v>0.24935462601586167</v>
      </c>
      <c r="L98" s="56">
        <f>ABS(Table223421023456789111213[[#This Row],[RESyx]])</f>
        <v>0.24935462601586167</v>
      </c>
      <c r="M98" s="29">
        <f>Table223421023456789111213[[#This Row],[doug]]*E$25+E$26</f>
        <v>8.9341706050485588</v>
      </c>
      <c r="N98" s="29">
        <f>Table223421023456789111213[[#This Row],[X-Y]]^2</f>
        <v>3.6649465040250219E-2</v>
      </c>
      <c r="O98" s="57">
        <f>Table223421023456789111213[[#This Row],[yest_rect]]-Table223421023456789111213[[#This Row],[REF]]</f>
        <v>-0.14582929495144192</v>
      </c>
      <c r="P98" s="57">
        <f>Table223421023456789111213[[#This Row],[dif rec]]^2</f>
        <v>2.1266183266034643E-2</v>
      </c>
      <c r="Q98" s="57">
        <f>ABS(Table223421023456789111213[[#This Row],[diff-bias]])</f>
        <v>0.18866513874999669</v>
      </c>
      <c r="R98" s="57">
        <f ca="1">CELL("row",Table223421023456789111213[[#This Row],[Position]])</f>
        <v>98</v>
      </c>
      <c r="S98" s="4">
        <f>Table223421023456789111213[[#This Row],[REF]]-D$13</f>
        <v>-1.9300003500000003</v>
      </c>
      <c r="T98" s="4">
        <f>ABS(Table223421023456789111213[[#This Row],[lab-med]])</f>
        <v>1.9300003500000003</v>
      </c>
      <c r="U98" s="4">
        <f>Table223421023456789111213[[#This Row],[doug]]-F$13</f>
        <v>-2.1598841000000011</v>
      </c>
      <c r="V98" s="4">
        <f>ABS(Table223421023456789111213[[#This Row],[anl-med]])</f>
        <v>2.1598841000000011</v>
      </c>
      <c r="W98" s="4">
        <f>Table223421023456789111213[[#This Row],[lab-med]]*Table223421023456789111213[[#This Row],[anl-med]]</f>
        <v>4.1685770689594372</v>
      </c>
    </row>
    <row r="99" spans="2:23" x14ac:dyDescent="0.25">
      <c r="B99" s="46">
        <f ca="1">VALUE((Table223421023456789111213[[#This Row],[Column3]]-62))</f>
        <v>37</v>
      </c>
      <c r="C99" t="s">
        <v>105</v>
      </c>
      <c r="D99">
        <v>10.800000199999999</v>
      </c>
      <c r="E99"/>
      <c r="F99" s="89">
        <v>10.091426</v>
      </c>
      <c r="G99" s="29">
        <f>Table223421023456789111213[[#This Row],[doug]]-Table223421023456789111213[[#This Row],[REF]]</f>
        <v>-0.70857419999999927</v>
      </c>
      <c r="H99" s="29">
        <f>Table223421023456789111213[[#This Row],[X-Y]]-E$20</f>
        <v>-0.70579883874999538</v>
      </c>
      <c r="I99" s="29">
        <f>Table223421023456789111213[[#This Row],[doug]]-E$20</f>
        <v>10.094201361250004</v>
      </c>
      <c r="J99" s="29">
        <f>Table223421023456789111213[[#This Row],[doug]]*E$21+E$22</f>
        <v>10.294691774855258</v>
      </c>
      <c r="K99" s="56">
        <f>Table223421023456789111213[[#This Row],[Yest]]-Table223421023456789111213[[#This Row],[REF]]</f>
        <v>-0.50530842514474195</v>
      </c>
      <c r="L99" s="56">
        <f>ABS(Table223421023456789111213[[#This Row],[RESyx]])</f>
        <v>0.50530842514474195</v>
      </c>
      <c r="M99" s="29">
        <f>Table223421023456789111213[[#This Row],[doug]]*E$25+E$26</f>
        <v>10.113808184345974</v>
      </c>
      <c r="N99" s="29">
        <f>Table223421023456789111213[[#This Row],[X-Y]]^2</f>
        <v>0.50207739690563891</v>
      </c>
      <c r="O99" s="57">
        <f>Table223421023456789111213[[#This Row],[yest_rect]]-Table223421023456789111213[[#This Row],[REF]]</f>
        <v>-0.68619201565402577</v>
      </c>
      <c r="P99" s="57">
        <f>Table223421023456789111213[[#This Row],[dif rec]]^2</f>
        <v>0.47085948234733477</v>
      </c>
      <c r="Q99" s="57">
        <f>ABS(Table223421023456789111213[[#This Row],[diff-bias]])</f>
        <v>0.70579883874999538</v>
      </c>
      <c r="R99" s="57">
        <f ca="1">CELL("row",Table223421023456789111213[[#This Row],[Position]])</f>
        <v>99</v>
      </c>
      <c r="S99" s="4">
        <f>Table223421023456789111213[[#This Row],[REF]]-D$13</f>
        <v>-0.21000005000000144</v>
      </c>
      <c r="T99" s="4">
        <f>ABS(Table223421023456789111213[[#This Row],[lab-med]])</f>
        <v>0.21000005000000144</v>
      </c>
      <c r="U99" s="4">
        <f>Table223421023456789111213[[#This Row],[doug]]-F$13</f>
        <v>-0.95701750000000096</v>
      </c>
      <c r="V99" s="4">
        <f>ABS(Table223421023456789111213[[#This Row],[anl-med]])</f>
        <v>0.95701750000000096</v>
      </c>
      <c r="W99" s="4">
        <f>Table223421023456789111213[[#This Row],[lab-med]]*Table223421023456789111213[[#This Row],[anl-med]]</f>
        <v>0.20097372285087658</v>
      </c>
    </row>
    <row r="100" spans="2:23" x14ac:dyDescent="0.25">
      <c r="B100" s="46">
        <f ca="1">VALUE((Table223421023456789111213[[#This Row],[Column3]]-62))</f>
        <v>38</v>
      </c>
      <c r="C100" t="s">
        <v>106</v>
      </c>
      <c r="D100">
        <v>9.3599996999999995</v>
      </c>
      <c r="E100"/>
      <c r="F100" s="89">
        <v>10.628814999999999</v>
      </c>
      <c r="G100" s="29">
        <f>Table223421023456789111213[[#This Row],[doug]]-Table223421023456789111213[[#This Row],[REF]]</f>
        <v>1.2688153</v>
      </c>
      <c r="H100" s="29">
        <f>Table223421023456789111213[[#This Row],[X-Y]]-E$20</f>
        <v>1.2715906612500039</v>
      </c>
      <c r="I100" s="29">
        <f>Table223421023456789111213[[#This Row],[doug]]-E$20</f>
        <v>10.631590361250003</v>
      </c>
      <c r="J100" s="29">
        <f>Table223421023456789111213[[#This Row],[doug]]*E$21+E$22</f>
        <v>10.725962889055747</v>
      </c>
      <c r="K100" s="56">
        <f>Table223421023456789111213[[#This Row],[Yest]]-Table223421023456789111213[[#This Row],[REF]]</f>
        <v>1.3659631890557478</v>
      </c>
      <c r="L100" s="56">
        <f>ABS(Table223421023456789111213[[#This Row],[RESyx]])</f>
        <v>1.3659631890557478</v>
      </c>
      <c r="M100" s="29">
        <f>Table223421023456789111213[[#This Row],[doug]]*E$25+E$26</f>
        <v>10.640819458165579</v>
      </c>
      <c r="N100" s="29">
        <f>Table223421023456789111213[[#This Row],[X-Y]]^2</f>
        <v>1.6098922655140899</v>
      </c>
      <c r="O100" s="57">
        <f>Table223421023456789111213[[#This Row],[yest_rect]]-Table223421023456789111213[[#This Row],[REF]]</f>
        <v>1.2808197581655794</v>
      </c>
      <c r="P100" s="57">
        <f>Table223421023456789111213[[#This Row],[dif rec]]^2</f>
        <v>1.6404992529073332</v>
      </c>
      <c r="Q100" s="57">
        <f>ABS(Table223421023456789111213[[#This Row],[diff-bias]])</f>
        <v>1.2715906612500039</v>
      </c>
      <c r="R100" s="57">
        <f ca="1">CELL("row",Table223421023456789111213[[#This Row],[Position]])</f>
        <v>100</v>
      </c>
      <c r="S100" s="4">
        <f>Table223421023456789111213[[#This Row],[REF]]-D$13</f>
        <v>-1.6500005500000015</v>
      </c>
      <c r="T100" s="4">
        <f>ABS(Table223421023456789111213[[#This Row],[lab-med]])</f>
        <v>1.6500005500000015</v>
      </c>
      <c r="U100" s="4">
        <f>Table223421023456789111213[[#This Row],[doug]]-F$13</f>
        <v>-0.41962850000000174</v>
      </c>
      <c r="V100" s="4">
        <f>ABS(Table223421023456789111213[[#This Row],[anl-med]])</f>
        <v>0.41962850000000174</v>
      </c>
      <c r="W100" s="4">
        <f>Table223421023456789111213[[#This Row],[lab-med]]*Table223421023456789111213[[#This Row],[anl-med]]</f>
        <v>0.6923872557956785</v>
      </c>
    </row>
    <row r="101" spans="2:23" x14ac:dyDescent="0.25">
      <c r="B101" s="46">
        <f ca="1">VALUE((Table223421023456789111213[[#This Row],[Column3]]-62))</f>
        <v>39</v>
      </c>
      <c r="C101" t="s">
        <v>107</v>
      </c>
      <c r="D101">
        <v>12.449999800000001</v>
      </c>
      <c r="E101"/>
      <c r="F101" s="89">
        <v>12.235423000000001</v>
      </c>
      <c r="G101" s="29">
        <f>Table223421023456789111213[[#This Row],[doug]]-Table223421023456789111213[[#This Row],[REF]]</f>
        <v>-0.21457679999999968</v>
      </c>
      <c r="H101" s="29">
        <f>Table223421023456789111213[[#This Row],[X-Y]]-E$20</f>
        <v>-0.2118014387499958</v>
      </c>
      <c r="I101" s="29">
        <f>Table223421023456789111213[[#This Row],[doug]]-E$20</f>
        <v>12.238198361250005</v>
      </c>
      <c r="J101" s="29">
        <f>Table223421023456789111213[[#This Row],[doug]]*E$21+E$22</f>
        <v>12.015314964076671</v>
      </c>
      <c r="K101" s="56">
        <f>Table223421023456789111213[[#This Row],[Yest]]-Table223421023456789111213[[#This Row],[REF]]</f>
        <v>-0.43468483592332952</v>
      </c>
      <c r="L101" s="56">
        <f>ABS(Table223421023456789111213[[#This Row],[RESyx]])</f>
        <v>0.43468483592332952</v>
      </c>
      <c r="M101" s="29">
        <f>Table223421023456789111213[[#This Row],[doug]]*E$25+E$26</f>
        <v>12.216401631616783</v>
      </c>
      <c r="N101" s="29">
        <f>Table223421023456789111213[[#This Row],[X-Y]]^2</f>
        <v>4.6043203098239865E-2</v>
      </c>
      <c r="O101" s="57">
        <f>Table223421023456789111213[[#This Row],[yest_rect]]-Table223421023456789111213[[#This Row],[REF]]</f>
        <v>-0.23359816838321734</v>
      </c>
      <c r="P101" s="57">
        <f>Table223421023456789111213[[#This Row],[dif rec]]^2</f>
        <v>5.4568104271993961E-2</v>
      </c>
      <c r="Q101" s="57">
        <f>ABS(Table223421023456789111213[[#This Row],[diff-bias]])</f>
        <v>0.2118014387499958</v>
      </c>
      <c r="R101" s="57">
        <f ca="1">CELL("row",Table223421023456789111213[[#This Row],[Position]])</f>
        <v>101</v>
      </c>
      <c r="S101" s="4">
        <f>Table223421023456789111213[[#This Row],[REF]]-D$13</f>
        <v>1.4399995499999996</v>
      </c>
      <c r="T101" s="4">
        <f>ABS(Table223421023456789111213[[#This Row],[lab-med]])</f>
        <v>1.4399995499999996</v>
      </c>
      <c r="U101" s="4">
        <f>Table223421023456789111213[[#This Row],[doug]]-F$13</f>
        <v>1.1869794999999996</v>
      </c>
      <c r="V101" s="4">
        <f>ABS(Table223421023456789111213[[#This Row],[anl-med]])</f>
        <v>1.1869794999999996</v>
      </c>
      <c r="W101" s="4">
        <f>Table223421023456789111213[[#This Row],[lab-med]]*Table223421023456789111213[[#This Row],[anl-med]]</f>
        <v>1.7092499458592241</v>
      </c>
    </row>
    <row r="102" spans="2:23" x14ac:dyDescent="0.25">
      <c r="B102" s="46">
        <f ca="1">VALUE((Table223421023456789111213[[#This Row],[Column3]]-62))</f>
        <v>40</v>
      </c>
      <c r="C102" t="s">
        <v>108</v>
      </c>
      <c r="D102">
        <v>10.920000099999999</v>
      </c>
      <c r="E102"/>
      <c r="F102" s="89">
        <v>10.430629</v>
      </c>
      <c r="G102" s="29">
        <f>Table223421023456789111213[[#This Row],[doug]]-Table223421023456789111213[[#This Row],[REF]]</f>
        <v>-0.48937109999999961</v>
      </c>
      <c r="H102" s="29">
        <f>Table223421023456789111213[[#This Row],[X-Y]]-E$20</f>
        <v>-0.48659573874999573</v>
      </c>
      <c r="I102" s="29">
        <f>Table223421023456789111213[[#This Row],[doug]]-E$20</f>
        <v>10.433404361250004</v>
      </c>
      <c r="J102" s="29">
        <f>Table223421023456789111213[[#This Row],[doug]]*E$21+E$22</f>
        <v>10.566912560450326</v>
      </c>
      <c r="K102" s="56">
        <f>Table223421023456789111213[[#This Row],[Yest]]-Table223421023456789111213[[#This Row],[REF]]</f>
        <v>-0.35308753954967287</v>
      </c>
      <c r="L102" s="56">
        <f>ABS(Table223421023456789111213[[#This Row],[RESyx]])</f>
        <v>0.35308753954967287</v>
      </c>
      <c r="M102" s="29">
        <f>Table223421023456789111213[[#This Row],[doug]]*E$25+E$26</f>
        <v>10.446460704426272</v>
      </c>
      <c r="N102" s="29">
        <f>Table223421023456789111213[[#This Row],[X-Y]]^2</f>
        <v>0.23948407351520962</v>
      </c>
      <c r="O102" s="57">
        <f>Table223421023456789111213[[#This Row],[yest_rect]]-Table223421023456789111213[[#This Row],[REF]]</f>
        <v>-0.47353939557372726</v>
      </c>
      <c r="P102" s="57">
        <f>Table223421023456789111213[[#This Row],[dif rec]]^2</f>
        <v>0.22423955916033095</v>
      </c>
      <c r="Q102" s="57">
        <f>ABS(Table223421023456789111213[[#This Row],[diff-bias]])</f>
        <v>0.48659573874999573</v>
      </c>
      <c r="R102" s="57">
        <f ca="1">CELL("row",Table223421023456789111213[[#This Row],[Position]])</f>
        <v>102</v>
      </c>
      <c r="S102" s="4">
        <f>Table223421023456789111213[[#This Row],[REF]]-D$13</f>
        <v>-9.0000150000001611E-2</v>
      </c>
      <c r="T102" s="4">
        <f>ABS(Table223421023456789111213[[#This Row],[lab-med]])</f>
        <v>9.0000150000001611E-2</v>
      </c>
      <c r="U102" s="4">
        <f>Table223421023456789111213[[#This Row],[doug]]-F$13</f>
        <v>-0.61781450000000149</v>
      </c>
      <c r="V102" s="4">
        <f>ABS(Table223421023456789111213[[#This Row],[anl-med]])</f>
        <v>0.61781450000000149</v>
      </c>
      <c r="W102" s="4">
        <f>Table223421023456789111213[[#This Row],[lab-med]]*Table223421023456789111213[[#This Row],[anl-med]]</f>
        <v>5.5603397672176126E-2</v>
      </c>
    </row>
    <row r="103" spans="2:23" x14ac:dyDescent="0.25">
      <c r="B103" s="46">
        <f ca="1">VALUE((Table223421023456789111213[[#This Row],[Column3]]-62))</f>
        <v>41</v>
      </c>
      <c r="C103" t="s">
        <v>109</v>
      </c>
      <c r="D103">
        <v>10.949999800000001</v>
      </c>
      <c r="E103"/>
      <c r="F103" s="89">
        <v>11.183251</v>
      </c>
      <c r="G103" s="29">
        <f>Table223421023456789111213[[#This Row],[doug]]-Table223421023456789111213[[#This Row],[REF]]</f>
        <v>0.23325119999999977</v>
      </c>
      <c r="H103" s="29">
        <f>Table223421023456789111213[[#This Row],[X-Y]]-E$20</f>
        <v>0.23602656125000365</v>
      </c>
      <c r="I103" s="29">
        <f>Table223421023456789111213[[#This Row],[doug]]-E$20</f>
        <v>11.186026361250004</v>
      </c>
      <c r="J103" s="29">
        <f>Table223421023456789111213[[#This Row],[doug]]*E$21+E$22</f>
        <v>11.170914742318212</v>
      </c>
      <c r="K103" s="56">
        <f>Table223421023456789111213[[#This Row],[Yest]]-Table223421023456789111213[[#This Row],[REF]]</f>
        <v>0.22091494231821152</v>
      </c>
      <c r="L103" s="56">
        <f>ABS(Table223421023456789111213[[#This Row],[RESyx]])</f>
        <v>0.22091494231821152</v>
      </c>
      <c r="M103" s="29">
        <f>Table223421023456789111213[[#This Row],[doug]]*E$25+E$26</f>
        <v>11.184548530795363</v>
      </c>
      <c r="N103" s="29">
        <f>Table223421023456789111213[[#This Row],[X-Y]]^2</f>
        <v>5.4406122301439895E-2</v>
      </c>
      <c r="O103" s="57">
        <f>Table223421023456789111213[[#This Row],[yest_rect]]-Table223421023456789111213[[#This Row],[REF]]</f>
        <v>0.2345487307953622</v>
      </c>
      <c r="P103" s="57">
        <f>Table223421023456789111213[[#This Row],[dif rec]]^2</f>
        <v>5.5013107117715287E-2</v>
      </c>
      <c r="Q103" s="57">
        <f>ABS(Table223421023456789111213[[#This Row],[diff-bias]])</f>
        <v>0.23602656125000365</v>
      </c>
      <c r="R103" s="57">
        <f ca="1">CELL("row",Table223421023456789111213[[#This Row],[Position]])</f>
        <v>103</v>
      </c>
      <c r="S103" s="4">
        <f>Table223421023456789111213[[#This Row],[REF]]-D$13</f>
        <v>-6.0000450000000427E-2</v>
      </c>
      <c r="T103" s="4">
        <f>ABS(Table223421023456789111213[[#This Row],[lab-med]])</f>
        <v>6.0000450000000427E-2</v>
      </c>
      <c r="U103" s="4">
        <f>Table223421023456789111213[[#This Row],[doug]]-F$13</f>
        <v>0.13480749999999908</v>
      </c>
      <c r="V103" s="4">
        <f>ABS(Table223421023456789111213[[#This Row],[anl-med]])</f>
        <v>0.13480749999999908</v>
      </c>
      <c r="W103" s="4">
        <f>Table223421023456789111213[[#This Row],[lab-med]]*Table223421023456789111213[[#This Row],[anl-med]]</f>
        <v>-8.0885106633750026E-3</v>
      </c>
    </row>
    <row r="104" spans="2:23" x14ac:dyDescent="0.25">
      <c r="B104" s="46">
        <f ca="1">VALUE((Table223421023456789111213[[#This Row],[Column3]]-62))</f>
        <v>42</v>
      </c>
      <c r="C104" t="s">
        <v>110</v>
      </c>
      <c r="D104">
        <v>10.9899998</v>
      </c>
      <c r="E104"/>
      <c r="F104" s="89">
        <v>11.545598999999999</v>
      </c>
      <c r="G104" s="29">
        <f>Table223421023456789111213[[#This Row],[doug]]-Table223421023456789111213[[#This Row],[REF]]</f>
        <v>0.55559919999999963</v>
      </c>
      <c r="H104" s="29">
        <f>Table223421023456789111213[[#This Row],[X-Y]]-E$20</f>
        <v>0.55837456125000351</v>
      </c>
      <c r="I104" s="29">
        <f>Table223421023456789111213[[#This Row],[doug]]-E$20</f>
        <v>11.548374361250003</v>
      </c>
      <c r="J104" s="29">
        <f>Table223421023456789111213[[#This Row],[doug]]*E$21+E$22</f>
        <v>11.461710098546787</v>
      </c>
      <c r="K104" s="56">
        <f>Table223421023456789111213[[#This Row],[Yest]]-Table223421023456789111213[[#This Row],[REF]]</f>
        <v>0.47171029854678714</v>
      </c>
      <c r="L104" s="56">
        <f>ABS(Table223421023456789111213[[#This Row],[RESyx]])</f>
        <v>0.47171029854678714</v>
      </c>
      <c r="M104" s="29">
        <f>Table223421023456789111213[[#This Row],[doug]]*E$25+E$26</f>
        <v>11.539899088856629</v>
      </c>
      <c r="N104" s="29">
        <f>Table223421023456789111213[[#This Row],[X-Y]]^2</f>
        <v>0.30869047104063957</v>
      </c>
      <c r="O104" s="57">
        <f>Table223421023456789111213[[#This Row],[yest_rect]]-Table223421023456789111213[[#This Row],[REF]]</f>
        <v>0.5498992888566292</v>
      </c>
      <c r="P104" s="57">
        <f>Table223421023456789111213[[#This Row],[dif rec]]^2</f>
        <v>0.30238922788502653</v>
      </c>
      <c r="Q104" s="57">
        <f>ABS(Table223421023456789111213[[#This Row],[diff-bias]])</f>
        <v>0.55837456125000351</v>
      </c>
      <c r="R104" s="57">
        <f ca="1">CELL("row",Table223421023456789111213[[#This Row],[Position]])</f>
        <v>104</v>
      </c>
      <c r="S104" s="4">
        <f>Table223421023456789111213[[#This Row],[REF]]-D$13</f>
        <v>-2.000045000000128E-2</v>
      </c>
      <c r="T104" s="4">
        <f>ABS(Table223421023456789111213[[#This Row],[lab-med]])</f>
        <v>2.000045000000128E-2</v>
      </c>
      <c r="U104" s="4">
        <f>Table223421023456789111213[[#This Row],[doug]]-F$13</f>
        <v>0.49715549999999809</v>
      </c>
      <c r="V104" s="4">
        <f>ABS(Table223421023456789111213[[#This Row],[anl-med]])</f>
        <v>0.49715549999999809</v>
      </c>
      <c r="W104" s="4">
        <f>Table223421023456789111213[[#This Row],[lab-med]]*Table223421023456789111213[[#This Row],[anl-med]]</f>
        <v>-9.9433337199755986E-3</v>
      </c>
    </row>
    <row r="105" spans="2:23" x14ac:dyDescent="0.25">
      <c r="B105" s="46">
        <f ca="1">VALUE((Table223421023456789111213[[#This Row],[Column3]]-62))</f>
        <v>43</v>
      </c>
      <c r="C105" t="s">
        <v>111</v>
      </c>
      <c r="D105">
        <v>11</v>
      </c>
      <c r="E105"/>
      <c r="F105" s="89">
        <v>11.078524</v>
      </c>
      <c r="G105" s="29">
        <f>Table223421023456789111213[[#This Row],[doug]]-Table223421023456789111213[[#This Row],[REF]]</f>
        <v>7.8523999999999816E-2</v>
      </c>
      <c r="H105" s="29">
        <f>Table223421023456789111213[[#This Row],[X-Y]]-E$20</f>
        <v>8.1299361250003699E-2</v>
      </c>
      <c r="I105" s="29">
        <f>Table223421023456789111213[[#This Row],[doug]]-E$20</f>
        <v>11.081299361250004</v>
      </c>
      <c r="J105" s="29">
        <f>Table223421023456789111213[[#This Row],[doug]]*E$21+E$22</f>
        <v>11.086868120640293</v>
      </c>
      <c r="K105" s="56">
        <f>Table223421023456789111213[[#This Row],[Yest]]-Table223421023456789111213[[#This Row],[REF]]</f>
        <v>8.6868120640293256E-2</v>
      </c>
      <c r="L105" s="56">
        <f>ABS(Table223421023456789111213[[#This Row],[RESyx]])</f>
        <v>8.6868120640293256E-2</v>
      </c>
      <c r="M105" s="29">
        <f>Table223421023456789111213[[#This Row],[doug]]*E$25+E$26</f>
        <v>11.081843954272014</v>
      </c>
      <c r="N105" s="29">
        <f>Table223421023456789111213[[#This Row],[X-Y]]^2</f>
        <v>6.1660185759999714E-3</v>
      </c>
      <c r="O105" s="57">
        <f>Table223421023456789111213[[#This Row],[yest_rect]]-Table223421023456789111213[[#This Row],[REF]]</f>
        <v>8.1843954272013519E-2</v>
      </c>
      <c r="P105" s="57">
        <f>Table223421023456789111213[[#This Row],[dif rec]]^2</f>
        <v>6.6984328508794396E-3</v>
      </c>
      <c r="Q105" s="57">
        <f>ABS(Table223421023456789111213[[#This Row],[diff-bias]])</f>
        <v>8.1299361250003699E-2</v>
      </c>
      <c r="R105" s="57">
        <f ca="1">CELL("row",Table223421023456789111213[[#This Row],[Position]])</f>
        <v>105</v>
      </c>
      <c r="S105" s="4">
        <f>Table223421023456789111213[[#This Row],[REF]]-D$13</f>
        <v>-1.0000250000000932E-2</v>
      </c>
      <c r="T105" s="4">
        <f>ABS(Table223421023456789111213[[#This Row],[lab-med]])</f>
        <v>1.0000250000000932E-2</v>
      </c>
      <c r="U105" s="4">
        <f>Table223421023456789111213[[#This Row],[doug]]-F$13</f>
        <v>3.0080499999998622E-2</v>
      </c>
      <c r="V105" s="4">
        <f>ABS(Table223421023456789111213[[#This Row],[anl-med]])</f>
        <v>3.0080499999998622E-2</v>
      </c>
      <c r="W105" s="4">
        <f>Table223421023456789111213[[#This Row],[lab-med]]*Table223421023456789111213[[#This Row],[anl-med]]</f>
        <v>-3.0081252012501426E-4</v>
      </c>
    </row>
    <row r="106" spans="2:23" x14ac:dyDescent="0.25">
      <c r="B106" s="46">
        <f ca="1">VALUE((Table223421023456789111213[[#This Row],[Column3]]-62))</f>
        <v>44</v>
      </c>
      <c r="C106" t="s">
        <v>112</v>
      </c>
      <c r="D106">
        <v>9.9700003000000006</v>
      </c>
      <c r="E106"/>
      <c r="F106" s="89">
        <v>10.676183999999999</v>
      </c>
      <c r="G106" s="29">
        <f>Table223421023456789111213[[#This Row],[doug]]-Table223421023456789111213[[#This Row],[REF]]</f>
        <v>0.70618369999999864</v>
      </c>
      <c r="H106" s="29">
        <f>Table223421023456789111213[[#This Row],[X-Y]]-E$20</f>
        <v>0.70895906125000252</v>
      </c>
      <c r="I106" s="29">
        <f>Table223421023456789111213[[#This Row],[doug]]-E$20</f>
        <v>10.678959361250003</v>
      </c>
      <c r="J106" s="29">
        <f>Table223421023456789111213[[#This Row],[doug]]*E$21+E$22</f>
        <v>10.763977960835337</v>
      </c>
      <c r="K106" s="56">
        <f>Table223421023456789111213[[#This Row],[Yest]]-Table223421023456789111213[[#This Row],[REF]]</f>
        <v>0.79397766083533661</v>
      </c>
      <c r="L106" s="56">
        <f>ABS(Table223421023456789111213[[#This Row],[RESyx]])</f>
        <v>0.79397766083533661</v>
      </c>
      <c r="M106" s="29">
        <f>Table223421023456789111213[[#This Row],[doug]]*E$25+E$26</f>
        <v>10.687273697142485</v>
      </c>
      <c r="N106" s="29">
        <f>Table223421023456789111213[[#This Row],[X-Y]]^2</f>
        <v>0.49869541814568807</v>
      </c>
      <c r="O106" s="57">
        <f>Table223421023456789111213[[#This Row],[yest_rect]]-Table223421023456789111213[[#This Row],[REF]]</f>
        <v>0.71727339714248473</v>
      </c>
      <c r="P106" s="57">
        <f>Table223421023456789111213[[#This Row],[dif rec]]^2</f>
        <v>0.51448112624832065</v>
      </c>
      <c r="Q106" s="57">
        <f>ABS(Table223421023456789111213[[#This Row],[diff-bias]])</f>
        <v>0.70895906125000252</v>
      </c>
      <c r="R106" s="57">
        <f ca="1">CELL("row",Table223421023456789111213[[#This Row],[Position]])</f>
        <v>106</v>
      </c>
      <c r="S106" s="4">
        <f>Table223421023456789111213[[#This Row],[REF]]-D$13</f>
        <v>-1.0399999500000003</v>
      </c>
      <c r="T106" s="4">
        <f>ABS(Table223421023456789111213[[#This Row],[lab-med]])</f>
        <v>1.0399999500000003</v>
      </c>
      <c r="U106" s="4">
        <f>Table223421023456789111213[[#This Row],[doug]]-F$13</f>
        <v>-0.37225950000000196</v>
      </c>
      <c r="V106" s="4">
        <f>ABS(Table223421023456789111213[[#This Row],[anl-med]])</f>
        <v>0.37225950000000196</v>
      </c>
      <c r="W106" s="4">
        <f>Table223421023456789111213[[#This Row],[lab-med]]*Table223421023456789111213[[#This Row],[anl-med]]</f>
        <v>0.38714986138702717</v>
      </c>
    </row>
    <row r="107" spans="2:23" x14ac:dyDescent="0.25">
      <c r="B107" s="46">
        <f ca="1">VALUE((Table223421023456789111213[[#This Row],[Column3]]-62))</f>
        <v>45</v>
      </c>
      <c r="C107" t="s">
        <v>113</v>
      </c>
      <c r="D107">
        <v>12.899999599999999</v>
      </c>
      <c r="E107"/>
      <c r="F107" s="89">
        <v>12.322775999999999</v>
      </c>
      <c r="G107" s="29">
        <f>Table223421023456789111213[[#This Row],[doug]]-Table223421023456789111213[[#This Row],[REF]]</f>
        <v>-0.57722359999999995</v>
      </c>
      <c r="H107" s="29">
        <f>Table223421023456789111213[[#This Row],[X-Y]]-E$20</f>
        <v>-0.57444823874999607</v>
      </c>
      <c r="I107" s="29">
        <f>Table223421023456789111213[[#This Row],[doug]]-E$20</f>
        <v>12.325551361250003</v>
      </c>
      <c r="J107" s="29">
        <f>Table223421023456789111213[[#This Row],[doug]]*E$21+E$22</f>
        <v>12.085418419187874</v>
      </c>
      <c r="K107" s="56">
        <f>Table223421023456789111213[[#This Row],[Yest]]-Table223421023456789111213[[#This Row],[REF]]</f>
        <v>-0.81458118081212483</v>
      </c>
      <c r="L107" s="56">
        <f>ABS(Table223421023456789111213[[#This Row],[RESyx]])</f>
        <v>0.81458118081212483</v>
      </c>
      <c r="M107" s="29">
        <f>Table223421023456789111213[[#This Row],[doug]]*E$25+E$26</f>
        <v>12.302067724153034</v>
      </c>
      <c r="N107" s="29">
        <f>Table223421023456789111213[[#This Row],[X-Y]]^2</f>
        <v>0.33318708439695993</v>
      </c>
      <c r="O107" s="57">
        <f>Table223421023456789111213[[#This Row],[yest_rect]]-Table223421023456789111213[[#This Row],[REF]]</f>
        <v>-0.59793187584696561</v>
      </c>
      <c r="P107" s="57">
        <f>Table223421023456789111213[[#This Row],[dif rec]]^2</f>
        <v>0.35752252815387109</v>
      </c>
      <c r="Q107" s="57">
        <f>ABS(Table223421023456789111213[[#This Row],[diff-bias]])</f>
        <v>0.57444823874999607</v>
      </c>
      <c r="R107" s="57">
        <f ca="1">CELL("row",Table223421023456789111213[[#This Row],[Position]])</f>
        <v>107</v>
      </c>
      <c r="S107" s="4">
        <f>Table223421023456789111213[[#This Row],[REF]]-D$13</f>
        <v>1.8899993499999983</v>
      </c>
      <c r="T107" s="4">
        <f>ABS(Table223421023456789111213[[#This Row],[lab-med]])</f>
        <v>1.8899993499999983</v>
      </c>
      <c r="U107" s="4">
        <f>Table223421023456789111213[[#This Row],[doug]]-F$13</f>
        <v>1.2743324999999981</v>
      </c>
      <c r="V107" s="4">
        <f>ABS(Table223421023456789111213[[#This Row],[anl-med]])</f>
        <v>1.2743324999999981</v>
      </c>
      <c r="W107" s="4">
        <f>Table223421023456789111213[[#This Row],[lab-med]]*Table223421023456789111213[[#This Row],[anl-med]]</f>
        <v>2.408487596683869</v>
      </c>
    </row>
    <row r="108" spans="2:23" x14ac:dyDescent="0.25">
      <c r="B108" s="46">
        <f ca="1">VALUE((Table223421023456789111213[[#This Row],[Column3]]-62))</f>
        <v>46</v>
      </c>
      <c r="C108" t="s">
        <v>114</v>
      </c>
      <c r="D108">
        <v>10.529999699999999</v>
      </c>
      <c r="E108"/>
      <c r="F108" s="89">
        <v>10.966441</v>
      </c>
      <c r="G108" s="29">
        <f>Table223421023456789111213[[#This Row],[doug]]-Table223421023456789111213[[#This Row],[REF]]</f>
        <v>0.43644130000000025</v>
      </c>
      <c r="H108" s="29">
        <f>Table223421023456789111213[[#This Row],[X-Y]]-E$20</f>
        <v>0.43921666125000414</v>
      </c>
      <c r="I108" s="29">
        <f>Table223421023456789111213[[#This Row],[doug]]-E$20</f>
        <v>10.969216361250004</v>
      </c>
      <c r="J108" s="29">
        <f>Table223421023456789111213[[#This Row],[doug]]*E$21+E$22</f>
        <v>10.996918083901667</v>
      </c>
      <c r="K108" s="56">
        <f>Table223421023456789111213[[#This Row],[Yest]]-Table223421023456789111213[[#This Row],[REF]]</f>
        <v>0.46691838390166751</v>
      </c>
      <c r="L108" s="56">
        <f>ABS(Table223421023456789111213[[#This Row],[RESyx]])</f>
        <v>0.46691838390166751</v>
      </c>
      <c r="M108" s="29">
        <f>Table223421023456789111213[[#This Row],[doug]]*E$25+E$26</f>
        <v>10.971925432300921</v>
      </c>
      <c r="N108" s="29">
        <f>Table223421023456789111213[[#This Row],[X-Y]]^2</f>
        <v>0.19048100834569023</v>
      </c>
      <c r="O108" s="57">
        <f>Table223421023456789111213[[#This Row],[yest_rect]]-Table223421023456789111213[[#This Row],[REF]]</f>
        <v>0.44192573230092158</v>
      </c>
      <c r="P108" s="57">
        <f>Table223421023456789111213[[#This Row],[dif rec]]^2</f>
        <v>0.19529835286970582</v>
      </c>
      <c r="Q108" s="57">
        <f>ABS(Table223421023456789111213[[#This Row],[diff-bias]])</f>
        <v>0.43921666125000414</v>
      </c>
      <c r="R108" s="57">
        <f ca="1">CELL("row",Table223421023456789111213[[#This Row],[Position]])</f>
        <v>108</v>
      </c>
      <c r="S108" s="4">
        <f>Table223421023456789111213[[#This Row],[REF]]-D$13</f>
        <v>-0.48000055000000152</v>
      </c>
      <c r="T108" s="4">
        <f>ABS(Table223421023456789111213[[#This Row],[lab-med]])</f>
        <v>0.48000055000000152</v>
      </c>
      <c r="U108" s="4">
        <f>Table223421023456789111213[[#This Row],[doug]]-F$13</f>
        <v>-8.2002500000001532E-2</v>
      </c>
      <c r="V108" s="4">
        <f>ABS(Table223421023456789111213[[#This Row],[anl-med]])</f>
        <v>8.2002500000001532E-2</v>
      </c>
      <c r="W108" s="4">
        <f>Table223421023456789111213[[#This Row],[lab-med]]*Table223421023456789111213[[#This Row],[anl-med]]</f>
        <v>3.9361245101375862E-2</v>
      </c>
    </row>
    <row r="109" spans="2:23" x14ac:dyDescent="0.25">
      <c r="B109" s="46">
        <f ca="1">VALUE((Table223421023456789111213[[#This Row],[Column3]]-62))</f>
        <v>47</v>
      </c>
      <c r="C109" t="s">
        <v>115</v>
      </c>
      <c r="D109">
        <v>11.0600004</v>
      </c>
      <c r="E109"/>
      <c r="F109" s="89">
        <v>11.205799000000001</v>
      </c>
      <c r="G109" s="29">
        <f>Table223421023456789111213[[#This Row],[doug]]-Table223421023456789111213[[#This Row],[REF]]</f>
        <v>0.14579860000000089</v>
      </c>
      <c r="H109" s="29">
        <f>Table223421023456789111213[[#This Row],[X-Y]]-E$20</f>
        <v>0.14857396125000477</v>
      </c>
      <c r="I109" s="29">
        <f>Table223421023456789111213[[#This Row],[doug]]-E$20</f>
        <v>11.208574361250005</v>
      </c>
      <c r="J109" s="29">
        <f>Table223421023456789111213[[#This Row],[doug]]*E$21+E$22</f>
        <v>11.189010202186189</v>
      </c>
      <c r="K109" s="56">
        <f>Table223421023456789111213[[#This Row],[Yest]]-Table223421023456789111213[[#This Row],[REF]]</f>
        <v>0.1290098021861894</v>
      </c>
      <c r="L109" s="56">
        <f>ABS(Table223421023456789111213[[#This Row],[RESyx]])</f>
        <v>0.1290098021861894</v>
      </c>
      <c r="M109" s="29">
        <f>Table223421023456789111213[[#This Row],[doug]]*E$25+E$26</f>
        <v>11.206661097673518</v>
      </c>
      <c r="N109" s="29">
        <f>Table223421023456789111213[[#This Row],[X-Y]]^2</f>
        <v>2.125723176196026E-2</v>
      </c>
      <c r="O109" s="57">
        <f>Table223421023456789111213[[#This Row],[yest_rect]]-Table223421023456789111213[[#This Row],[REF]]</f>
        <v>0.14666069767351786</v>
      </c>
      <c r="P109" s="57">
        <f>Table223421023456789111213[[#This Row],[dif rec]]^2</f>
        <v>2.1509360242083008E-2</v>
      </c>
      <c r="Q109" s="57">
        <f>ABS(Table223421023456789111213[[#This Row],[diff-bias]])</f>
        <v>0.14857396125000477</v>
      </c>
      <c r="R109" s="57">
        <f ca="1">CELL("row",Table223421023456789111213[[#This Row],[Position]])</f>
        <v>109</v>
      </c>
      <c r="S109" s="4">
        <f>Table223421023456789111213[[#This Row],[REF]]-D$13</f>
        <v>5.0000149999998911E-2</v>
      </c>
      <c r="T109" s="4">
        <f>ABS(Table223421023456789111213[[#This Row],[lab-med]])</f>
        <v>5.0000149999998911E-2</v>
      </c>
      <c r="U109" s="4">
        <f>Table223421023456789111213[[#This Row],[doug]]-F$13</f>
        <v>0.15735549999999954</v>
      </c>
      <c r="V109" s="4">
        <f>ABS(Table223421023456789111213[[#This Row],[anl-med]])</f>
        <v>0.15735549999999954</v>
      </c>
      <c r="W109" s="4">
        <f>Table223421023456789111213[[#This Row],[lab-med]]*Table223421023456789111213[[#This Row],[anl-med]]</f>
        <v>7.8677986033248055E-3</v>
      </c>
    </row>
    <row r="110" spans="2:23" x14ac:dyDescent="0.25">
      <c r="B110" s="46">
        <f ca="1">VALUE((Table223421023456789111213[[#This Row],[Column3]]-62))</f>
        <v>48</v>
      </c>
      <c r="C110" t="s">
        <v>116</v>
      </c>
      <c r="D110">
        <v>9.1000004000000008</v>
      </c>
      <c r="E110"/>
      <c r="F110" s="89">
        <v>10.065064</v>
      </c>
      <c r="G110" s="29">
        <f>Table223421023456789111213[[#This Row],[doug]]-Table223421023456789111213[[#This Row],[REF]]</f>
        <v>0.9650635999999988</v>
      </c>
      <c r="H110" s="29">
        <f>Table223421023456789111213[[#This Row],[X-Y]]-E$20</f>
        <v>0.96783896125000268</v>
      </c>
      <c r="I110" s="29">
        <f>Table223421023456789111213[[#This Row],[doug]]-E$20</f>
        <v>10.067839361250003</v>
      </c>
      <c r="J110" s="29">
        <f>Table223421023456789111213[[#This Row],[doug]]*E$21+E$22</f>
        <v>10.273535463295934</v>
      </c>
      <c r="K110" s="56">
        <f>Table223421023456789111213[[#This Row],[Yest]]-Table223421023456789111213[[#This Row],[REF]]</f>
        <v>1.1735350632959332</v>
      </c>
      <c r="L110" s="56">
        <f>ABS(Table223421023456789111213[[#This Row],[RESyx]])</f>
        <v>1.1735350632959332</v>
      </c>
      <c r="M110" s="29">
        <f>Table223421023456789111213[[#This Row],[doug]]*E$25+E$26</f>
        <v>10.087955271092385</v>
      </c>
      <c r="N110" s="29">
        <f>Table223421023456789111213[[#This Row],[X-Y]]^2</f>
        <v>0.93134775204495768</v>
      </c>
      <c r="O110" s="57">
        <f>Table223421023456789111213[[#This Row],[yest_rect]]-Table223421023456789111213[[#This Row],[REF]]</f>
        <v>0.98795487109238422</v>
      </c>
      <c r="P110" s="57">
        <f>Table223421023456789111213[[#This Row],[dif rec]]^2</f>
        <v>0.97605482731516957</v>
      </c>
      <c r="Q110" s="57">
        <f>ABS(Table223421023456789111213[[#This Row],[diff-bias]])</f>
        <v>0.96783896125000268</v>
      </c>
      <c r="R110" s="57">
        <f ca="1">CELL("row",Table223421023456789111213[[#This Row],[Position]])</f>
        <v>110</v>
      </c>
      <c r="S110" s="4">
        <f>Table223421023456789111213[[#This Row],[REF]]-D$13</f>
        <v>-1.9099998500000002</v>
      </c>
      <c r="T110" s="4">
        <f>ABS(Table223421023456789111213[[#This Row],[lab-med]])</f>
        <v>1.9099998500000002</v>
      </c>
      <c r="U110" s="4">
        <f>Table223421023456789111213[[#This Row],[doug]]-F$13</f>
        <v>-0.98337950000000163</v>
      </c>
      <c r="V110" s="4">
        <f>ABS(Table223421023456789111213[[#This Row],[anl-med]])</f>
        <v>0.98337950000000163</v>
      </c>
      <c r="W110" s="4">
        <f>Table223421023456789111213[[#This Row],[lab-med]]*Table223421023456789111213[[#This Row],[anl-med]]</f>
        <v>1.8782546974930783</v>
      </c>
    </row>
    <row r="111" spans="2:23" x14ac:dyDescent="0.25">
      <c r="B111" s="46">
        <f ca="1">VALUE((Table223421023456789111213[[#This Row],[Column3]]-62))</f>
        <v>49</v>
      </c>
      <c r="C111" t="s">
        <v>117</v>
      </c>
      <c r="D111">
        <v>8.9700003000000006</v>
      </c>
      <c r="E111"/>
      <c r="F111" s="89">
        <v>10.548353000000001</v>
      </c>
      <c r="G111" s="29">
        <f>Table223421023456789111213[[#This Row],[doug]]-Table223421023456789111213[[#This Row],[REF]]</f>
        <v>1.5783526999999999</v>
      </c>
      <c r="H111" s="29">
        <f>Table223421023456789111213[[#This Row],[X-Y]]-E$20</f>
        <v>1.5811280612500038</v>
      </c>
      <c r="I111" s="29">
        <f>Table223421023456789111213[[#This Row],[doug]]-E$20</f>
        <v>10.551128361250004</v>
      </c>
      <c r="J111" s="29">
        <f>Table223421023456789111213[[#This Row],[doug]]*E$21+E$22</f>
        <v>10.661389672278331</v>
      </c>
      <c r="K111" s="56">
        <f>Table223421023456789111213[[#This Row],[Yest]]-Table223421023456789111213[[#This Row],[REF]]</f>
        <v>1.69138937227833</v>
      </c>
      <c r="L111" s="56">
        <f>ABS(Table223421023456789111213[[#This Row],[RESyx]])</f>
        <v>1.69138937227833</v>
      </c>
      <c r="M111" s="29">
        <f>Table223421023456789111213[[#This Row],[doug]]*E$25+E$26</f>
        <v>10.561911290871359</v>
      </c>
      <c r="N111" s="29">
        <f>Table223421023456789111213[[#This Row],[X-Y]]^2</f>
        <v>2.4911972455972897</v>
      </c>
      <c r="O111" s="57">
        <f>Table223421023456789111213[[#This Row],[yest_rect]]-Table223421023456789111213[[#This Row],[REF]]</f>
        <v>1.5919109908713587</v>
      </c>
      <c r="P111" s="57">
        <f>Table223421023456789111213[[#This Row],[dif rec]]^2</f>
        <v>2.5341806028570311</v>
      </c>
      <c r="Q111" s="57">
        <f>ABS(Table223421023456789111213[[#This Row],[diff-bias]])</f>
        <v>1.5811280612500038</v>
      </c>
      <c r="R111" s="57">
        <f ca="1">CELL("row",Table223421023456789111213[[#This Row],[Position]])</f>
        <v>111</v>
      </c>
      <c r="S111" s="4">
        <f>Table223421023456789111213[[#This Row],[REF]]-D$13</f>
        <v>-2.0399999500000003</v>
      </c>
      <c r="T111" s="4">
        <f>ABS(Table223421023456789111213[[#This Row],[lab-med]])</f>
        <v>2.0399999500000003</v>
      </c>
      <c r="U111" s="4">
        <f>Table223421023456789111213[[#This Row],[doug]]-F$13</f>
        <v>-0.50009050000000066</v>
      </c>
      <c r="V111" s="4">
        <f>ABS(Table223421023456789111213[[#This Row],[anl-med]])</f>
        <v>0.50009050000000066</v>
      </c>
      <c r="W111" s="4">
        <f>Table223421023456789111213[[#This Row],[lab-med]]*Table223421023456789111213[[#This Row],[anl-med]]</f>
        <v>1.0201845949954764</v>
      </c>
    </row>
    <row r="112" spans="2:23" x14ac:dyDescent="0.25">
      <c r="B112" s="46">
        <f ca="1">VALUE((Table223421023456789111213[[#This Row],[Column3]]-62))</f>
        <v>50</v>
      </c>
      <c r="C112" t="s">
        <v>118</v>
      </c>
      <c r="D112">
        <v>11.1199999</v>
      </c>
      <c r="E112"/>
      <c r="F112" s="89">
        <v>10.758212</v>
      </c>
      <c r="G112" s="29">
        <f>Table223421023456789111213[[#This Row],[doug]]-Table223421023456789111213[[#This Row],[REF]]</f>
        <v>-0.3617878999999995</v>
      </c>
      <c r="H112" s="29">
        <f>Table223421023456789111213[[#This Row],[X-Y]]-E$20</f>
        <v>-0.35901253874999561</v>
      </c>
      <c r="I112" s="29">
        <f>Table223421023456789111213[[#This Row],[doug]]-E$20</f>
        <v>10.760987361250004</v>
      </c>
      <c r="J112" s="29">
        <f>Table223421023456789111213[[#This Row],[doug]]*E$21+E$22</f>
        <v>10.829807940525354</v>
      </c>
      <c r="K112" s="56">
        <f>Table223421023456789111213[[#This Row],[Yest]]-Table223421023456789111213[[#This Row],[REF]]</f>
        <v>-0.2901919594746456</v>
      </c>
      <c r="L112" s="56">
        <f>ABS(Table223421023456789111213[[#This Row],[RESyx]])</f>
        <v>0.2901919594746456</v>
      </c>
      <c r="M112" s="29">
        <f>Table223421023456789111213[[#This Row],[doug]]*E$25+E$26</f>
        <v>10.7677176228069</v>
      </c>
      <c r="N112" s="29">
        <f>Table223421023456789111213[[#This Row],[X-Y]]^2</f>
        <v>0.13089048458640964</v>
      </c>
      <c r="O112" s="57">
        <f>Table223421023456789111213[[#This Row],[yest_rect]]-Table223421023456789111213[[#This Row],[REF]]</f>
        <v>-0.35228227719309935</v>
      </c>
      <c r="P112" s="57">
        <f>Table223421023456789111213[[#This Row],[dif rec]]^2</f>
        <v>0.12410280282435568</v>
      </c>
      <c r="Q112" s="57">
        <f>ABS(Table223421023456789111213[[#This Row],[diff-bias]])</f>
        <v>0.35901253874999561</v>
      </c>
      <c r="R112" s="57">
        <f ca="1">CELL("row",Table223421023456789111213[[#This Row],[Position]])</f>
        <v>112</v>
      </c>
      <c r="S112" s="4">
        <f>Table223421023456789111213[[#This Row],[REF]]-D$13</f>
        <v>0.10999964999999889</v>
      </c>
      <c r="T112" s="4">
        <f>ABS(Table223421023456789111213[[#This Row],[lab-med]])</f>
        <v>0.10999964999999889</v>
      </c>
      <c r="U112" s="4">
        <f>Table223421023456789111213[[#This Row],[doug]]-F$13</f>
        <v>-0.29023150000000086</v>
      </c>
      <c r="V112" s="4">
        <f>ABS(Table223421023456789111213[[#This Row],[anl-med]])</f>
        <v>0.29023150000000086</v>
      </c>
      <c r="W112" s="4">
        <f>Table223421023456789111213[[#This Row],[lab-med]]*Table223421023456789111213[[#This Row],[anl-med]]</f>
        <v>-3.1925363418974777E-2</v>
      </c>
    </row>
    <row r="113" spans="2:23" x14ac:dyDescent="0.25">
      <c r="B113" s="46">
        <f ca="1">VALUE((Table223421023456789111213[[#This Row],[Column3]]-62))</f>
        <v>51</v>
      </c>
      <c r="C113" t="s">
        <v>119</v>
      </c>
      <c r="D113">
        <v>9.2299994999999999</v>
      </c>
      <c r="E113"/>
      <c r="F113" s="89">
        <v>8.7850582999999993</v>
      </c>
      <c r="G113" s="29">
        <f>Table223421023456789111213[[#This Row],[doug]]-Table223421023456789111213[[#This Row],[REF]]</f>
        <v>-0.44494120000000059</v>
      </c>
      <c r="H113" s="29">
        <f>Table223421023456789111213[[#This Row],[X-Y]]-E$20</f>
        <v>-0.44216583874999671</v>
      </c>
      <c r="I113" s="29">
        <f>Table223421023456789111213[[#This Row],[doug]]-E$20</f>
        <v>8.7878336612500032</v>
      </c>
      <c r="J113" s="29">
        <f>Table223421023456789111213[[#This Row],[doug]]*E$21+E$22</f>
        <v>9.246291726595004</v>
      </c>
      <c r="K113" s="56">
        <f>Table223421023456789111213[[#This Row],[Yest]]-Table223421023456789111213[[#This Row],[REF]]</f>
        <v>1.6292226595004067E-2</v>
      </c>
      <c r="L113" s="56">
        <f>ABS(Table223421023456789111213[[#This Row],[RESyx]])</f>
        <v>1.6292226595004067E-2</v>
      </c>
      <c r="M113" s="29">
        <f>Table223421023456789111213[[#This Row],[doug]]*E$25+E$26</f>
        <v>8.8326682546976389</v>
      </c>
      <c r="N113" s="29">
        <f>Table223421023456789111213[[#This Row],[X-Y]]^2</f>
        <v>0.19797267145744052</v>
      </c>
      <c r="O113" s="57">
        <f>Table223421023456789111213[[#This Row],[yest_rect]]-Table223421023456789111213[[#This Row],[REF]]</f>
        <v>-0.39733124530236097</v>
      </c>
      <c r="P113" s="57">
        <f>Table223421023456789111213[[#This Row],[dif rec]]^2</f>
        <v>0.15787211849352495</v>
      </c>
      <c r="Q113" s="57">
        <f>ABS(Table223421023456789111213[[#This Row],[diff-bias]])</f>
        <v>0.44216583874999671</v>
      </c>
      <c r="R113" s="57">
        <f ca="1">CELL("row",Table223421023456789111213[[#This Row],[Position]])</f>
        <v>113</v>
      </c>
      <c r="S113" s="4">
        <f>Table223421023456789111213[[#This Row],[REF]]-D$13</f>
        <v>-1.780000750000001</v>
      </c>
      <c r="T113" s="4">
        <f>ABS(Table223421023456789111213[[#This Row],[lab-med]])</f>
        <v>1.780000750000001</v>
      </c>
      <c r="U113" s="4">
        <f>Table223421023456789111213[[#This Row],[doug]]-F$13</f>
        <v>-2.2633852000000019</v>
      </c>
      <c r="V113" s="4">
        <f>ABS(Table223421023456789111213[[#This Row],[anl-med]])</f>
        <v>2.2633852000000019</v>
      </c>
      <c r="W113" s="4">
        <f>Table223421023456789111213[[#This Row],[lab-med]]*Table223421023456789111213[[#This Row],[anl-med]]</f>
        <v>4.0288273535389054</v>
      </c>
    </row>
    <row r="114" spans="2:23" x14ac:dyDescent="0.25">
      <c r="B114" s="46">
        <f ca="1">VALUE((Table223421023456789111213[[#This Row],[Column3]]-62))</f>
        <v>52</v>
      </c>
      <c r="C114" t="s">
        <v>120</v>
      </c>
      <c r="D114">
        <v>11.2299995</v>
      </c>
      <c r="E114"/>
      <c r="F114" s="89">
        <v>11.378147</v>
      </c>
      <c r="G114" s="29">
        <f>Table223421023456789111213[[#This Row],[doug]]-Table223421023456789111213[[#This Row],[REF]]</f>
        <v>0.14814750000000032</v>
      </c>
      <c r="H114" s="29">
        <f>Table223421023456789111213[[#This Row],[X-Y]]-E$20</f>
        <v>0.1509228612500042</v>
      </c>
      <c r="I114" s="29">
        <f>Table223421023456789111213[[#This Row],[doug]]-E$20</f>
        <v>11.380922361250004</v>
      </c>
      <c r="J114" s="29">
        <f>Table223421023456789111213[[#This Row],[doug]]*E$21+E$22</f>
        <v>11.327324745264342</v>
      </c>
      <c r="K114" s="56">
        <f>Table223421023456789111213[[#This Row],[Yest]]-Table223421023456789111213[[#This Row],[REF]]</f>
        <v>9.7325245264341831E-2</v>
      </c>
      <c r="L114" s="56">
        <f>ABS(Table223421023456789111213[[#This Row],[RESyx]])</f>
        <v>9.7325245264341831E-2</v>
      </c>
      <c r="M114" s="29">
        <f>Table223421023456789111213[[#This Row],[doug]]*E$25+E$26</f>
        <v>11.375680818993196</v>
      </c>
      <c r="N114" s="29">
        <f>Table223421023456789111213[[#This Row],[X-Y]]^2</f>
        <v>2.1947681756250094E-2</v>
      </c>
      <c r="O114" s="57">
        <f>Table223421023456789111213[[#This Row],[yest_rect]]-Table223421023456789111213[[#This Row],[REF]]</f>
        <v>0.14568131899319603</v>
      </c>
      <c r="P114" s="57">
        <f>Table223421023456789111213[[#This Row],[dif rec]]^2</f>
        <v>2.1223046703597339E-2</v>
      </c>
      <c r="Q114" s="57">
        <f>ABS(Table223421023456789111213[[#This Row],[diff-bias]])</f>
        <v>0.1509228612500042</v>
      </c>
      <c r="R114" s="57">
        <f ca="1">CELL("row",Table223421023456789111213[[#This Row],[Position]])</f>
        <v>114</v>
      </c>
      <c r="S114" s="4">
        <f>Table223421023456789111213[[#This Row],[REF]]-D$13</f>
        <v>0.21999924999999898</v>
      </c>
      <c r="T114" s="4">
        <f>ABS(Table223421023456789111213[[#This Row],[lab-med]])</f>
        <v>0.21999924999999898</v>
      </c>
      <c r="U114" s="4">
        <f>Table223421023456789111213[[#This Row],[doug]]-F$13</f>
        <v>0.32970349999999904</v>
      </c>
      <c r="V114" s="4">
        <f>ABS(Table223421023456789111213[[#This Row],[anl-med]])</f>
        <v>0.32970349999999904</v>
      </c>
      <c r="W114" s="4">
        <f>Table223421023456789111213[[#This Row],[lab-med]]*Table223421023456789111213[[#This Row],[anl-med]]</f>
        <v>7.2534522722374456E-2</v>
      </c>
    </row>
    <row r="115" spans="2:23" x14ac:dyDescent="0.25">
      <c r="B115" s="46">
        <f ca="1">VALUE((Table223421023456789111213[[#This Row],[Column3]]-62))</f>
        <v>53</v>
      </c>
      <c r="C115" t="s">
        <v>121</v>
      </c>
      <c r="D115">
        <v>11.2299995</v>
      </c>
      <c r="E115"/>
      <c r="F115" s="89">
        <v>10.792693999999999</v>
      </c>
      <c r="G115" s="29">
        <f>Table223421023456789111213[[#This Row],[doug]]-Table223421023456789111213[[#This Row],[REF]]</f>
        <v>-0.43730550000000079</v>
      </c>
      <c r="H115" s="29">
        <f>Table223421023456789111213[[#This Row],[X-Y]]-E$20</f>
        <v>-0.43453013874999691</v>
      </c>
      <c r="I115" s="29">
        <f>Table223421023456789111213[[#This Row],[doug]]-E$20</f>
        <v>10.795469361250003</v>
      </c>
      <c r="J115" s="29">
        <f>Table223421023456789111213[[#This Row],[doug]]*E$21+E$22</f>
        <v>10.857480800520369</v>
      </c>
      <c r="K115" s="56">
        <f>Table223421023456789111213[[#This Row],[Yest]]-Table223421023456789111213[[#This Row],[REF]]</f>
        <v>-0.37251869947963101</v>
      </c>
      <c r="L115" s="56">
        <f>ABS(Table223421023456789111213[[#This Row],[RESyx]])</f>
        <v>0.37251869947963101</v>
      </c>
      <c r="M115" s="29">
        <f>Table223421023456789111213[[#This Row],[doug]]*E$25+E$26</f>
        <v>10.801533727609655</v>
      </c>
      <c r="N115" s="29">
        <f>Table223421023456789111213[[#This Row],[X-Y]]^2</f>
        <v>0.19123610033025068</v>
      </c>
      <c r="O115" s="57">
        <f>Table223421023456789111213[[#This Row],[yest_rect]]-Table223421023456789111213[[#This Row],[REF]]</f>
        <v>-0.42846577239034467</v>
      </c>
      <c r="P115" s="57">
        <f>Table223421023456789111213[[#This Row],[dif rec]]^2</f>
        <v>0.18358291811005464</v>
      </c>
      <c r="Q115" s="57">
        <f>ABS(Table223421023456789111213[[#This Row],[diff-bias]])</f>
        <v>0.43453013874999691</v>
      </c>
      <c r="R115" s="57">
        <f ca="1">CELL("row",Table223421023456789111213[[#This Row],[Position]])</f>
        <v>115</v>
      </c>
      <c r="S115" s="4">
        <f>Table223421023456789111213[[#This Row],[REF]]-D$13</f>
        <v>0.21999924999999898</v>
      </c>
      <c r="T115" s="4">
        <f>ABS(Table223421023456789111213[[#This Row],[lab-med]])</f>
        <v>0.21999924999999898</v>
      </c>
      <c r="U115" s="4">
        <f>Table223421023456789111213[[#This Row],[doug]]-F$13</f>
        <v>-0.25574950000000207</v>
      </c>
      <c r="V115" s="4">
        <f>ABS(Table223421023456789111213[[#This Row],[anl-med]])</f>
        <v>0.25574950000000207</v>
      </c>
      <c r="W115" s="4">
        <f>Table223421023456789111213[[#This Row],[lab-med]]*Table223421023456789111213[[#This Row],[anl-med]]</f>
        <v>-5.6264698187875196E-2</v>
      </c>
    </row>
    <row r="116" spans="2:23" x14ac:dyDescent="0.25">
      <c r="B116" s="46">
        <f ca="1">VALUE((Table223421023456789111213[[#This Row],[Column3]]-62))</f>
        <v>54</v>
      </c>
      <c r="C116" t="s">
        <v>122</v>
      </c>
      <c r="D116">
        <v>11.2399998</v>
      </c>
      <c r="E116"/>
      <c r="F116" s="89">
        <v>9.6022753000000005</v>
      </c>
      <c r="G116" s="29">
        <f>Table223421023456789111213[[#This Row],[doug]]-Table223421023456789111213[[#This Row],[REF]]</f>
        <v>-1.6377244999999991</v>
      </c>
      <c r="H116" s="29">
        <f>Table223421023456789111213[[#This Row],[X-Y]]-E$20</f>
        <v>-1.6349491387499953</v>
      </c>
      <c r="I116" s="29">
        <f>Table223421023456789111213[[#This Row],[doug]]-E$20</f>
        <v>9.6050506612500044</v>
      </c>
      <c r="J116" s="29">
        <f>Table223421023456789111213[[#This Row],[doug]]*E$21+E$22</f>
        <v>9.9021333722810532</v>
      </c>
      <c r="K116" s="56">
        <f>Table223421023456789111213[[#This Row],[Yest]]-Table223421023456789111213[[#This Row],[REF]]</f>
        <v>-1.3378664277189465</v>
      </c>
      <c r="L116" s="56">
        <f>ABS(Table223421023456789111213[[#This Row],[RESyx]])</f>
        <v>1.3378664277189465</v>
      </c>
      <c r="M116" s="29">
        <f>Table223421023456789111213[[#This Row],[doug]]*E$25+E$26</f>
        <v>9.6341036621157983</v>
      </c>
      <c r="N116" s="29">
        <f>Table223421023456789111213[[#This Row],[X-Y]]^2</f>
        <v>2.6821415379002471</v>
      </c>
      <c r="O116" s="57">
        <f>Table223421023456789111213[[#This Row],[yest_rect]]-Table223421023456789111213[[#This Row],[REF]]</f>
        <v>-1.6058961378842014</v>
      </c>
      <c r="P116" s="57">
        <f>Table223421023456789111213[[#This Row],[dif rec]]^2</f>
        <v>2.5789024056713941</v>
      </c>
      <c r="Q116" s="57">
        <f>ABS(Table223421023456789111213[[#This Row],[diff-bias]])</f>
        <v>1.6349491387499953</v>
      </c>
      <c r="R116" s="57">
        <f ca="1">CELL("row",Table223421023456789111213[[#This Row],[Position]])</f>
        <v>116</v>
      </c>
      <c r="S116" s="4">
        <f>Table223421023456789111213[[#This Row],[REF]]-D$13</f>
        <v>0.22999954999999872</v>
      </c>
      <c r="T116" s="4">
        <f>ABS(Table223421023456789111213[[#This Row],[lab-med]])</f>
        <v>0.22999954999999872</v>
      </c>
      <c r="U116" s="4">
        <f>Table223421023456789111213[[#This Row],[doug]]-F$13</f>
        <v>-1.4461682000000007</v>
      </c>
      <c r="V116" s="4">
        <f>ABS(Table223421023456789111213[[#This Row],[anl-med]])</f>
        <v>1.4461682000000007</v>
      </c>
      <c r="W116" s="4">
        <f>Table223421023456789111213[[#This Row],[lab-med]]*Table223421023456789111213[[#This Row],[anl-med]]</f>
        <v>-0.33261803522430833</v>
      </c>
    </row>
    <row r="117" spans="2:23" x14ac:dyDescent="0.25">
      <c r="B117" s="46">
        <f ca="1">VALUE((Table223421023456789111213[[#This Row],[Column3]]-62))</f>
        <v>55</v>
      </c>
      <c r="C117" t="s">
        <v>123</v>
      </c>
      <c r="D117">
        <v>12.5600004</v>
      </c>
      <c r="E117"/>
      <c r="F117" s="89">
        <v>13.339952</v>
      </c>
      <c r="G117" s="29">
        <f>Table223421023456789111213[[#This Row],[doug]]-Table223421023456789111213[[#This Row],[REF]]</f>
        <v>0.77995160000000041</v>
      </c>
      <c r="H117" s="29">
        <f>Table223421023456789111213[[#This Row],[X-Y]]-E$20</f>
        <v>0.78272696125000429</v>
      </c>
      <c r="I117" s="29">
        <f>Table223421023456789111213[[#This Row],[doug]]-E$20</f>
        <v>13.342727361250004</v>
      </c>
      <c r="J117" s="29">
        <f>Table223421023456789111213[[#This Row],[doug]]*E$21+E$22</f>
        <v>12.901733280225217</v>
      </c>
      <c r="K117" s="56">
        <f>Table223421023456789111213[[#This Row],[Yest]]-Table223421023456789111213[[#This Row],[REF]]</f>
        <v>0.34173288022521753</v>
      </c>
      <c r="L117" s="56">
        <f>ABS(Table223421023456789111213[[#This Row],[RESyx]])</f>
        <v>0.34173288022521753</v>
      </c>
      <c r="M117" s="29">
        <f>Table223421023456789111213[[#This Row],[doug]]*E$25+E$26</f>
        <v>13.299600646223883</v>
      </c>
      <c r="N117" s="29">
        <f>Table223421023456789111213[[#This Row],[X-Y]]^2</f>
        <v>0.60832449834256064</v>
      </c>
      <c r="O117" s="57">
        <f>Table223421023456789111213[[#This Row],[yest_rect]]-Table223421023456789111213[[#This Row],[REF]]</f>
        <v>0.73960024622388332</v>
      </c>
      <c r="P117" s="57">
        <f>Table223421023456789111213[[#This Row],[dif rec]]^2</f>
        <v>0.5470085242144288</v>
      </c>
      <c r="Q117" s="57">
        <f>ABS(Table223421023456789111213[[#This Row],[diff-bias]])</f>
        <v>0.78272696125000429</v>
      </c>
      <c r="R117" s="57">
        <f ca="1">CELL("row",Table223421023456789111213[[#This Row],[Position]])</f>
        <v>117</v>
      </c>
      <c r="S117" s="4">
        <f>Table223421023456789111213[[#This Row],[REF]]-D$13</f>
        <v>1.5500001499999989</v>
      </c>
      <c r="T117" s="4">
        <f>ABS(Table223421023456789111213[[#This Row],[lab-med]])</f>
        <v>1.5500001499999989</v>
      </c>
      <c r="U117" s="4">
        <f>Table223421023456789111213[[#This Row],[doug]]-F$13</f>
        <v>2.2915084999999991</v>
      </c>
      <c r="V117" s="4">
        <f>ABS(Table223421023456789111213[[#This Row],[anl-med]])</f>
        <v>2.2915084999999991</v>
      </c>
      <c r="W117" s="4">
        <f>Table223421023456789111213[[#This Row],[lab-med]]*Table223421023456789111213[[#This Row],[anl-med]]</f>
        <v>3.5518385187262709</v>
      </c>
    </row>
    <row r="118" spans="2:23" x14ac:dyDescent="0.25">
      <c r="B118" s="46">
        <f ca="1">VALUE((Table223421023456789111213[[#This Row],[Column3]]-62))</f>
        <v>56</v>
      </c>
      <c r="C118" t="s">
        <v>124</v>
      </c>
      <c r="D118">
        <v>10.0699997</v>
      </c>
      <c r="E118"/>
      <c r="F118" s="89">
        <v>9.8652837000000009</v>
      </c>
      <c r="G118" s="29">
        <f>Table223421023456789111213[[#This Row],[doug]]-Table223421023456789111213[[#This Row],[REF]]</f>
        <v>-0.20471599999999945</v>
      </c>
      <c r="H118" s="29">
        <f>Table223421023456789111213[[#This Row],[X-Y]]-E$20</f>
        <v>-0.20194063874999557</v>
      </c>
      <c r="I118" s="29">
        <f>Table223421023456789111213[[#This Row],[doug]]-E$20</f>
        <v>9.8680590612500048</v>
      </c>
      <c r="J118" s="29">
        <f>Table223421023456789111213[[#This Row],[doug]]*E$21+E$22</f>
        <v>10.113205660162064</v>
      </c>
      <c r="K118" s="56">
        <f>Table223421023456789111213[[#This Row],[Yest]]-Table223421023456789111213[[#This Row],[REF]]</f>
        <v>4.3205960162064017E-2</v>
      </c>
      <c r="L118" s="56">
        <f>ABS(Table223421023456789111213[[#This Row],[RESyx]])</f>
        <v>4.3205960162064017E-2</v>
      </c>
      <c r="M118" s="29">
        <f>Table223421023456789111213[[#This Row],[doug]]*E$25+E$26</f>
        <v>9.8920330054950938</v>
      </c>
      <c r="N118" s="29">
        <f>Table223421023456789111213[[#This Row],[X-Y]]^2</f>
        <v>4.1908640655999779E-2</v>
      </c>
      <c r="O118" s="57">
        <f>Table223421023456789111213[[#This Row],[yest_rect]]-Table223421023456789111213[[#This Row],[REF]]</f>
        <v>-0.17796669450490654</v>
      </c>
      <c r="P118" s="57">
        <f>Table223421023456789111213[[#This Row],[dif rec]]^2</f>
        <v>3.1672144353002731E-2</v>
      </c>
      <c r="Q118" s="57">
        <f>ABS(Table223421023456789111213[[#This Row],[diff-bias]])</f>
        <v>0.20194063874999557</v>
      </c>
      <c r="R118" s="57">
        <f ca="1">CELL("row",Table223421023456789111213[[#This Row],[Position]])</f>
        <v>118</v>
      </c>
      <c r="S118" s="4">
        <f>Table223421023456789111213[[#This Row],[REF]]-D$13</f>
        <v>-0.9400005500000006</v>
      </c>
      <c r="T118" s="4">
        <f>ABS(Table223421023456789111213[[#This Row],[lab-med]])</f>
        <v>0.9400005500000006</v>
      </c>
      <c r="U118" s="4">
        <f>Table223421023456789111213[[#This Row],[doug]]-F$13</f>
        <v>-1.1831598000000003</v>
      </c>
      <c r="V118" s="4">
        <f>ABS(Table223421023456789111213[[#This Row],[anl-med]])</f>
        <v>1.1831598000000003</v>
      </c>
      <c r="W118" s="4">
        <f>Table223421023456789111213[[#This Row],[lab-med]]*Table223421023456789111213[[#This Row],[anl-med]]</f>
        <v>1.112170862737891</v>
      </c>
    </row>
    <row r="119" spans="2:23" x14ac:dyDescent="0.25">
      <c r="B119" s="46">
        <f ca="1">VALUE((Table223421023456789111213[[#This Row],[Column3]]-62))</f>
        <v>57</v>
      </c>
      <c r="C119" t="s">
        <v>125</v>
      </c>
      <c r="D119">
        <v>9.9399996000000002</v>
      </c>
      <c r="E119"/>
      <c r="F119" s="89">
        <v>10.03152</v>
      </c>
      <c r="G119" s="29">
        <f>Table223421023456789111213[[#This Row],[doug]]-Table223421023456789111213[[#This Row],[REF]]</f>
        <v>9.1520400000000279E-2</v>
      </c>
      <c r="H119" s="29">
        <f>Table223421023456789111213[[#This Row],[X-Y]]-E$20</f>
        <v>9.4295761250004162E-2</v>
      </c>
      <c r="I119" s="29">
        <f>Table223421023456789111213[[#This Row],[doug]]-E$20</f>
        <v>10.034295361250004</v>
      </c>
      <c r="J119" s="29">
        <f>Table223421023456789111213[[#This Row],[doug]]*E$21+E$22</f>
        <v>10.246615376999525</v>
      </c>
      <c r="K119" s="56">
        <f>Table223421023456789111213[[#This Row],[Yest]]-Table223421023456789111213[[#This Row],[REF]]</f>
        <v>0.30661577699952502</v>
      </c>
      <c r="L119" s="56">
        <f>ABS(Table223421023456789111213[[#This Row],[RESyx]])</f>
        <v>0.30661577699952502</v>
      </c>
      <c r="M119" s="29">
        <f>Table223421023456789111213[[#This Row],[doug]]*E$25+E$26</f>
        <v>10.055059052209966</v>
      </c>
      <c r="N119" s="29">
        <f>Table223421023456789111213[[#This Row],[X-Y]]^2</f>
        <v>8.3759836161600518E-3</v>
      </c>
      <c r="O119" s="57">
        <f>Table223421023456789111213[[#This Row],[yest_rect]]-Table223421023456789111213[[#This Row],[REF]]</f>
        <v>0.11505945220996594</v>
      </c>
      <c r="P119" s="57">
        <f>Table223421023456789111213[[#This Row],[dif rec]]^2</f>
        <v>1.3238677542857437E-2</v>
      </c>
      <c r="Q119" s="57">
        <f>ABS(Table223421023456789111213[[#This Row],[diff-bias]])</f>
        <v>9.4295761250004162E-2</v>
      </c>
      <c r="R119" s="57">
        <f ca="1">CELL("row",Table223421023456789111213[[#This Row],[Position]])</f>
        <v>119</v>
      </c>
      <c r="S119" s="4">
        <f>Table223421023456789111213[[#This Row],[REF]]-D$13</f>
        <v>-1.0700006500000008</v>
      </c>
      <c r="T119" s="4">
        <f>ABS(Table223421023456789111213[[#This Row],[lab-med]])</f>
        <v>1.0700006500000008</v>
      </c>
      <c r="U119" s="4">
        <f>Table223421023456789111213[[#This Row],[doug]]-F$13</f>
        <v>-1.0169235000000008</v>
      </c>
      <c r="V119" s="4">
        <f>ABS(Table223421023456789111213[[#This Row],[anl-med]])</f>
        <v>1.0169235000000008</v>
      </c>
      <c r="W119" s="4">
        <f>Table223421023456789111213[[#This Row],[lab-med]]*Table223421023456789111213[[#This Row],[anl-med]]</f>
        <v>1.0881088060002766</v>
      </c>
    </row>
    <row r="120" spans="2:23" x14ac:dyDescent="0.25">
      <c r="B120" s="46">
        <f ca="1">VALUE((Table223421023456789111213[[#This Row],[Column3]]-62))</f>
        <v>58</v>
      </c>
      <c r="C120" t="s">
        <v>126</v>
      </c>
      <c r="D120">
        <v>10.2399998</v>
      </c>
      <c r="E120"/>
      <c r="F120" s="89">
        <v>9.7229015000000008</v>
      </c>
      <c r="G120" s="29">
        <f>Table223421023456789111213[[#This Row],[doug]]-Table223421023456789111213[[#This Row],[REF]]</f>
        <v>-0.5170982999999989</v>
      </c>
      <c r="H120" s="29">
        <f>Table223421023456789111213[[#This Row],[X-Y]]-E$20</f>
        <v>-0.51432293874999502</v>
      </c>
      <c r="I120" s="29">
        <f>Table223421023456789111213[[#This Row],[doug]]-E$20</f>
        <v>9.7256768612500046</v>
      </c>
      <c r="J120" s="29">
        <f>Table223421023456789111213[[#This Row],[doug]]*E$21+E$22</f>
        <v>9.9989395884033989</v>
      </c>
      <c r="K120" s="56">
        <f>Table223421023456789111213[[#This Row],[Yest]]-Table223421023456789111213[[#This Row],[REF]]</f>
        <v>-0.24106021159660074</v>
      </c>
      <c r="L120" s="56">
        <f>ABS(Table223421023456789111213[[#This Row],[RESyx]])</f>
        <v>0.24106021159660074</v>
      </c>
      <c r="M120" s="29">
        <f>Table223421023456789111213[[#This Row],[doug]]*E$25+E$26</f>
        <v>9.752400403057683</v>
      </c>
      <c r="N120" s="29">
        <f>Table223421023456789111213[[#This Row],[X-Y]]^2</f>
        <v>0.26739065186288885</v>
      </c>
      <c r="O120" s="57">
        <f>Table223421023456789111213[[#This Row],[yest_rect]]-Table223421023456789111213[[#This Row],[REF]]</f>
        <v>-0.48759939694231669</v>
      </c>
      <c r="P120" s="57">
        <f>Table223421023456789111213[[#This Row],[dif rec]]^2</f>
        <v>0.23775317189851092</v>
      </c>
      <c r="Q120" s="57">
        <f>ABS(Table223421023456789111213[[#This Row],[diff-bias]])</f>
        <v>0.51432293874999502</v>
      </c>
      <c r="R120" s="57">
        <f ca="1">CELL("row",Table223421023456789111213[[#This Row],[Position]])</f>
        <v>120</v>
      </c>
      <c r="S120" s="4">
        <f>Table223421023456789111213[[#This Row],[REF]]-D$13</f>
        <v>-0.77000045000000128</v>
      </c>
      <c r="T120" s="4">
        <f>ABS(Table223421023456789111213[[#This Row],[lab-med]])</f>
        <v>0.77000045000000128</v>
      </c>
      <c r="U120" s="4">
        <f>Table223421023456789111213[[#This Row],[doug]]-F$13</f>
        <v>-1.3255420000000004</v>
      </c>
      <c r="V120" s="4">
        <f>ABS(Table223421023456789111213[[#This Row],[anl-med]])</f>
        <v>1.3255420000000004</v>
      </c>
      <c r="W120" s="4">
        <f>Table223421023456789111213[[#This Row],[lab-med]]*Table223421023456789111213[[#This Row],[anl-med]]</f>
        <v>1.020667936493902</v>
      </c>
    </row>
    <row r="121" spans="2:23" x14ac:dyDescent="0.25">
      <c r="B121" s="46">
        <f ca="1">VALUE((Table223421023456789111213[[#This Row],[Column3]]-62))</f>
        <v>59</v>
      </c>
      <c r="C121" t="s">
        <v>127</v>
      </c>
      <c r="D121">
        <v>11.420000099999999</v>
      </c>
      <c r="E121"/>
      <c r="F121" s="89">
        <v>11.917802</v>
      </c>
      <c r="G121" s="29">
        <f>Table223421023456789111213[[#This Row],[doug]]-Table223421023456789111213[[#This Row],[REF]]</f>
        <v>0.49780190000000069</v>
      </c>
      <c r="H121" s="29">
        <f>Table223421023456789111213[[#This Row],[X-Y]]-E$20</f>
        <v>0.50057726125000457</v>
      </c>
      <c r="I121" s="29">
        <f>Table223421023456789111213[[#This Row],[doug]]-E$20</f>
        <v>11.920577361250004</v>
      </c>
      <c r="J121" s="29">
        <f>Table223421023456789111213[[#This Row],[doug]]*E$21+E$22</f>
        <v>11.760414393794299</v>
      </c>
      <c r="K121" s="56">
        <f>Table223421023456789111213[[#This Row],[Yest]]-Table223421023456789111213[[#This Row],[REF]]</f>
        <v>0.34041429379429999</v>
      </c>
      <c r="L121" s="56">
        <f>ABS(Table223421023456789111213[[#This Row],[RESyx]])</f>
        <v>0.34041429379429999</v>
      </c>
      <c r="M121" s="29">
        <f>Table223421023456789111213[[#This Row],[doug]]*E$25+E$26</f>
        <v>11.9049143332131</v>
      </c>
      <c r="N121" s="29">
        <f>Table223421023456789111213[[#This Row],[X-Y]]^2</f>
        <v>0.24780673164361069</v>
      </c>
      <c r="O121" s="57">
        <f>Table223421023456789111213[[#This Row],[yest_rect]]-Table223421023456789111213[[#This Row],[REF]]</f>
        <v>0.48491423321310023</v>
      </c>
      <c r="P121" s="57">
        <f>Table223421023456789111213[[#This Row],[dif rec]]^2</f>
        <v>0.23514181357264896</v>
      </c>
      <c r="Q121" s="57">
        <f>ABS(Table223421023456789111213[[#This Row],[diff-bias]])</f>
        <v>0.50057726125000457</v>
      </c>
      <c r="R121" s="57">
        <f ca="1">CELL("row",Table223421023456789111213[[#This Row],[Position]])</f>
        <v>121</v>
      </c>
      <c r="S121" s="4">
        <f>Table223421023456789111213[[#This Row],[REF]]-D$13</f>
        <v>0.40999984999999839</v>
      </c>
      <c r="T121" s="4">
        <f>ABS(Table223421023456789111213[[#This Row],[lab-med]])</f>
        <v>0.40999984999999839</v>
      </c>
      <c r="U121" s="4">
        <f>Table223421023456789111213[[#This Row],[doug]]-F$13</f>
        <v>0.86935849999999881</v>
      </c>
      <c r="V121" s="4">
        <f>ABS(Table223421023456789111213[[#This Row],[anl-med]])</f>
        <v>0.86935849999999881</v>
      </c>
      <c r="W121" s="4">
        <f>Table223421023456789111213[[#This Row],[lab-med]]*Table223421023456789111213[[#This Row],[anl-med]]</f>
        <v>0.3564368545962231</v>
      </c>
    </row>
    <row r="122" spans="2:23" x14ac:dyDescent="0.25">
      <c r="B122" s="46">
        <f ca="1">VALUE((Table223421023456789111213[[#This Row],[Column3]]-62))</f>
        <v>60</v>
      </c>
      <c r="C122" t="s">
        <v>128</v>
      </c>
      <c r="D122">
        <v>10.5</v>
      </c>
      <c r="E122"/>
      <c r="F122" s="89">
        <v>9.9951180999999991</v>
      </c>
      <c r="G122" s="29">
        <f>Table223421023456789111213[[#This Row],[doug]]-Table223421023456789111213[[#This Row],[REF]]</f>
        <v>-0.50488190000000088</v>
      </c>
      <c r="H122" s="29">
        <f>Table223421023456789111213[[#This Row],[X-Y]]-E$20</f>
        <v>-0.502106538749997</v>
      </c>
      <c r="I122" s="29">
        <f>Table223421023456789111213[[#This Row],[doug]]-E$20</f>
        <v>9.997893461250003</v>
      </c>
      <c r="J122" s="29">
        <f>Table223421023456789111213[[#This Row],[doug]]*E$21+E$22</f>
        <v>10.217401738514154</v>
      </c>
      <c r="K122" s="56">
        <f>Table223421023456789111213[[#This Row],[Yest]]-Table223421023456789111213[[#This Row],[REF]]</f>
        <v>-0.28259826148584644</v>
      </c>
      <c r="L122" s="56">
        <f>ABS(Table223421023456789111213[[#This Row],[RESyx]])</f>
        <v>0.28259826148584644</v>
      </c>
      <c r="M122" s="29">
        <f>Table223421023456789111213[[#This Row],[doug]]*E$25+E$26</f>
        <v>10.019360123336366</v>
      </c>
      <c r="N122" s="29">
        <f>Table223421023456789111213[[#This Row],[X-Y]]^2</f>
        <v>0.25490573294761087</v>
      </c>
      <c r="O122" s="57">
        <f>Table223421023456789111213[[#This Row],[yest_rect]]-Table223421023456789111213[[#This Row],[REF]]</f>
        <v>-0.48063987666363417</v>
      </c>
      <c r="P122" s="57">
        <f>Table223421023456789111213[[#This Row],[dif rec]]^2</f>
        <v>0.23101469103923347</v>
      </c>
      <c r="Q122" s="57">
        <f>ABS(Table223421023456789111213[[#This Row],[diff-bias]])</f>
        <v>0.502106538749997</v>
      </c>
      <c r="R122" s="57">
        <f ca="1">CELL("row",Table223421023456789111213[[#This Row],[Position]])</f>
        <v>122</v>
      </c>
      <c r="S122" s="4">
        <f>Table223421023456789111213[[#This Row],[REF]]-D$13</f>
        <v>-0.51000025000000093</v>
      </c>
      <c r="T122" s="4">
        <f>ABS(Table223421023456789111213[[#This Row],[lab-med]])</f>
        <v>0.51000025000000093</v>
      </c>
      <c r="U122" s="4">
        <f>Table223421023456789111213[[#This Row],[doug]]-F$13</f>
        <v>-1.0533254000000021</v>
      </c>
      <c r="V122" s="4">
        <f>ABS(Table223421023456789111213[[#This Row],[anl-med]])</f>
        <v>1.0533254000000021</v>
      </c>
      <c r="W122" s="4">
        <f>Table223421023456789111213[[#This Row],[lab-med]]*Table223421023456789111213[[#This Row],[anl-med]]</f>
        <v>0.53719621733135203</v>
      </c>
    </row>
    <row r="123" spans="2:23" x14ac:dyDescent="0.25">
      <c r="B123" s="46">
        <f ca="1">VALUE((Table223421023456789111213[[#This Row],[Column3]]-62))</f>
        <v>61</v>
      </c>
      <c r="C123" t="s">
        <v>129</v>
      </c>
      <c r="D123">
        <v>13.140000300000001</v>
      </c>
      <c r="E123"/>
      <c r="F123" s="89">
        <v>12.747372</v>
      </c>
      <c r="G123" s="29">
        <f>Table223421023456789111213[[#This Row],[doug]]-Table223421023456789111213[[#This Row],[REF]]</f>
        <v>-0.39262830000000015</v>
      </c>
      <c r="H123" s="29">
        <f>Table223421023456789111213[[#This Row],[X-Y]]-E$20</f>
        <v>-0.38985293874999627</v>
      </c>
      <c r="I123" s="29">
        <f>Table223421023456789111213[[#This Row],[doug]]-E$20</f>
        <v>12.750147361250004</v>
      </c>
      <c r="J123" s="29">
        <f>Table223421023456789111213[[#This Row],[doug]]*E$21+E$22</f>
        <v>12.426169699926913</v>
      </c>
      <c r="K123" s="56">
        <f>Table223421023456789111213[[#This Row],[Yest]]-Table223421023456789111213[[#This Row],[REF]]</f>
        <v>-0.71383060007308785</v>
      </c>
      <c r="L123" s="56">
        <f>ABS(Table223421023456789111213[[#This Row],[RESyx]])</f>
        <v>0.71383060007308785</v>
      </c>
      <c r="M123" s="29">
        <f>Table223421023456789111213[[#This Row],[doug]]*E$25+E$26</f>
        <v>12.718464187085305</v>
      </c>
      <c r="N123" s="29">
        <f>Table223421023456789111213[[#This Row],[X-Y]]^2</f>
        <v>0.15415698196089012</v>
      </c>
      <c r="O123" s="57">
        <f>Table223421023456789111213[[#This Row],[yest_rect]]-Table223421023456789111213[[#This Row],[REF]]</f>
        <v>-0.42153611291469595</v>
      </c>
      <c r="P123" s="57">
        <f>Table223421023456789111213[[#This Row],[dif rec]]^2</f>
        <v>0.17769269449123129</v>
      </c>
      <c r="Q123" s="57">
        <f>ABS(Table223421023456789111213[[#This Row],[diff-bias]])</f>
        <v>0.38985293874999627</v>
      </c>
      <c r="R123" s="57">
        <f ca="1">CELL("row",Table223421023456789111213[[#This Row],[Position]])</f>
        <v>123</v>
      </c>
      <c r="S123" s="4">
        <f>Table223421023456789111213[[#This Row],[REF]]-D$13</f>
        <v>2.1300000499999996</v>
      </c>
      <c r="T123" s="4">
        <f>ABS(Table223421023456789111213[[#This Row],[lab-med]])</f>
        <v>2.1300000499999996</v>
      </c>
      <c r="U123" s="4">
        <f>Table223421023456789111213[[#This Row],[doug]]-F$13</f>
        <v>1.6989284999999992</v>
      </c>
      <c r="V123" s="4">
        <f>ABS(Table223421023456789111213[[#This Row],[anl-med]])</f>
        <v>1.6989284999999992</v>
      </c>
      <c r="W123" s="4">
        <f>Table223421023456789111213[[#This Row],[lab-med]]*Table223421023456789111213[[#This Row],[anl-med]]</f>
        <v>3.6187177899464227</v>
      </c>
    </row>
    <row r="124" spans="2:23" x14ac:dyDescent="0.25">
      <c r="B124" s="46">
        <f ca="1">VALUE((Table223421023456789111213[[#This Row],[Column3]]-62))</f>
        <v>62</v>
      </c>
      <c r="C124" t="s">
        <v>130</v>
      </c>
      <c r="D124">
        <v>11.699999800000001</v>
      </c>
      <c r="E124"/>
      <c r="F124" s="89">
        <v>11.263916</v>
      </c>
      <c r="G124" s="29">
        <f>Table223421023456789111213[[#This Row],[doug]]-Table223421023456789111213[[#This Row],[REF]]</f>
        <v>-0.43608380000000047</v>
      </c>
      <c r="H124" s="29">
        <f>Table223421023456789111213[[#This Row],[X-Y]]-E$20</f>
        <v>-0.43330843874999658</v>
      </c>
      <c r="I124" s="29">
        <f>Table223421023456789111213[[#This Row],[doug]]-E$20</f>
        <v>11.266691361250004</v>
      </c>
      <c r="J124" s="29">
        <f>Table223421023456789111213[[#This Row],[doug]]*E$21+E$22</f>
        <v>11.235650872806522</v>
      </c>
      <c r="K124" s="56">
        <f>Table223421023456789111213[[#This Row],[Yest]]-Table223421023456789111213[[#This Row],[REF]]</f>
        <v>-0.46434892719347864</v>
      </c>
      <c r="L124" s="56">
        <f>ABS(Table223421023456789111213[[#This Row],[RESyx]])</f>
        <v>0.46434892719347864</v>
      </c>
      <c r="M124" s="29">
        <f>Table223421023456789111213[[#This Row],[doug]]*E$25+E$26</f>
        <v>11.263655777878311</v>
      </c>
      <c r="N124" s="29">
        <f>Table223421023456789111213[[#This Row],[X-Y]]^2</f>
        <v>0.1901690806224404</v>
      </c>
      <c r="O124" s="57">
        <f>Table223421023456789111213[[#This Row],[yest_rect]]-Table223421023456789111213[[#This Row],[REF]]</f>
        <v>-0.43634402212168943</v>
      </c>
      <c r="P124" s="57">
        <f>Table223421023456789111213[[#This Row],[dif rec]]^2</f>
        <v>0.19039610564133339</v>
      </c>
      <c r="Q124" s="57">
        <f>ABS(Table223421023456789111213[[#This Row],[diff-bias]])</f>
        <v>0.43330843874999658</v>
      </c>
      <c r="R124" s="57">
        <f ca="1">CELL("row",Table223421023456789111213[[#This Row],[Position]])</f>
        <v>124</v>
      </c>
      <c r="S124" s="4">
        <f>Table223421023456789111213[[#This Row],[REF]]-D$13</f>
        <v>0.68999954999999957</v>
      </c>
      <c r="T124" s="4">
        <f>ABS(Table223421023456789111213[[#This Row],[lab-med]])</f>
        <v>0.68999954999999957</v>
      </c>
      <c r="U124" s="4">
        <f>Table223421023456789111213[[#This Row],[doug]]-F$13</f>
        <v>0.21547249999999885</v>
      </c>
      <c r="V124" s="4">
        <f>ABS(Table223421023456789111213[[#This Row],[anl-med]])</f>
        <v>0.21547249999999885</v>
      </c>
      <c r="W124" s="4">
        <f>Table223421023456789111213[[#This Row],[lab-med]]*Table223421023456789111213[[#This Row],[anl-med]]</f>
        <v>0.14867592803737412</v>
      </c>
    </row>
    <row r="125" spans="2:23" x14ac:dyDescent="0.25">
      <c r="B125" s="46">
        <f ca="1">VALUE((Table223421023456789111213[[#This Row],[Column3]]-62))</f>
        <v>63</v>
      </c>
      <c r="C125" t="s">
        <v>131</v>
      </c>
      <c r="D125">
        <v>10.3800001</v>
      </c>
      <c r="E125"/>
      <c r="F125" s="89">
        <v>10.514411000000001</v>
      </c>
      <c r="G125" s="29">
        <f>Table223421023456789111213[[#This Row],[doug]]-Table223421023456789111213[[#This Row],[REF]]</f>
        <v>0.13441090000000067</v>
      </c>
      <c r="H125" s="29">
        <f>Table223421023456789111213[[#This Row],[X-Y]]-E$20</f>
        <v>0.13718626125000455</v>
      </c>
      <c r="I125" s="29">
        <f>Table223421023456789111213[[#This Row],[doug]]-E$20</f>
        <v>10.517186361250005</v>
      </c>
      <c r="J125" s="29">
        <f>Table223421023456789111213[[#This Row],[doug]]*E$21+E$22</f>
        <v>10.6341501788049</v>
      </c>
      <c r="K125" s="56">
        <f>Table223421023456789111213[[#This Row],[Yest]]-Table223421023456789111213[[#This Row],[REF]]</f>
        <v>0.25415007880489959</v>
      </c>
      <c r="L125" s="56">
        <f>ABS(Table223421023456789111213[[#This Row],[RESyx]])</f>
        <v>0.25415007880489959</v>
      </c>
      <c r="M125" s="29">
        <f>Table223421023456789111213[[#This Row],[doug]]*E$25+E$26</f>
        <v>10.528624757920397</v>
      </c>
      <c r="N125" s="29">
        <f>Table223421023456789111213[[#This Row],[X-Y]]^2</f>
        <v>1.806629003881018E-2</v>
      </c>
      <c r="O125" s="57">
        <f>Table223421023456789111213[[#This Row],[yest_rect]]-Table223421023456789111213[[#This Row],[REF]]</f>
        <v>0.14862465792039714</v>
      </c>
      <c r="P125" s="57">
        <f>Table223421023456789111213[[#This Row],[dif rec]]^2</f>
        <v>2.2089288941955068E-2</v>
      </c>
      <c r="Q125" s="57">
        <f>ABS(Table223421023456789111213[[#This Row],[diff-bias]])</f>
        <v>0.13718626125000455</v>
      </c>
      <c r="R125" s="57">
        <f ca="1">CELL("row",Table223421023456789111213[[#This Row],[Position]])</f>
        <v>125</v>
      </c>
      <c r="S125" s="4">
        <f>Table223421023456789111213[[#This Row],[REF]]-D$13</f>
        <v>-0.63000015000000076</v>
      </c>
      <c r="T125" s="4">
        <f>ABS(Table223421023456789111213[[#This Row],[lab-med]])</f>
        <v>0.63000015000000076</v>
      </c>
      <c r="U125" s="4">
        <f>Table223421023456789111213[[#This Row],[doug]]-F$13</f>
        <v>-0.53403250000000035</v>
      </c>
      <c r="V125" s="4">
        <f>ABS(Table223421023456789111213[[#This Row],[anl-med]])</f>
        <v>0.53403250000000035</v>
      </c>
      <c r="W125" s="4">
        <f>Table223421023456789111213[[#This Row],[lab-med]]*Table223421023456789111213[[#This Row],[anl-med]]</f>
        <v>0.33644055510487564</v>
      </c>
    </row>
    <row r="126" spans="2:23" x14ac:dyDescent="0.25">
      <c r="B126" s="46">
        <f ca="1">VALUE((Table223421023456789111213[[#This Row],[Column3]]-62))</f>
        <v>64</v>
      </c>
      <c r="C126" t="s">
        <v>132</v>
      </c>
      <c r="D126">
        <v>13.350000400000001</v>
      </c>
      <c r="E126"/>
      <c r="F126" s="89">
        <v>13.071164</v>
      </c>
      <c r="G126" s="29">
        <f>Table223421023456789111213[[#This Row],[doug]]-Table223421023456789111213[[#This Row],[REF]]</f>
        <v>-0.27883640000000121</v>
      </c>
      <c r="H126" s="29">
        <f>Table223421023456789111213[[#This Row],[X-Y]]-E$20</f>
        <v>-0.27606103874999732</v>
      </c>
      <c r="I126" s="29">
        <f>Table223421023456789111213[[#This Row],[doug]]-E$20</f>
        <v>13.073939361250003</v>
      </c>
      <c r="J126" s="29">
        <f>Table223421023456789111213[[#This Row],[doug]]*E$21+E$22</f>
        <v>12.686022686514292</v>
      </c>
      <c r="K126" s="56">
        <f>Table223421023456789111213[[#This Row],[Yest]]-Table223421023456789111213[[#This Row],[REF]]</f>
        <v>-0.66397771348570878</v>
      </c>
      <c r="L126" s="56">
        <f>ABS(Table223421023456789111213[[#This Row],[RESyx]])</f>
        <v>0.66397771348570878</v>
      </c>
      <c r="M126" s="29">
        <f>Table223421023456789111213[[#This Row],[doug]]*E$25+E$26</f>
        <v>13.03600331492863</v>
      </c>
      <c r="N126" s="29">
        <f>Table223421023456789111213[[#This Row],[X-Y]]^2</f>
        <v>7.7749737964960666E-2</v>
      </c>
      <c r="O126" s="57">
        <f>Table223421023456789111213[[#This Row],[yest_rect]]-Table223421023456789111213[[#This Row],[REF]]</f>
        <v>-0.31399708507137092</v>
      </c>
      <c r="P126" s="57">
        <f>Table223421023456789111213[[#This Row],[dif rec]]^2</f>
        <v>9.8594169433317752E-2</v>
      </c>
      <c r="Q126" s="57">
        <f>ABS(Table223421023456789111213[[#This Row],[diff-bias]])</f>
        <v>0.27606103874999732</v>
      </c>
      <c r="R126" s="57">
        <f ca="1">CELL("row",Table223421023456789111213[[#This Row],[Position]])</f>
        <v>126</v>
      </c>
      <c r="S126" s="4">
        <f>Table223421023456789111213[[#This Row],[REF]]-D$13</f>
        <v>2.3400001499999998</v>
      </c>
      <c r="T126" s="4">
        <f>ABS(Table223421023456789111213[[#This Row],[lab-med]])</f>
        <v>2.3400001499999998</v>
      </c>
      <c r="U126" s="4">
        <f>Table223421023456789111213[[#This Row],[doug]]-F$13</f>
        <v>2.0227204999999984</v>
      </c>
      <c r="V126" s="4">
        <f>ABS(Table223421023456789111213[[#This Row],[anl-med]])</f>
        <v>2.0227204999999984</v>
      </c>
      <c r="W126" s="4">
        <f>Table223421023456789111213[[#This Row],[lab-med]]*Table223421023456789111213[[#This Row],[anl-med]]</f>
        <v>4.7331662734080711</v>
      </c>
    </row>
    <row r="127" spans="2:23" x14ac:dyDescent="0.25">
      <c r="B127" s="46">
        <f ca="1">VALUE((Table223421023456789111213[[#This Row],[Column3]]-62))</f>
        <v>65</v>
      </c>
      <c r="C127" t="s">
        <v>133</v>
      </c>
      <c r="D127">
        <v>12.6599998</v>
      </c>
      <c r="E127"/>
      <c r="F127" s="89">
        <v>13.095594</v>
      </c>
      <c r="G127" s="29">
        <f>Table223421023456789111213[[#This Row],[doug]]-Table223421023456789111213[[#This Row],[REF]]</f>
        <v>0.4355942000000006</v>
      </c>
      <c r="H127" s="29">
        <f>Table223421023456789111213[[#This Row],[X-Y]]-E$20</f>
        <v>0.43836956125000448</v>
      </c>
      <c r="I127" s="29">
        <f>Table223421023456789111213[[#This Row],[doug]]-E$20</f>
        <v>13.098369361250004</v>
      </c>
      <c r="J127" s="29">
        <f>Table223421023456789111213[[#This Row],[doug]]*E$21+E$22</f>
        <v>12.705628508963054</v>
      </c>
      <c r="K127" s="56">
        <f>Table223421023456789111213[[#This Row],[Yest]]-Table223421023456789111213[[#This Row],[REF]]</f>
        <v>4.5628708963054265E-2</v>
      </c>
      <c r="L127" s="56">
        <f>ABS(Table223421023456789111213[[#This Row],[RESyx]])</f>
        <v>4.5628708963054265E-2</v>
      </c>
      <c r="M127" s="29">
        <f>Table223421023456789111213[[#This Row],[doug]]*E$25+E$26</f>
        <v>13.059961537779142</v>
      </c>
      <c r="N127" s="29">
        <f>Table223421023456789111213[[#This Row],[X-Y]]^2</f>
        <v>0.18974230707364051</v>
      </c>
      <c r="O127" s="57">
        <f>Table223421023456789111213[[#This Row],[yest_rect]]-Table223421023456789111213[[#This Row],[REF]]</f>
        <v>0.39996173777914201</v>
      </c>
      <c r="P127" s="57">
        <f>Table223421023456789111213[[#This Row],[dif rec]]^2</f>
        <v>0.15996939168731117</v>
      </c>
      <c r="Q127" s="57">
        <f>ABS(Table223421023456789111213[[#This Row],[diff-bias]])</f>
        <v>0.43836956125000448</v>
      </c>
      <c r="R127" s="57">
        <f ca="1">CELL("row",Table223421023456789111213[[#This Row],[Position]])</f>
        <v>127</v>
      </c>
      <c r="S127" s="4">
        <f>Table223421023456789111213[[#This Row],[REF]]-D$13</f>
        <v>1.6499995499999986</v>
      </c>
      <c r="T127" s="4">
        <f>ABS(Table223421023456789111213[[#This Row],[lab-med]])</f>
        <v>1.6499995499999986</v>
      </c>
      <c r="U127" s="4">
        <f>Table223421023456789111213[[#This Row],[doug]]-F$13</f>
        <v>2.047150499999999</v>
      </c>
      <c r="V127" s="4">
        <f>ABS(Table223421023456789111213[[#This Row],[anl-med]])</f>
        <v>2.047150499999999</v>
      </c>
      <c r="W127" s="4">
        <f>Table223421023456789111213[[#This Row],[lab-med]]*Table223421023456789111213[[#This Row],[anl-med]]</f>
        <v>3.3777974037822704</v>
      </c>
    </row>
    <row r="128" spans="2:23" x14ac:dyDescent="0.25">
      <c r="B128" s="46">
        <f ca="1">VALUE((Table223421023456789111213[[#This Row],[Column3]]-62))</f>
        <v>66</v>
      </c>
      <c r="C128" t="s">
        <v>134</v>
      </c>
      <c r="D128">
        <v>11.9899998</v>
      </c>
      <c r="E128"/>
      <c r="F128" s="89">
        <v>12.569417</v>
      </c>
      <c r="G128" s="29">
        <f>Table223421023456789111213[[#This Row],[doug]]-Table223421023456789111213[[#This Row],[REF]]</f>
        <v>0.57941719999999997</v>
      </c>
      <c r="H128" s="29">
        <f>Table223421023456789111213[[#This Row],[X-Y]]-E$20</f>
        <v>0.58219256125000385</v>
      </c>
      <c r="I128" s="29">
        <f>Table223421023456789111213[[#This Row],[doug]]-E$20</f>
        <v>12.572192361250004</v>
      </c>
      <c r="J128" s="29">
        <f>Table223421023456789111213[[#This Row],[doug]]*E$21+E$22</f>
        <v>12.283355367799631</v>
      </c>
      <c r="K128" s="56">
        <f>Table223421023456789111213[[#This Row],[Yest]]-Table223421023456789111213[[#This Row],[REF]]</f>
        <v>0.29335556779963134</v>
      </c>
      <c r="L128" s="56">
        <f>ABS(Table223421023456789111213[[#This Row],[RESyx]])</f>
        <v>0.29335556779963134</v>
      </c>
      <c r="M128" s="29">
        <f>Table223421023456789111213[[#This Row],[doug]]*E$25+E$26</f>
        <v>12.543945744704518</v>
      </c>
      <c r="N128" s="29">
        <f>Table223421023456789111213[[#This Row],[X-Y]]^2</f>
        <v>0.33572429165583995</v>
      </c>
      <c r="O128" s="57">
        <f>Table223421023456789111213[[#This Row],[yest_rect]]-Table223421023456789111213[[#This Row],[REF]]</f>
        <v>0.55394594470451786</v>
      </c>
      <c r="P128" s="57">
        <f>Table223421023456789111213[[#This Row],[dif rec]]^2</f>
        <v>0.30685610965458077</v>
      </c>
      <c r="Q128" s="57">
        <f>ABS(Table223421023456789111213[[#This Row],[diff-bias]])</f>
        <v>0.58219256125000385</v>
      </c>
      <c r="R128" s="57">
        <f ca="1">CELL("row",Table223421023456789111213[[#This Row],[Position]])</f>
        <v>128</v>
      </c>
      <c r="S128" s="4">
        <f>Table223421023456789111213[[#This Row],[REF]]-D$13</f>
        <v>0.97999954999999872</v>
      </c>
      <c r="T128" s="4">
        <f>ABS(Table223421023456789111213[[#This Row],[lab-med]])</f>
        <v>0.97999954999999872</v>
      </c>
      <c r="U128" s="4">
        <f>Table223421023456789111213[[#This Row],[doug]]-F$13</f>
        <v>1.5209734999999984</v>
      </c>
      <c r="V128" s="4">
        <f>ABS(Table223421023456789111213[[#This Row],[anl-med]])</f>
        <v>1.5209734999999984</v>
      </c>
      <c r="W128" s="4">
        <f>Table223421023456789111213[[#This Row],[lab-med]]*Table223421023456789111213[[#This Row],[anl-med]]</f>
        <v>1.4905533455619215</v>
      </c>
    </row>
    <row r="129" spans="2:23" x14ac:dyDescent="0.25">
      <c r="B129" s="46">
        <f ca="1">VALUE((Table223421023456789111213[[#This Row],[Column3]]-62))</f>
        <v>67</v>
      </c>
      <c r="C129" t="s">
        <v>135</v>
      </c>
      <c r="D129">
        <v>12</v>
      </c>
      <c r="E129"/>
      <c r="F129" s="89">
        <v>11.524317</v>
      </c>
      <c r="G129" s="29">
        <f>Table223421023456789111213[[#This Row],[doug]]-Table223421023456789111213[[#This Row],[REF]]</f>
        <v>-0.47568300000000008</v>
      </c>
      <c r="H129" s="29">
        <f>Table223421023456789111213[[#This Row],[X-Y]]-E$20</f>
        <v>-0.4729076387499962</v>
      </c>
      <c r="I129" s="29">
        <f>Table223421023456789111213[[#This Row],[doug]]-E$20</f>
        <v>11.527092361250004</v>
      </c>
      <c r="J129" s="29">
        <f>Table223421023456789111213[[#This Row],[doug]]*E$21+E$22</f>
        <v>11.444630642412749</v>
      </c>
      <c r="K129" s="56">
        <f>Table223421023456789111213[[#This Row],[Yest]]-Table223421023456789111213[[#This Row],[REF]]</f>
        <v>-0.55536935758725114</v>
      </c>
      <c r="L129" s="56">
        <f>ABS(Table223421023456789111213[[#This Row],[RESyx]])</f>
        <v>0.55536935758725114</v>
      </c>
      <c r="M129" s="29">
        <f>Table223421023456789111213[[#This Row],[doug]]*E$25+E$26</f>
        <v>11.519028073764343</v>
      </c>
      <c r="N129" s="29">
        <f>Table223421023456789111213[[#This Row],[X-Y]]^2</f>
        <v>0.22627431648900007</v>
      </c>
      <c r="O129" s="57">
        <f>Table223421023456789111213[[#This Row],[yest_rect]]-Table223421023456789111213[[#This Row],[REF]]</f>
        <v>-0.48097192623565732</v>
      </c>
      <c r="P129" s="57">
        <f>Table223421023456789111213[[#This Row],[dif rec]]^2</f>
        <v>0.23133399382683859</v>
      </c>
      <c r="Q129" s="57">
        <f>ABS(Table223421023456789111213[[#This Row],[diff-bias]])</f>
        <v>0.4729076387499962</v>
      </c>
      <c r="R129" s="57">
        <f ca="1">CELL("row",Table223421023456789111213[[#This Row],[Position]])</f>
        <v>129</v>
      </c>
      <c r="S129" s="4">
        <f>Table223421023456789111213[[#This Row],[REF]]-D$13</f>
        <v>0.98999974999999907</v>
      </c>
      <c r="T129" s="4">
        <f>ABS(Table223421023456789111213[[#This Row],[lab-med]])</f>
        <v>0.98999974999999907</v>
      </c>
      <c r="U129" s="4">
        <f>Table223421023456789111213[[#This Row],[doug]]-F$13</f>
        <v>0.47587349999999873</v>
      </c>
      <c r="V129" s="4">
        <f>ABS(Table223421023456789111213[[#This Row],[anl-med]])</f>
        <v>0.47587349999999873</v>
      </c>
      <c r="W129" s="4">
        <f>Table223421023456789111213[[#This Row],[lab-med]]*Table223421023456789111213[[#This Row],[anl-med]]</f>
        <v>0.47111464603162329</v>
      </c>
    </row>
    <row r="130" spans="2:23" x14ac:dyDescent="0.25">
      <c r="B130" s="46">
        <f ca="1">VALUE((Table223421023456789111213[[#This Row],[Column3]]-62))</f>
        <v>68</v>
      </c>
      <c r="C130" t="s">
        <v>136</v>
      </c>
      <c r="D130">
        <v>12</v>
      </c>
      <c r="E130"/>
      <c r="F130" s="89">
        <v>11.064543</v>
      </c>
      <c r="G130" s="29">
        <f>Table223421023456789111213[[#This Row],[doug]]-Table223421023456789111213[[#This Row],[REF]]</f>
        <v>-0.93545699999999954</v>
      </c>
      <c r="H130" s="29">
        <f>Table223421023456789111213[[#This Row],[X-Y]]-E$20</f>
        <v>-0.93268163874999566</v>
      </c>
      <c r="I130" s="29">
        <f>Table223421023456789111213[[#This Row],[doug]]-E$20</f>
        <v>11.067318361250004</v>
      </c>
      <c r="J130" s="29">
        <f>Table223421023456789111213[[#This Row],[doug]]*E$21+E$22</f>
        <v>11.07564794038421</v>
      </c>
      <c r="K130" s="56">
        <f>Table223421023456789111213[[#This Row],[Yest]]-Table223421023456789111213[[#This Row],[REF]]</f>
        <v>-0.92435205961579037</v>
      </c>
      <c r="L130" s="56">
        <f>ABS(Table223421023456789111213[[#This Row],[RESyx]])</f>
        <v>0.92435205961579037</v>
      </c>
      <c r="M130" s="29">
        <f>Table223421023456789111213[[#This Row],[doug]]*E$25+E$26</f>
        <v>11.068132946753677</v>
      </c>
      <c r="N130" s="29">
        <f>Table223421023456789111213[[#This Row],[X-Y]]^2</f>
        <v>0.87507979884899911</v>
      </c>
      <c r="O130" s="57">
        <f>Table223421023456789111213[[#This Row],[yest_rect]]-Table223421023456789111213[[#This Row],[REF]]</f>
        <v>-0.93186705324632335</v>
      </c>
      <c r="P130" s="57">
        <f>Table223421023456789111213[[#This Row],[dif rec]]^2</f>
        <v>0.86837620492598599</v>
      </c>
      <c r="Q130" s="57">
        <f>ABS(Table223421023456789111213[[#This Row],[diff-bias]])</f>
        <v>0.93268163874999566</v>
      </c>
      <c r="R130" s="57">
        <f ca="1">CELL("row",Table223421023456789111213[[#This Row],[Position]])</f>
        <v>130</v>
      </c>
      <c r="S130" s="4">
        <f>Table223421023456789111213[[#This Row],[REF]]-D$13</f>
        <v>0.98999974999999907</v>
      </c>
      <c r="T130" s="4">
        <f>ABS(Table223421023456789111213[[#This Row],[lab-med]])</f>
        <v>0.98999974999999907</v>
      </c>
      <c r="U130" s="4">
        <f>Table223421023456789111213[[#This Row],[doug]]-F$13</f>
        <v>1.6099499999999267E-2</v>
      </c>
      <c r="V130" s="4">
        <f>ABS(Table223421023456789111213[[#This Row],[anl-med]])</f>
        <v>1.6099499999999267E-2</v>
      </c>
      <c r="W130" s="4">
        <f>Table223421023456789111213[[#This Row],[lab-med]]*Table223421023456789111213[[#This Row],[anl-med]]</f>
        <v>1.593850097512426E-2</v>
      </c>
    </row>
    <row r="131" spans="2:23" x14ac:dyDescent="0.25">
      <c r="B131" s="46">
        <f ca="1">VALUE((Table223421023456789111213[[#This Row],[Column3]]-62))</f>
        <v>69</v>
      </c>
      <c r="C131" t="s">
        <v>137</v>
      </c>
      <c r="D131">
        <v>13.1599998</v>
      </c>
      <c r="E131"/>
      <c r="F131" s="89">
        <v>12.979231</v>
      </c>
      <c r="G131" s="29">
        <f>Table223421023456789111213[[#This Row],[doug]]-Table223421023456789111213[[#This Row],[REF]]</f>
        <v>-0.18076879999999917</v>
      </c>
      <c r="H131" s="29">
        <f>Table223421023456789111213[[#This Row],[X-Y]]-E$20</f>
        <v>-0.17799343874999529</v>
      </c>
      <c r="I131" s="29">
        <f>Table223421023456789111213[[#This Row],[doug]]-E$20</f>
        <v>12.982006361250004</v>
      </c>
      <c r="J131" s="29">
        <f>Table223421023456789111213[[#This Row],[doug]]*E$21+E$22</f>
        <v>12.612243641275565</v>
      </c>
      <c r="K131" s="56">
        <f>Table223421023456789111213[[#This Row],[Yest]]-Table223421023456789111213[[#This Row],[REF]]</f>
        <v>-0.54775615872443417</v>
      </c>
      <c r="L131" s="56">
        <f>ABS(Table223421023456789111213[[#This Row],[RESyx]])</f>
        <v>0.54775615872443417</v>
      </c>
      <c r="M131" s="29">
        <f>Table223421023456789111213[[#This Row],[doug]]*E$25+E$26</f>
        <v>12.945845668538292</v>
      </c>
      <c r="N131" s="29">
        <f>Table223421023456789111213[[#This Row],[X-Y]]^2</f>
        <v>3.26773590534397E-2</v>
      </c>
      <c r="O131" s="57">
        <f>Table223421023456789111213[[#This Row],[yest_rect]]-Table223421023456789111213[[#This Row],[REF]]</f>
        <v>-0.21415413146170792</v>
      </c>
      <c r="P131" s="57">
        <f>Table223421023456789111213[[#This Row],[dif rec]]^2</f>
        <v>4.5861992022118478E-2</v>
      </c>
      <c r="Q131" s="57">
        <f>ABS(Table223421023456789111213[[#This Row],[diff-bias]])</f>
        <v>0.17799343874999529</v>
      </c>
      <c r="R131" s="57">
        <f ca="1">CELL("row",Table223421023456789111213[[#This Row],[Position]])</f>
        <v>131</v>
      </c>
      <c r="S131" s="4">
        <f>Table223421023456789111213[[#This Row],[REF]]-D$13</f>
        <v>2.1499995499999986</v>
      </c>
      <c r="T131" s="4">
        <f>ABS(Table223421023456789111213[[#This Row],[lab-med]])</f>
        <v>2.1499995499999986</v>
      </c>
      <c r="U131" s="4">
        <f>Table223421023456789111213[[#This Row],[doug]]-F$13</f>
        <v>1.9307874999999992</v>
      </c>
      <c r="V131" s="4">
        <f>ABS(Table223421023456789111213[[#This Row],[anl-med]])</f>
        <v>1.9307874999999992</v>
      </c>
      <c r="W131" s="4">
        <f>Table223421023456789111213[[#This Row],[lab-med]]*Table223421023456789111213[[#This Row],[anl-med]]</f>
        <v>4.1511922561456203</v>
      </c>
    </row>
    <row r="132" spans="2:23" x14ac:dyDescent="0.25">
      <c r="B132" s="46">
        <f ca="1">VALUE((Table223421023456789111213[[#This Row],[Column3]]-62))</f>
        <v>70</v>
      </c>
      <c r="C132" t="s">
        <v>138</v>
      </c>
      <c r="D132">
        <v>12.170000099999999</v>
      </c>
      <c r="E132"/>
      <c r="F132" s="89">
        <v>10.349714000000001</v>
      </c>
      <c r="G132" s="29">
        <f>Table223421023456789111213[[#This Row],[doug]]-Table223421023456789111213[[#This Row],[REF]]</f>
        <v>-1.8202860999999988</v>
      </c>
      <c r="H132" s="29">
        <f>Table223421023456789111213[[#This Row],[X-Y]]-E$20</f>
        <v>-1.8175107387499949</v>
      </c>
      <c r="I132" s="29">
        <f>Table223421023456789111213[[#This Row],[doug]]-E$20</f>
        <v>10.352489361250004</v>
      </c>
      <c r="J132" s="29">
        <f>Table223421023456789111213[[#This Row],[doug]]*E$21+E$22</f>
        <v>10.501975797313134</v>
      </c>
      <c r="K132" s="56">
        <f>Table223421023456789111213[[#This Row],[Yest]]-Table223421023456789111213[[#This Row],[REF]]</f>
        <v>-1.6680243026868649</v>
      </c>
      <c r="L132" s="56">
        <f>ABS(Table223421023456789111213[[#This Row],[RESyx]])</f>
        <v>1.6680243026868649</v>
      </c>
      <c r="M132" s="29">
        <f>Table223421023456789111213[[#This Row],[doug]]*E$25+E$26</f>
        <v>10.367108285189717</v>
      </c>
      <c r="N132" s="29">
        <f>Table223421023456789111213[[#This Row],[X-Y]]^2</f>
        <v>3.3134414858532057</v>
      </c>
      <c r="O132" s="57">
        <f>Table223421023456789111213[[#This Row],[yest_rect]]-Table223421023456789111213[[#This Row],[REF]]</f>
        <v>-1.8028918148102822</v>
      </c>
      <c r="P132" s="57">
        <f>Table223421023456789111213[[#This Row],[dif rec]]^2</f>
        <v>3.2504188959099127</v>
      </c>
      <c r="Q132" s="57">
        <f>ABS(Table223421023456789111213[[#This Row],[diff-bias]])</f>
        <v>1.8175107387499949</v>
      </c>
      <c r="R132" s="57">
        <f ca="1">CELL("row",Table223421023456789111213[[#This Row],[Position]])</f>
        <v>132</v>
      </c>
      <c r="S132" s="4">
        <f>Table223421023456789111213[[#This Row],[REF]]-D$13</f>
        <v>1.1599998499999984</v>
      </c>
      <c r="T132" s="4">
        <f>ABS(Table223421023456789111213[[#This Row],[lab-med]])</f>
        <v>1.1599998499999984</v>
      </c>
      <c r="U132" s="4">
        <f>Table223421023456789111213[[#This Row],[doug]]-F$13</f>
        <v>-0.69872950000000067</v>
      </c>
      <c r="V132" s="4">
        <f>ABS(Table223421023456789111213[[#This Row],[anl-med]])</f>
        <v>0.69872950000000067</v>
      </c>
      <c r="W132" s="4">
        <f>Table223421023456789111213[[#This Row],[lab-med]]*Table223421023456789111213[[#This Row],[anl-med]]</f>
        <v>-0.8105261151905746</v>
      </c>
    </row>
    <row r="133" spans="2:23" x14ac:dyDescent="0.25">
      <c r="B133" s="46">
        <f ca="1">VALUE((Table223421023456789111213[[#This Row],[Column3]]-62))</f>
        <v>71</v>
      </c>
      <c r="C133" t="s">
        <v>139</v>
      </c>
      <c r="D133">
        <v>10.970000300000001</v>
      </c>
      <c r="E133"/>
      <c r="F133" s="89">
        <v>11.493994000000001</v>
      </c>
      <c r="G133" s="29">
        <f>Table223421023456789111213[[#This Row],[doug]]-Table223421023456789111213[[#This Row],[REF]]</f>
        <v>0.52399370000000012</v>
      </c>
      <c r="H133" s="29">
        <f>Table223421023456789111213[[#This Row],[X-Y]]-E$20</f>
        <v>0.526769061250004</v>
      </c>
      <c r="I133" s="29">
        <f>Table223421023456789111213[[#This Row],[doug]]-E$20</f>
        <v>11.496769361250005</v>
      </c>
      <c r="J133" s="29">
        <f>Table223421023456789111213[[#This Row],[doug]]*E$21+E$22</f>
        <v>11.420295507164537</v>
      </c>
      <c r="K133" s="56">
        <f>Table223421023456789111213[[#This Row],[Yest]]-Table223421023456789111213[[#This Row],[REF]]</f>
        <v>0.45029520716453675</v>
      </c>
      <c r="L133" s="56">
        <f>ABS(Table223421023456789111213[[#This Row],[RESyx]])</f>
        <v>0.45029520716453675</v>
      </c>
      <c r="M133" s="29">
        <f>Table223421023456789111213[[#This Row],[doug]]*E$25+E$26</f>
        <v>11.489290652909</v>
      </c>
      <c r="N133" s="29">
        <f>Table223421023456789111213[[#This Row],[X-Y]]^2</f>
        <v>0.27456939763969013</v>
      </c>
      <c r="O133" s="57">
        <f>Table223421023456789111213[[#This Row],[yest_rect]]-Table223421023456789111213[[#This Row],[REF]]</f>
        <v>0.51929035290899961</v>
      </c>
      <c r="P133" s="57">
        <f>Table223421023456789111213[[#This Row],[dif rec]]^2</f>
        <v>0.26966247062435333</v>
      </c>
      <c r="Q133" s="57">
        <f>ABS(Table223421023456789111213[[#This Row],[diff-bias]])</f>
        <v>0.526769061250004</v>
      </c>
      <c r="R133" s="57">
        <f ca="1">CELL("row",Table223421023456789111213[[#This Row],[Position]])</f>
        <v>133</v>
      </c>
      <c r="S133" s="4">
        <f>Table223421023456789111213[[#This Row],[REF]]-D$13</f>
        <v>-3.9999950000000339E-2</v>
      </c>
      <c r="T133" s="4">
        <f>ABS(Table223421023456789111213[[#This Row],[lab-med]])</f>
        <v>3.9999950000000339E-2</v>
      </c>
      <c r="U133" s="4">
        <f>Table223421023456789111213[[#This Row],[doug]]-F$13</f>
        <v>0.44555049999999952</v>
      </c>
      <c r="V133" s="4">
        <f>ABS(Table223421023456789111213[[#This Row],[anl-med]])</f>
        <v>0.44555049999999952</v>
      </c>
      <c r="W133" s="4">
        <f>Table223421023456789111213[[#This Row],[lab-med]]*Table223421023456789111213[[#This Row],[anl-med]]</f>
        <v>-1.7821997722475131E-2</v>
      </c>
    </row>
    <row r="134" spans="2:23" x14ac:dyDescent="0.25">
      <c r="B134" s="46">
        <f ca="1">VALUE((Table223421023456789111213[[#This Row],[Column3]]-62))</f>
        <v>72</v>
      </c>
      <c r="C134" t="s">
        <v>140</v>
      </c>
      <c r="D134">
        <v>12.2600002</v>
      </c>
      <c r="E134"/>
      <c r="F134" s="89">
        <v>12.053884999999999</v>
      </c>
      <c r="G134" s="29">
        <f>Table223421023456789111213[[#This Row],[doug]]-Table223421023456789111213[[#This Row],[REF]]</f>
        <v>-0.20611520000000105</v>
      </c>
      <c r="H134" s="29">
        <f>Table223421023456789111213[[#This Row],[X-Y]]-E$20</f>
        <v>-0.20333983874999717</v>
      </c>
      <c r="I134" s="29">
        <f>Table223421023456789111213[[#This Row],[doug]]-E$20</f>
        <v>12.056660361250003</v>
      </c>
      <c r="J134" s="29">
        <f>Table223421023456789111213[[#This Row],[doug]]*E$21+E$22</f>
        <v>11.869625164825608</v>
      </c>
      <c r="K134" s="56">
        <f>Table223421023456789111213[[#This Row],[Yest]]-Table223421023456789111213[[#This Row],[REF]]</f>
        <v>-0.39037503517439198</v>
      </c>
      <c r="L134" s="56">
        <f>ABS(Table223421023456789111213[[#This Row],[RESyx]])</f>
        <v>0.39037503517439198</v>
      </c>
      <c r="M134" s="29">
        <f>Table223421023456789111213[[#This Row],[doug]]*E$25+E$26</f>
        <v>12.038369381930496</v>
      </c>
      <c r="N134" s="29">
        <f>Table223421023456789111213[[#This Row],[X-Y]]^2</f>
        <v>4.2483475671040431E-2</v>
      </c>
      <c r="O134" s="57">
        <f>Table223421023456789111213[[#This Row],[yest_rect]]-Table223421023456789111213[[#This Row],[REF]]</f>
        <v>-0.2216308180695048</v>
      </c>
      <c r="P134" s="57">
        <f>Table223421023456789111213[[#This Row],[dif rec]]^2</f>
        <v>4.9120219518157933E-2</v>
      </c>
      <c r="Q134" s="57">
        <f>ABS(Table223421023456789111213[[#This Row],[diff-bias]])</f>
        <v>0.20333983874999717</v>
      </c>
      <c r="R134" s="57">
        <f ca="1">CELL("row",Table223421023456789111213[[#This Row],[Position]])</f>
        <v>134</v>
      </c>
      <c r="S134" s="4">
        <f>Table223421023456789111213[[#This Row],[REF]]-D$13</f>
        <v>1.2499999499999994</v>
      </c>
      <c r="T134" s="4">
        <f>ABS(Table223421023456789111213[[#This Row],[lab-med]])</f>
        <v>1.2499999499999994</v>
      </c>
      <c r="U134" s="4">
        <f>Table223421023456789111213[[#This Row],[doug]]-F$13</f>
        <v>1.0054414999999981</v>
      </c>
      <c r="V134" s="4">
        <f>ABS(Table223421023456789111213[[#This Row],[anl-med]])</f>
        <v>1.0054414999999981</v>
      </c>
      <c r="W134" s="4">
        <f>Table223421023456789111213[[#This Row],[lab-med]]*Table223421023456789111213[[#This Row],[anl-med]]</f>
        <v>1.256801824727922</v>
      </c>
    </row>
    <row r="135" spans="2:23" x14ac:dyDescent="0.25">
      <c r="B135" s="46">
        <f ca="1">VALUE((Table223421023456789111213[[#This Row],[Column3]]-62))</f>
        <v>73</v>
      </c>
      <c r="C135" t="s">
        <v>141</v>
      </c>
      <c r="D135">
        <v>13.029999699999999</v>
      </c>
      <c r="E135"/>
      <c r="F135" s="89">
        <v>12.965482</v>
      </c>
      <c r="G135" s="29">
        <f>Table223421023456789111213[[#This Row],[doug]]-Table223421023456789111213[[#This Row],[REF]]</f>
        <v>-6.4517699999999678E-2</v>
      </c>
      <c r="H135" s="29">
        <f>Table223421023456789111213[[#This Row],[X-Y]]-E$20</f>
        <v>-6.1742338749995795E-2</v>
      </c>
      <c r="I135" s="29">
        <f>Table223421023456789111213[[#This Row],[doug]]-E$20</f>
        <v>12.968257361250004</v>
      </c>
      <c r="J135" s="29">
        <f>Table223421023456789111213[[#This Row],[doug]]*E$21+E$22</f>
        <v>12.601209648117644</v>
      </c>
      <c r="K135" s="56">
        <f>Table223421023456789111213[[#This Row],[Yest]]-Table223421023456789111213[[#This Row],[REF]]</f>
        <v>-0.42879005188235553</v>
      </c>
      <c r="L135" s="56">
        <f>ABS(Table223421023456789111213[[#This Row],[RESyx]])</f>
        <v>0.42879005188235553</v>
      </c>
      <c r="M135" s="29">
        <f>Table223421023456789111213[[#This Row],[doug]]*E$25+E$26</f>
        <v>12.932362180778501</v>
      </c>
      <c r="N135" s="29">
        <f>Table223421023456789111213[[#This Row],[X-Y]]^2</f>
        <v>4.1625336132899583E-3</v>
      </c>
      <c r="O135" s="57">
        <f>Table223421023456789111213[[#This Row],[yest_rect]]-Table223421023456789111213[[#This Row],[REF]]</f>
        <v>-9.7637519221498437E-2</v>
      </c>
      <c r="P135" s="57">
        <f>Table223421023456789111213[[#This Row],[dif rec]]^2</f>
        <v>9.5330851597284771E-3</v>
      </c>
      <c r="Q135" s="57">
        <f>ABS(Table223421023456789111213[[#This Row],[diff-bias]])</f>
        <v>6.1742338749995795E-2</v>
      </c>
      <c r="R135" s="57">
        <f ca="1">CELL("row",Table223421023456789111213[[#This Row],[Position]])</f>
        <v>135</v>
      </c>
      <c r="S135" s="4">
        <f>Table223421023456789111213[[#This Row],[REF]]-D$13</f>
        <v>2.0199994499999985</v>
      </c>
      <c r="T135" s="4">
        <f>ABS(Table223421023456789111213[[#This Row],[lab-med]])</f>
        <v>2.0199994499999985</v>
      </c>
      <c r="U135" s="4">
        <f>Table223421023456789111213[[#This Row],[doug]]-F$13</f>
        <v>1.9170384999999985</v>
      </c>
      <c r="V135" s="4">
        <f>ABS(Table223421023456789111213[[#This Row],[anl-med]])</f>
        <v>1.9170384999999985</v>
      </c>
      <c r="W135" s="4">
        <f>Table223421023456789111213[[#This Row],[lab-med]]*Table223421023456789111213[[#This Row],[anl-med]]</f>
        <v>3.8724167156288192</v>
      </c>
    </row>
    <row r="136" spans="2:23" x14ac:dyDescent="0.25">
      <c r="B136" s="46">
        <f ca="1">VALUE((Table223421023456789111213[[#This Row],[Column3]]-62))</f>
        <v>74</v>
      </c>
      <c r="C136" t="s">
        <v>142</v>
      </c>
      <c r="D136">
        <v>12.359999699999999</v>
      </c>
      <c r="E136"/>
      <c r="F136" s="89">
        <v>12.648023</v>
      </c>
      <c r="G136" s="29">
        <f>Table223421023456789111213[[#This Row],[doug]]-Table223421023456789111213[[#This Row],[REF]]</f>
        <v>0.28802330000000076</v>
      </c>
      <c r="H136" s="29">
        <f>Table223421023456789111213[[#This Row],[X-Y]]-E$20</f>
        <v>0.29079866125000464</v>
      </c>
      <c r="I136" s="29">
        <f>Table223421023456789111213[[#This Row],[doug]]-E$20</f>
        <v>12.650798361250004</v>
      </c>
      <c r="J136" s="29">
        <f>Table223421023456789111213[[#This Row],[doug]]*E$21+E$22</f>
        <v>12.346439087791747</v>
      </c>
      <c r="K136" s="56">
        <f>Table223421023456789111213[[#This Row],[Yest]]-Table223421023456789111213[[#This Row],[REF]]</f>
        <v>-1.356061220825211E-2</v>
      </c>
      <c r="L136" s="56">
        <f>ABS(Table223421023456789111213[[#This Row],[RESyx]])</f>
        <v>1.356061220825211E-2</v>
      </c>
      <c r="M136" s="29">
        <f>Table223421023456789111213[[#This Row],[doug]]*E$25+E$26</f>
        <v>12.621033753930357</v>
      </c>
      <c r="N136" s="29">
        <f>Table223421023456789111213[[#This Row],[X-Y]]^2</f>
        <v>8.2957421342890442E-2</v>
      </c>
      <c r="O136" s="57">
        <f>Table223421023456789111213[[#This Row],[yest_rect]]-Table223421023456789111213[[#This Row],[REF]]</f>
        <v>0.2610340539303575</v>
      </c>
      <c r="P136" s="57">
        <f>Table223421023456789111213[[#This Row],[dif rec]]^2</f>
        <v>6.8138777311316789E-2</v>
      </c>
      <c r="Q136" s="57">
        <f>ABS(Table223421023456789111213[[#This Row],[diff-bias]])</f>
        <v>0.29079866125000464</v>
      </c>
      <c r="R136" s="57">
        <f ca="1">CELL("row",Table223421023456789111213[[#This Row],[Position]])</f>
        <v>136</v>
      </c>
      <c r="S136" s="4">
        <f>Table223421023456789111213[[#This Row],[REF]]-D$13</f>
        <v>1.3499994499999985</v>
      </c>
      <c r="T136" s="4">
        <f>ABS(Table223421023456789111213[[#This Row],[lab-med]])</f>
        <v>1.3499994499999985</v>
      </c>
      <c r="U136" s="4">
        <f>Table223421023456789111213[[#This Row],[doug]]-F$13</f>
        <v>1.599579499999999</v>
      </c>
      <c r="V136" s="4">
        <f>ABS(Table223421023456789111213[[#This Row],[anl-med]])</f>
        <v>1.599579499999999</v>
      </c>
      <c r="W136" s="4">
        <f>Table223421023456789111213[[#This Row],[lab-med]]*Table223421023456789111213[[#This Row],[anl-med]]</f>
        <v>2.1594314452312715</v>
      </c>
    </row>
    <row r="137" spans="2:23" x14ac:dyDescent="0.25">
      <c r="B137" s="46">
        <f ca="1">VALUE((Table223421023456789111213[[#This Row],[Column3]]-62))</f>
        <v>75</v>
      </c>
      <c r="C137" t="s">
        <v>143</v>
      </c>
      <c r="D137">
        <v>12.399999599999999</v>
      </c>
      <c r="E137"/>
      <c r="F137" s="89">
        <v>12.186525</v>
      </c>
      <c r="G137" s="29">
        <f>Table223421023456789111213[[#This Row],[doug]]-Table223421023456789111213[[#This Row],[REF]]</f>
        <v>-0.21347459999999963</v>
      </c>
      <c r="H137" s="29">
        <f>Table223421023456789111213[[#This Row],[X-Y]]-E$20</f>
        <v>-0.21069923874999574</v>
      </c>
      <c r="I137" s="29">
        <f>Table223421023456789111213[[#This Row],[doug]]-E$20</f>
        <v>12.189300361250003</v>
      </c>
      <c r="J137" s="29">
        <f>Table223421023456789111213[[#This Row],[doug]]*E$21+E$22</f>
        <v>11.976072823016516</v>
      </c>
      <c r="K137" s="56">
        <f>Table223421023456789111213[[#This Row],[Yest]]-Table223421023456789111213[[#This Row],[REF]]</f>
        <v>-0.42392677698348358</v>
      </c>
      <c r="L137" s="56">
        <f>ABS(Table223421023456789111213[[#This Row],[RESyx]])</f>
        <v>0.42392677698348358</v>
      </c>
      <c r="M137" s="29">
        <f>Table223421023456789111213[[#This Row],[doug]]*E$25+E$26</f>
        <v>12.168447919748413</v>
      </c>
      <c r="N137" s="29">
        <f>Table223421023456789111213[[#This Row],[X-Y]]^2</f>
        <v>4.5571404845159841E-2</v>
      </c>
      <c r="O137" s="57">
        <f>Table223421023456789111213[[#This Row],[yest_rect]]-Table223421023456789111213[[#This Row],[REF]]</f>
        <v>-0.23155168025158623</v>
      </c>
      <c r="P137" s="57">
        <f>Table223421023456789111213[[#This Row],[dif rec]]^2</f>
        <v>5.3616180627332831E-2</v>
      </c>
      <c r="Q137" s="57">
        <f>ABS(Table223421023456789111213[[#This Row],[diff-bias]])</f>
        <v>0.21069923874999574</v>
      </c>
      <c r="R137" s="57">
        <f ca="1">CELL("row",Table223421023456789111213[[#This Row],[Position]])</f>
        <v>137</v>
      </c>
      <c r="S137" s="4">
        <f>Table223421023456789111213[[#This Row],[REF]]-D$13</f>
        <v>1.3899993499999983</v>
      </c>
      <c r="T137" s="4">
        <f>ABS(Table223421023456789111213[[#This Row],[lab-med]])</f>
        <v>1.3899993499999983</v>
      </c>
      <c r="U137" s="4">
        <f>Table223421023456789111213[[#This Row],[doug]]-F$13</f>
        <v>1.1380814999999984</v>
      </c>
      <c r="V137" s="4">
        <f>ABS(Table223421023456789111213[[#This Row],[anl-med]])</f>
        <v>1.1380814999999984</v>
      </c>
      <c r="W137" s="4">
        <f>Table223421023456789111213[[#This Row],[lab-med]]*Table223421023456789111213[[#This Row],[anl-med]]</f>
        <v>1.5819325452470208</v>
      </c>
    </row>
    <row r="138" spans="2:23" x14ac:dyDescent="0.25">
      <c r="B138" s="46">
        <f ca="1">VALUE((Table223421023456789111213[[#This Row],[Column3]]-62))</f>
        <v>76</v>
      </c>
      <c r="C138" t="s">
        <v>144</v>
      </c>
      <c r="D138">
        <v>12.5</v>
      </c>
      <c r="E138"/>
      <c r="F138" s="89">
        <v>11.449725000000001</v>
      </c>
      <c r="G138" s="29">
        <f>Table223421023456789111213[[#This Row],[doug]]-Table223421023456789111213[[#This Row],[REF]]</f>
        <v>-1.0502749999999992</v>
      </c>
      <c r="H138" s="29">
        <f>Table223421023456789111213[[#This Row],[X-Y]]-E$20</f>
        <v>-1.0474996387499953</v>
      </c>
      <c r="I138" s="29">
        <f>Table223421023456789111213[[#This Row],[doug]]-E$20</f>
        <v>11.452500361250005</v>
      </c>
      <c r="J138" s="29">
        <f>Table223421023456789111213[[#This Row],[doug]]*E$21+E$22</f>
        <v>11.384768280231086</v>
      </c>
      <c r="K138" s="56">
        <f>Table223421023456789111213[[#This Row],[Yest]]-Table223421023456789111213[[#This Row],[REF]]</f>
        <v>-1.1152317197689143</v>
      </c>
      <c r="L138" s="56">
        <f>ABS(Table223421023456789111213[[#This Row],[RESyx]])</f>
        <v>1.1152317197689143</v>
      </c>
      <c r="M138" s="29">
        <f>Table223421023456789111213[[#This Row],[doug]]*E$25+E$26</f>
        <v>11.445876548636825</v>
      </c>
      <c r="N138" s="29">
        <f>Table223421023456789111213[[#This Row],[X-Y]]^2</f>
        <v>1.1030775756249982</v>
      </c>
      <c r="O138" s="57">
        <f>Table223421023456789111213[[#This Row],[yest_rect]]-Table223421023456789111213[[#This Row],[REF]]</f>
        <v>-1.054123451363175</v>
      </c>
      <c r="P138" s="57">
        <f>Table223421023456789111213[[#This Row],[dif rec]]^2</f>
        <v>1.1111762507138119</v>
      </c>
      <c r="Q138" s="57">
        <f>ABS(Table223421023456789111213[[#This Row],[diff-bias]])</f>
        <v>1.0474996387499953</v>
      </c>
      <c r="R138" s="57">
        <f ca="1">CELL("row",Table223421023456789111213[[#This Row],[Position]])</f>
        <v>138</v>
      </c>
      <c r="S138" s="4">
        <f>Table223421023456789111213[[#This Row],[REF]]-D$13</f>
        <v>1.4899997499999991</v>
      </c>
      <c r="T138" s="4">
        <f>ABS(Table223421023456789111213[[#This Row],[lab-med]])</f>
        <v>1.4899997499999991</v>
      </c>
      <c r="U138" s="4">
        <f>Table223421023456789111213[[#This Row],[doug]]-F$13</f>
        <v>0.40128149999999962</v>
      </c>
      <c r="V138" s="4">
        <f>ABS(Table223421023456789111213[[#This Row],[anl-med]])</f>
        <v>0.40128149999999962</v>
      </c>
      <c r="W138" s="4">
        <f>Table223421023456789111213[[#This Row],[lab-med]]*Table223421023456789111213[[#This Row],[anl-med]]</f>
        <v>0.59790933467962404</v>
      </c>
    </row>
    <row r="139" spans="2:23" x14ac:dyDescent="0.25">
      <c r="B139" s="46">
        <f ca="1">VALUE((Table223421023456789111213[[#This Row],[Column3]]-62))</f>
        <v>77</v>
      </c>
      <c r="C139" t="s">
        <v>145</v>
      </c>
      <c r="D139">
        <v>12.600000400000001</v>
      </c>
      <c r="E139"/>
      <c r="F139" s="89">
        <v>11.508879</v>
      </c>
      <c r="G139" s="29">
        <f>Table223421023456789111213[[#This Row],[doug]]-Table223421023456789111213[[#This Row],[REF]]</f>
        <v>-1.0911214000000005</v>
      </c>
      <c r="H139" s="29">
        <f>Table223421023456789111213[[#This Row],[X-Y]]-E$20</f>
        <v>-1.0883460387499966</v>
      </c>
      <c r="I139" s="29">
        <f>Table223421023456789111213[[#This Row],[doug]]-E$20</f>
        <v>11.511654361250004</v>
      </c>
      <c r="J139" s="29">
        <f>Table223421023456789111213[[#This Row],[doug]]*E$21+E$22</f>
        <v>11.43224117507898</v>
      </c>
      <c r="K139" s="56">
        <f>Table223421023456789111213[[#This Row],[Yest]]-Table223421023456789111213[[#This Row],[REF]]</f>
        <v>-1.1677592249210207</v>
      </c>
      <c r="L139" s="56">
        <f>ABS(Table223421023456789111213[[#This Row],[RESyx]])</f>
        <v>1.1677592249210207</v>
      </c>
      <c r="M139" s="29">
        <f>Table223421023456789111213[[#This Row],[doug]]*E$25+E$26</f>
        <v>11.503888202934782</v>
      </c>
      <c r="N139" s="29">
        <f>Table223421023456789111213[[#This Row],[X-Y]]^2</f>
        <v>1.1905459095379609</v>
      </c>
      <c r="O139" s="57">
        <f>Table223421023456789111213[[#This Row],[yest_rect]]-Table223421023456789111213[[#This Row],[REF]]</f>
        <v>-1.096112197065219</v>
      </c>
      <c r="P139" s="57">
        <f>Table223421023456789111213[[#This Row],[dif rec]]^2</f>
        <v>1.2014619485551414</v>
      </c>
      <c r="Q139" s="57">
        <f>ABS(Table223421023456789111213[[#This Row],[diff-bias]])</f>
        <v>1.0883460387499966</v>
      </c>
      <c r="R139" s="57">
        <f ca="1">CELL("row",Table223421023456789111213[[#This Row],[Position]])</f>
        <v>139</v>
      </c>
      <c r="S139" s="4">
        <f>Table223421023456789111213[[#This Row],[REF]]-D$13</f>
        <v>1.5900001499999998</v>
      </c>
      <c r="T139" s="4">
        <f>ABS(Table223421023456789111213[[#This Row],[lab-med]])</f>
        <v>1.5900001499999998</v>
      </c>
      <c r="U139" s="4">
        <f>Table223421023456789111213[[#This Row],[doug]]-F$13</f>
        <v>0.46043549999999911</v>
      </c>
      <c r="V139" s="4">
        <f>ABS(Table223421023456789111213[[#This Row],[anl-med]])</f>
        <v>0.46043549999999911</v>
      </c>
      <c r="W139" s="4">
        <f>Table223421023456789111213[[#This Row],[lab-med]]*Table223421023456789111213[[#This Row],[anl-med]]</f>
        <v>0.7320925140653235</v>
      </c>
    </row>
    <row r="140" spans="2:23" x14ac:dyDescent="0.25">
      <c r="B140" s="46">
        <f ca="1">VALUE((Table223421023456789111213[[#This Row],[Column3]]-62))</f>
        <v>78</v>
      </c>
      <c r="C140" t="s">
        <v>146</v>
      </c>
      <c r="D140">
        <v>12.670000099999999</v>
      </c>
      <c r="E140"/>
      <c r="F140" s="89">
        <v>13.076029999999999</v>
      </c>
      <c r="G140" s="29">
        <f>Table223421023456789111213[[#This Row],[doug]]-Table223421023456789111213[[#This Row],[REF]]</f>
        <v>0.40602990000000005</v>
      </c>
      <c r="H140" s="29">
        <f>Table223421023456789111213[[#This Row],[X-Y]]-E$20</f>
        <v>0.40880526125000394</v>
      </c>
      <c r="I140" s="29">
        <f>Table223421023456789111213[[#This Row],[doug]]-E$20</f>
        <v>13.078805361250003</v>
      </c>
      <c r="J140" s="29">
        <f>Table223421023456789111213[[#This Row],[doug]]*E$21+E$22</f>
        <v>12.689927800392132</v>
      </c>
      <c r="K140" s="56">
        <f>Table223421023456789111213[[#This Row],[Yest]]-Table223421023456789111213[[#This Row],[REF]]</f>
        <v>1.9927700392132763E-2</v>
      </c>
      <c r="L140" s="56">
        <f>ABS(Table223421023456789111213[[#This Row],[RESyx]])</f>
        <v>1.9927700392132763E-2</v>
      </c>
      <c r="M140" s="29">
        <f>Table223421023456789111213[[#This Row],[doug]]*E$25+E$26</f>
        <v>13.040775345726443</v>
      </c>
      <c r="N140" s="29">
        <f>Table223421023456789111213[[#This Row],[X-Y]]^2</f>
        <v>0.16486027969401004</v>
      </c>
      <c r="O140" s="57">
        <f>Table223421023456789111213[[#This Row],[yest_rect]]-Table223421023456789111213[[#This Row],[REF]]</f>
        <v>0.37077524572644371</v>
      </c>
      <c r="P140" s="57">
        <f>Table223421023456789111213[[#This Row],[dif rec]]^2</f>
        <v>0.13747428284350471</v>
      </c>
      <c r="Q140" s="57">
        <f>ABS(Table223421023456789111213[[#This Row],[diff-bias]])</f>
        <v>0.40880526125000394</v>
      </c>
      <c r="R140" s="57">
        <f ca="1">CELL("row",Table223421023456789111213[[#This Row],[Position]])</f>
        <v>140</v>
      </c>
      <c r="S140" s="4">
        <f>Table223421023456789111213[[#This Row],[REF]]-D$13</f>
        <v>1.6599998499999984</v>
      </c>
      <c r="T140" s="4">
        <f>ABS(Table223421023456789111213[[#This Row],[lab-med]])</f>
        <v>1.6599998499999984</v>
      </c>
      <c r="U140" s="4">
        <f>Table223421023456789111213[[#This Row],[doug]]-F$13</f>
        <v>2.0275864999999982</v>
      </c>
      <c r="V140" s="4">
        <f>ABS(Table223421023456789111213[[#This Row],[anl-med]])</f>
        <v>2.0275864999999982</v>
      </c>
      <c r="W140" s="4">
        <f>Table223421023456789111213[[#This Row],[lab-med]]*Table223421023456789111213[[#This Row],[anl-med]]</f>
        <v>3.3657932858620185</v>
      </c>
    </row>
    <row r="141" spans="2:23" x14ac:dyDescent="0.25">
      <c r="B141" s="46">
        <f ca="1">VALUE((Table223421023456789111213[[#This Row],[Column3]]-62))</f>
        <v>79</v>
      </c>
      <c r="C141" t="s">
        <v>147</v>
      </c>
      <c r="D141">
        <v>12.699999800000001</v>
      </c>
      <c r="E141"/>
      <c r="F141" s="89">
        <v>11.962852</v>
      </c>
      <c r="G141" s="29">
        <f>Table223421023456789111213[[#This Row],[doug]]-Table223421023456789111213[[#This Row],[REF]]</f>
        <v>-0.73714780000000069</v>
      </c>
      <c r="H141" s="29">
        <f>Table223421023456789111213[[#This Row],[X-Y]]-E$20</f>
        <v>-0.7343724387499968</v>
      </c>
      <c r="I141" s="29">
        <f>Table223421023456789111213[[#This Row],[doug]]-E$20</f>
        <v>11.965627361250004</v>
      </c>
      <c r="J141" s="29">
        <f>Table223421023456789111213[[#This Row],[doug]]*E$21+E$22</f>
        <v>11.79656839712286</v>
      </c>
      <c r="K141" s="56">
        <f>Table223421023456789111213[[#This Row],[Yest]]-Table223421023456789111213[[#This Row],[REF]]</f>
        <v>-0.90343140287714085</v>
      </c>
      <c r="L141" s="56">
        <f>ABS(Table223421023456789111213[[#This Row],[RESyx]])</f>
        <v>0.90343140287714085</v>
      </c>
      <c r="M141" s="29">
        <f>Table223421023456789111213[[#This Row],[doug]]*E$25+E$26</f>
        <v>11.949094355293143</v>
      </c>
      <c r="N141" s="29">
        <f>Table223421023456789111213[[#This Row],[X-Y]]^2</f>
        <v>0.54338687904484106</v>
      </c>
      <c r="O141" s="57">
        <f>Table223421023456789111213[[#This Row],[yest_rect]]-Table223421023456789111213[[#This Row],[REF]]</f>
        <v>-0.75090544470685749</v>
      </c>
      <c r="P141" s="57">
        <f>Table223421023456789111213[[#This Row],[dif rec]]^2</f>
        <v>0.56385898689040337</v>
      </c>
      <c r="Q141" s="57">
        <f>ABS(Table223421023456789111213[[#This Row],[diff-bias]])</f>
        <v>0.7343724387499968</v>
      </c>
      <c r="R141" s="57">
        <f ca="1">CELL("row",Table223421023456789111213[[#This Row],[Position]])</f>
        <v>141</v>
      </c>
      <c r="S141" s="4">
        <f>Table223421023456789111213[[#This Row],[REF]]-D$13</f>
        <v>1.6899995499999996</v>
      </c>
      <c r="T141" s="4">
        <f>ABS(Table223421023456789111213[[#This Row],[lab-med]])</f>
        <v>1.6899995499999996</v>
      </c>
      <c r="U141" s="4">
        <f>Table223421023456789111213[[#This Row],[doug]]-F$13</f>
        <v>0.91440849999999863</v>
      </c>
      <c r="V141" s="4">
        <f>ABS(Table223421023456789111213[[#This Row],[anl-med]])</f>
        <v>0.91440849999999863</v>
      </c>
      <c r="W141" s="4">
        <f>Table223421023456789111213[[#This Row],[lab-med]]*Table223421023456789111213[[#This Row],[anl-med]]</f>
        <v>1.5453499535161723</v>
      </c>
    </row>
    <row r="142" spans="2:23" x14ac:dyDescent="0.25">
      <c r="B142" s="46">
        <f ca="1">VALUE((Table223421023456789111213[[#This Row],[Column3]]-62))</f>
        <v>80</v>
      </c>
      <c r="C142" t="s">
        <v>148</v>
      </c>
      <c r="D142">
        <v>14.4300003</v>
      </c>
      <c r="E142"/>
      <c r="F142" s="89">
        <v>14.519897</v>
      </c>
      <c r="G142" s="29">
        <f>Table223421023456789111213[[#This Row],[doug]]-Table223421023456789111213[[#This Row],[REF]]</f>
        <v>8.9896700000000607E-2</v>
      </c>
      <c r="H142" s="29">
        <f>Table223421023456789111213[[#This Row],[X-Y]]-E$20</f>
        <v>9.2672061250004489E-2</v>
      </c>
      <c r="I142" s="29">
        <f>Table223421023456789111213[[#This Row],[doug]]-E$20</f>
        <v>14.522672361250004</v>
      </c>
      <c r="J142" s="29">
        <f>Table223421023456789111213[[#This Row],[doug]]*E$21+E$22</f>
        <v>13.848675243766147</v>
      </c>
      <c r="K142" s="56">
        <f>Table223421023456789111213[[#This Row],[Yest]]-Table223421023456789111213[[#This Row],[REF]]</f>
        <v>-0.58132505623385278</v>
      </c>
      <c r="L142" s="56">
        <f>ABS(Table223421023456789111213[[#This Row],[RESyx]])</f>
        <v>0.58132505623385278</v>
      </c>
      <c r="M142" s="29">
        <f>Table223421023456789111213[[#This Row],[doug]]*E$25+E$26</f>
        <v>14.456759273376791</v>
      </c>
      <c r="N142" s="29">
        <f>Table223421023456789111213[[#This Row],[X-Y]]^2</f>
        <v>8.0814166708901083E-3</v>
      </c>
      <c r="O142" s="57">
        <f>Table223421023456789111213[[#This Row],[yest_rect]]-Table223421023456789111213[[#This Row],[REF]]</f>
        <v>2.6758973376791673E-2</v>
      </c>
      <c r="P142" s="57">
        <f>Table223421023456789111213[[#This Row],[dif rec]]^2</f>
        <v>7.1604265617984555E-4</v>
      </c>
      <c r="Q142" s="57">
        <f>ABS(Table223421023456789111213[[#This Row],[diff-bias]])</f>
        <v>9.2672061250004489E-2</v>
      </c>
      <c r="R142" s="57">
        <f ca="1">CELL("row",Table223421023456789111213[[#This Row],[Position]])</f>
        <v>142</v>
      </c>
      <c r="S142" s="4">
        <f>Table223421023456789111213[[#This Row],[REF]]-D$13</f>
        <v>3.4200000499999987</v>
      </c>
      <c r="T142" s="4">
        <f>ABS(Table223421023456789111213[[#This Row],[lab-med]])</f>
        <v>3.4200000499999987</v>
      </c>
      <c r="U142" s="4">
        <f>Table223421023456789111213[[#This Row],[doug]]-F$13</f>
        <v>3.4714534999999991</v>
      </c>
      <c r="V142" s="4">
        <f>ABS(Table223421023456789111213[[#This Row],[anl-med]])</f>
        <v>3.4714534999999991</v>
      </c>
      <c r="W142" s="4">
        <f>Table223421023456789111213[[#This Row],[lab-med]]*Table223421023456789111213[[#This Row],[anl-med]]</f>
        <v>11.872371143572668</v>
      </c>
    </row>
  </sheetData>
  <mergeCells count="1">
    <mergeCell ref="C3:K3"/>
  </mergeCells>
  <conditionalFormatting sqref="F63:F142">
    <cfRule type="expression" dxfId="29" priority="2" stopIfTrue="1">
      <formula>ABS(F63-#REF!)/#REF!&gt;3</formula>
    </cfRule>
  </conditionalFormatting>
  <conditionalFormatting sqref="D68:D72">
    <cfRule type="expression" dxfId="28" priority="1" stopIfTrue="1">
      <formula>ABS(D68-#REF!)/#REF!&gt;3</formula>
    </cfRule>
  </conditionalFormatting>
  <pageMargins left="0.75" right="0.75" top="1" bottom="1" header="0.5" footer="0.5"/>
  <pageSetup paperSize="9" scale="65" orientation="portrait" r:id="rId1"/>
  <headerFooter alignWithMargins="0">
    <oddHeader>&amp;A</oddHeader>
    <oddFooter>&amp;F</oddFooter>
  </headerFooter>
  <rowBreaks count="1" manualBreakCount="1">
    <brk id="58" max="16383" man="1"/>
  </rowBreaks>
  <drawing r:id="rId2"/>
  <legacyDrawing r:id="rId3"/>
  <tableParts count="1">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4EBB2-F7C4-47E5-92FF-3CFDC63F53B7}">
  <dimension ref="A1:A80"/>
  <sheetViews>
    <sheetView tabSelected="1" workbookViewId="0">
      <selection activeCell="B1" sqref="B1"/>
    </sheetView>
  </sheetViews>
  <sheetFormatPr defaultRowHeight="13.2" x14ac:dyDescent="0.25"/>
  <sheetData>
    <row r="1" spans="1:1" x14ac:dyDescent="0.25">
      <c r="A1">
        <v>9.9399996000000002</v>
      </c>
    </row>
    <row r="2" spans="1:1" x14ac:dyDescent="0.25">
      <c r="A2">
        <v>10.0200005</v>
      </c>
    </row>
    <row r="3" spans="1:1" x14ac:dyDescent="0.25">
      <c r="A3">
        <v>10</v>
      </c>
    </row>
    <row r="4" spans="1:1" x14ac:dyDescent="0.25">
      <c r="A4">
        <v>10.5</v>
      </c>
    </row>
    <row r="5" spans="1:1" x14ac:dyDescent="0.25">
      <c r="A5">
        <v>10.779999699999999</v>
      </c>
    </row>
    <row r="6" spans="1:1" x14ac:dyDescent="0.25">
      <c r="A6">
        <v>10.449999800000001</v>
      </c>
    </row>
    <row r="7" spans="1:1" x14ac:dyDescent="0.25">
      <c r="A7">
        <v>11.0200005</v>
      </c>
    </row>
    <row r="8" spans="1:1" x14ac:dyDescent="0.25">
      <c r="A8">
        <v>10.800000199999999</v>
      </c>
    </row>
    <row r="9" spans="1:1" x14ac:dyDescent="0.25">
      <c r="A9">
        <v>10.8800001</v>
      </c>
    </row>
    <row r="10" spans="1:1" x14ac:dyDescent="0.25">
      <c r="A10">
        <v>11.0600004</v>
      </c>
    </row>
    <row r="11" spans="1:1" x14ac:dyDescent="0.25">
      <c r="A11">
        <v>11.0900002</v>
      </c>
    </row>
    <row r="12" spans="1:1" x14ac:dyDescent="0.25">
      <c r="A12">
        <v>11.6199999</v>
      </c>
    </row>
    <row r="13" spans="1:1" x14ac:dyDescent="0.25">
      <c r="A13">
        <v>9.9600000000000009</v>
      </c>
    </row>
    <row r="14" spans="1:1" x14ac:dyDescent="0.25">
      <c r="A14">
        <v>9.5</v>
      </c>
    </row>
    <row r="15" spans="1:1" x14ac:dyDescent="0.25">
      <c r="A15">
        <v>9.9899997999999997</v>
      </c>
    </row>
    <row r="16" spans="1:1" x14ac:dyDescent="0.25">
      <c r="A16">
        <v>10.0100002</v>
      </c>
    </row>
    <row r="17" spans="1:1" x14ac:dyDescent="0.25">
      <c r="A17">
        <v>9.8299999000000007</v>
      </c>
    </row>
    <row r="18" spans="1:1" x14ac:dyDescent="0.25">
      <c r="A18">
        <v>9.5699997000000003</v>
      </c>
    </row>
    <row r="19" spans="1:1" x14ac:dyDescent="0.25">
      <c r="A19">
        <v>9.9200000999999993</v>
      </c>
    </row>
    <row r="20" spans="1:1" x14ac:dyDescent="0.25">
      <c r="A20">
        <v>11.670000099999999</v>
      </c>
    </row>
    <row r="21" spans="1:1" x14ac:dyDescent="0.25">
      <c r="A21">
        <v>11.5</v>
      </c>
    </row>
    <row r="22" spans="1:1" x14ac:dyDescent="0.25">
      <c r="A22">
        <v>11.3699999</v>
      </c>
    </row>
    <row r="23" spans="1:1" x14ac:dyDescent="0.25">
      <c r="A23">
        <v>11.5900002</v>
      </c>
    </row>
    <row r="24" spans="1:1" x14ac:dyDescent="0.25">
      <c r="A24">
        <v>9.8800001000000002</v>
      </c>
    </row>
    <row r="25" spans="1:1" x14ac:dyDescent="0.25">
      <c r="A25">
        <v>11.8400002</v>
      </c>
    </row>
    <row r="26" spans="1:1" x14ac:dyDescent="0.25">
      <c r="A26">
        <v>10</v>
      </c>
    </row>
    <row r="27" spans="1:1" x14ac:dyDescent="0.25">
      <c r="A27">
        <v>10.100000400000001</v>
      </c>
    </row>
    <row r="28" spans="1:1" x14ac:dyDescent="0.25">
      <c r="A28">
        <v>11.399999599999999</v>
      </c>
    </row>
    <row r="29" spans="1:1" x14ac:dyDescent="0.25">
      <c r="A29">
        <v>10.279999699999999</v>
      </c>
    </row>
    <row r="30" spans="1:1" x14ac:dyDescent="0.25">
      <c r="A30">
        <v>12.21</v>
      </c>
    </row>
    <row r="31" spans="1:1" x14ac:dyDescent="0.25">
      <c r="A31">
        <v>11.9399996</v>
      </c>
    </row>
    <row r="32" spans="1:1" x14ac:dyDescent="0.25">
      <c r="A32">
        <v>10.3699999</v>
      </c>
    </row>
    <row r="33" spans="1:1" x14ac:dyDescent="0.25">
      <c r="A33">
        <v>10.3800001</v>
      </c>
    </row>
    <row r="34" spans="1:1" x14ac:dyDescent="0.25">
      <c r="A34">
        <v>9.8800001000000002</v>
      </c>
    </row>
    <row r="35" spans="1:1" x14ac:dyDescent="0.25">
      <c r="A35">
        <v>12.079999900000001</v>
      </c>
    </row>
    <row r="36" spans="1:1" x14ac:dyDescent="0.25">
      <c r="A36">
        <v>9.0799999000000007</v>
      </c>
    </row>
    <row r="37" spans="1:1" x14ac:dyDescent="0.25">
      <c r="A37">
        <v>10.800000199999999</v>
      </c>
    </row>
    <row r="38" spans="1:1" x14ac:dyDescent="0.25">
      <c r="A38">
        <v>9.3599996999999995</v>
      </c>
    </row>
    <row r="39" spans="1:1" x14ac:dyDescent="0.25">
      <c r="A39">
        <v>12.449999800000001</v>
      </c>
    </row>
    <row r="40" spans="1:1" x14ac:dyDescent="0.25">
      <c r="A40">
        <v>10.920000099999999</v>
      </c>
    </row>
    <row r="41" spans="1:1" x14ac:dyDescent="0.25">
      <c r="A41">
        <v>10.949999800000001</v>
      </c>
    </row>
    <row r="42" spans="1:1" x14ac:dyDescent="0.25">
      <c r="A42">
        <v>10.9899998</v>
      </c>
    </row>
    <row r="43" spans="1:1" x14ac:dyDescent="0.25">
      <c r="A43">
        <v>11</v>
      </c>
    </row>
    <row r="44" spans="1:1" x14ac:dyDescent="0.25">
      <c r="A44">
        <v>9.9700003000000006</v>
      </c>
    </row>
    <row r="45" spans="1:1" x14ac:dyDescent="0.25">
      <c r="A45">
        <v>12.899999599999999</v>
      </c>
    </row>
    <row r="46" spans="1:1" x14ac:dyDescent="0.25">
      <c r="A46">
        <v>10.529999699999999</v>
      </c>
    </row>
    <row r="47" spans="1:1" x14ac:dyDescent="0.25">
      <c r="A47">
        <v>11.0600004</v>
      </c>
    </row>
    <row r="48" spans="1:1" x14ac:dyDescent="0.25">
      <c r="A48">
        <v>9.1000004000000008</v>
      </c>
    </row>
    <row r="49" spans="1:1" x14ac:dyDescent="0.25">
      <c r="A49">
        <v>8.9700003000000006</v>
      </c>
    </row>
    <row r="50" spans="1:1" x14ac:dyDescent="0.25">
      <c r="A50">
        <v>11.1199999</v>
      </c>
    </row>
    <row r="51" spans="1:1" x14ac:dyDescent="0.25">
      <c r="A51">
        <v>9.2299994999999999</v>
      </c>
    </row>
    <row r="52" spans="1:1" x14ac:dyDescent="0.25">
      <c r="A52">
        <v>11.2299995</v>
      </c>
    </row>
    <row r="53" spans="1:1" x14ac:dyDescent="0.25">
      <c r="A53">
        <v>11.2299995</v>
      </c>
    </row>
    <row r="54" spans="1:1" x14ac:dyDescent="0.25">
      <c r="A54">
        <v>11.2399998</v>
      </c>
    </row>
    <row r="55" spans="1:1" x14ac:dyDescent="0.25">
      <c r="A55">
        <v>12.5600004</v>
      </c>
    </row>
    <row r="56" spans="1:1" x14ac:dyDescent="0.25">
      <c r="A56">
        <v>10.0699997</v>
      </c>
    </row>
    <row r="57" spans="1:1" x14ac:dyDescent="0.25">
      <c r="A57">
        <v>9.9399996000000002</v>
      </c>
    </row>
    <row r="58" spans="1:1" x14ac:dyDescent="0.25">
      <c r="A58">
        <v>10.2399998</v>
      </c>
    </row>
    <row r="59" spans="1:1" x14ac:dyDescent="0.25">
      <c r="A59">
        <v>11.420000099999999</v>
      </c>
    </row>
    <row r="60" spans="1:1" x14ac:dyDescent="0.25">
      <c r="A60">
        <v>10.5</v>
      </c>
    </row>
    <row r="61" spans="1:1" x14ac:dyDescent="0.25">
      <c r="A61">
        <v>13.140000300000001</v>
      </c>
    </row>
    <row r="62" spans="1:1" x14ac:dyDescent="0.25">
      <c r="A62">
        <v>11.699999800000001</v>
      </c>
    </row>
    <row r="63" spans="1:1" x14ac:dyDescent="0.25">
      <c r="A63">
        <v>10.3800001</v>
      </c>
    </row>
    <row r="64" spans="1:1" x14ac:dyDescent="0.25">
      <c r="A64">
        <v>13.350000400000001</v>
      </c>
    </row>
    <row r="65" spans="1:1" x14ac:dyDescent="0.25">
      <c r="A65">
        <v>12.6599998</v>
      </c>
    </row>
    <row r="66" spans="1:1" x14ac:dyDescent="0.25">
      <c r="A66">
        <v>11.9899998</v>
      </c>
    </row>
    <row r="67" spans="1:1" x14ac:dyDescent="0.25">
      <c r="A67">
        <v>12</v>
      </c>
    </row>
    <row r="68" spans="1:1" x14ac:dyDescent="0.25">
      <c r="A68">
        <v>12</v>
      </c>
    </row>
    <row r="69" spans="1:1" x14ac:dyDescent="0.25">
      <c r="A69">
        <v>13.1599998</v>
      </c>
    </row>
    <row r="70" spans="1:1" x14ac:dyDescent="0.25">
      <c r="A70">
        <v>12.170000099999999</v>
      </c>
    </row>
    <row r="71" spans="1:1" x14ac:dyDescent="0.25">
      <c r="A71">
        <v>10.970000300000001</v>
      </c>
    </row>
    <row r="72" spans="1:1" x14ac:dyDescent="0.25">
      <c r="A72">
        <v>12.2600002</v>
      </c>
    </row>
    <row r="73" spans="1:1" x14ac:dyDescent="0.25">
      <c r="A73">
        <v>13.029999699999999</v>
      </c>
    </row>
    <row r="74" spans="1:1" x14ac:dyDescent="0.25">
      <c r="A74">
        <v>12.359999699999999</v>
      </c>
    </row>
    <row r="75" spans="1:1" x14ac:dyDescent="0.25">
      <c r="A75">
        <v>12.399999599999999</v>
      </c>
    </row>
    <row r="76" spans="1:1" x14ac:dyDescent="0.25">
      <c r="A76">
        <v>12.5</v>
      </c>
    </row>
    <row r="77" spans="1:1" x14ac:dyDescent="0.25">
      <c r="A77">
        <v>12.600000400000001</v>
      </c>
    </row>
    <row r="78" spans="1:1" x14ac:dyDescent="0.25">
      <c r="A78">
        <v>12.670000099999999</v>
      </c>
    </row>
    <row r="79" spans="1:1" x14ac:dyDescent="0.25">
      <c r="A79">
        <v>12.699999800000001</v>
      </c>
    </row>
    <row r="80" spans="1:1" x14ac:dyDescent="0.25">
      <c r="A80">
        <v>14.4300003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24</vt:i4>
      </vt:variant>
    </vt:vector>
  </HeadingPairs>
  <TitlesOfParts>
    <vt:vector size="40" baseType="lpstr">
      <vt:lpstr>Emmanuel D</vt:lpstr>
      <vt:lpstr>OPEX</vt:lpstr>
      <vt:lpstr>Lijour</vt:lpstr>
      <vt:lpstr>Loudiyi </vt:lpstr>
      <vt:lpstr>Lesnoff</vt:lpstr>
      <vt:lpstr>Roger</vt:lpstr>
      <vt:lpstr>Dansler</vt:lpstr>
      <vt:lpstr>A Florent</vt:lpstr>
      <vt:lpstr>Joris R</vt:lpstr>
      <vt:lpstr>Participants</vt:lpstr>
      <vt:lpstr>Participants (2)</vt:lpstr>
      <vt:lpstr>pierre</vt:lpstr>
      <vt:lpstr>Sheet4</vt:lpstr>
      <vt:lpstr>mark</vt:lpstr>
      <vt:lpstr>doug</vt:lpstr>
      <vt:lpstr>Sheet1</vt:lpstr>
      <vt:lpstr>'A Florent'!Print_Area</vt:lpstr>
      <vt:lpstr>Dansler!Print_Area</vt:lpstr>
      <vt:lpstr>doug!Print_Area</vt:lpstr>
      <vt:lpstr>'Emmanuel D'!Print_Area</vt:lpstr>
      <vt:lpstr>'Joris R'!Print_Area</vt:lpstr>
      <vt:lpstr>Lesnoff!Print_Area</vt:lpstr>
      <vt:lpstr>Lijour!Print_Area</vt:lpstr>
      <vt:lpstr>'Loudiyi '!Print_Area</vt:lpstr>
      <vt:lpstr>mark!Print_Area</vt:lpstr>
      <vt:lpstr>OPEX!Print_Area</vt:lpstr>
      <vt:lpstr>pierre!Print_Area</vt:lpstr>
      <vt:lpstr>Roger!Print_Area</vt:lpstr>
      <vt:lpstr>'A Florent'!TableRes</vt:lpstr>
      <vt:lpstr>Dansler!TableRes</vt:lpstr>
      <vt:lpstr>doug!TableRes</vt:lpstr>
      <vt:lpstr>'Emmanuel D'!TableRes</vt:lpstr>
      <vt:lpstr>'Joris R'!TableRes</vt:lpstr>
      <vt:lpstr>Lesnoff!TableRes</vt:lpstr>
      <vt:lpstr>Lijour!TableRes</vt:lpstr>
      <vt:lpstr>'Loudiyi '!TableRes</vt:lpstr>
      <vt:lpstr>mark!TableRes</vt:lpstr>
      <vt:lpstr>OPEX!TableRes</vt:lpstr>
      <vt:lpstr>pierre!TableRes</vt:lpstr>
      <vt:lpstr>Roger!TableRes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Dardenne</dc:creator>
  <cp:lastModifiedBy>pierred</cp:lastModifiedBy>
  <cp:lastPrinted>2013-08-14T10:41:51Z</cp:lastPrinted>
  <dcterms:created xsi:type="dcterms:W3CDTF">2003-11-21T07:30:49Z</dcterms:created>
  <dcterms:modified xsi:type="dcterms:W3CDTF">2022-06-08T15:33:28Z</dcterms:modified>
</cp:coreProperties>
</file>